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.babar_karan\Desktop\Treasury income Dashboard\"/>
    </mc:Choice>
  </mc:AlternateContent>
  <xr:revisionPtr revIDLastSave="0" documentId="13_ncr:1_{A94D35D7-F909-488C-A1CF-A9CB4265FA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 " sheetId="4" r:id="rId1"/>
    <sheet name="Quarterly" sheetId="19" r:id="rId2"/>
    <sheet name="Treasury Bank Profits mappe (2)" sheetId="14" r:id="rId3"/>
    <sheet name="New TDR Mapped" sheetId="12" r:id="rId4"/>
    <sheet name="New Buy Sell Mapped" sheetId="11" r:id="rId5"/>
    <sheet name="Treasury Bank Profits forcasted" sheetId="8" state="hidden" r:id="rId6"/>
    <sheet name="Treasury Bank Profits -Ayesha" sheetId="1" state="hidden" r:id="rId7"/>
    <sheet name="New TBILLS Mapped" sheetId="13" r:id="rId8"/>
    <sheet name="Profit Rates" sheetId="15" r:id="rId9"/>
    <sheet name="Treasury Pool" sheetId="17" r:id="rId10"/>
    <sheet name="MPR" sheetId="16" r:id="rId11"/>
    <sheet name="OLD T-Bills_TDR - Mapped" sheetId="6" state="hidden" r:id="rId12"/>
    <sheet name="Sheet1" sheetId="10" state="hidden" r:id="rId13"/>
    <sheet name="T-Bill Data" sheetId="3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\A">'[1]last qrt2001'!#REF!</definedName>
    <definedName name="\B">'[1]last qrt2001'!#REF!</definedName>
    <definedName name="\C">[2]A!#REF!</definedName>
    <definedName name="\D">[2]A!#REF!</definedName>
    <definedName name="\E">[2]A!#REF!</definedName>
    <definedName name="\I">[2]A!#REF!</definedName>
    <definedName name="\R">'[1]last qrt2001'!#REF!</definedName>
    <definedName name="\S">'[1]last qrt2001'!#REF!</definedName>
    <definedName name="\T">'[3]Notes1-5(old)'!#REF!</definedName>
    <definedName name="_______Jan1" localSheetId="6">'[4]Cons '!$C$8</definedName>
    <definedName name="_______Jan1" localSheetId="5">'[4]Cons '!$C$8</definedName>
    <definedName name="_______Jan1" localSheetId="2">'[4]Cons '!$C$8</definedName>
    <definedName name="_______Jan1">'[5]Cons '!$C$8</definedName>
    <definedName name="___AAQ3" localSheetId="4" hidden="1">{#N/A,#N/A,FALSE,"dec98qtr";#N/A,#N/A,FALSE,"suppdecsep98";#N/A,#N/A,FALSE,"w-dec98"}</definedName>
    <definedName name="___AAQ3" localSheetId="3" hidden="1">{#N/A,#N/A,FALSE,"dec98qtr";#N/A,#N/A,FALSE,"suppdecsep98";#N/A,#N/A,FALSE,"w-dec98"}</definedName>
    <definedName name="___AAQ3" localSheetId="11" hidden="1">{#N/A,#N/A,FALSE,"dec98qtr";#N/A,#N/A,FALSE,"suppdecsep98";#N/A,#N/A,FALSE,"w-dec98"}</definedName>
    <definedName name="___AAQ3" localSheetId="13" hidden="1">{#N/A,#N/A,FALSE,"dec98qtr";#N/A,#N/A,FALSE,"suppdecsep98";#N/A,#N/A,FALSE,"w-dec98"}</definedName>
    <definedName name="___AAQ3" localSheetId="6" hidden="1">{#N/A,#N/A,FALSE,"dec98qtr";#N/A,#N/A,FALSE,"suppdecsep98";#N/A,#N/A,FALSE,"w-dec98"}</definedName>
    <definedName name="___AAQ3" localSheetId="5" hidden="1">{#N/A,#N/A,FALSE,"dec98qtr";#N/A,#N/A,FALSE,"suppdecsep98";#N/A,#N/A,FALSE,"w-dec98"}</definedName>
    <definedName name="___AAQ3" localSheetId="2" hidden="1">{#N/A,#N/A,FALSE,"dec98qtr";#N/A,#N/A,FALSE,"suppdecsep98";#N/A,#N/A,FALSE,"w-dec98"}</definedName>
    <definedName name="___AAQ3" hidden="1">{#N/A,#N/A,FALSE,"dec98qtr";#N/A,#N/A,FALSE,"suppdecsep98";#N/A,#N/A,FALSE,"w-dec98"}</definedName>
    <definedName name="___bal95">#REF!</definedName>
    <definedName name="___bal96">#REF!</definedName>
    <definedName name="___bal97">#REF!</definedName>
    <definedName name="___bal98">#REF!</definedName>
    <definedName name="___bal99">#REF!</definedName>
    <definedName name="___bla97">#REF!</definedName>
    <definedName name="___EPS2">#REF!</definedName>
    <definedName name="___inc95">#REF!</definedName>
    <definedName name="___inc96">#REF!</definedName>
    <definedName name="___inc97">#REF!</definedName>
    <definedName name="___inc98">#REF!</definedName>
    <definedName name="___inc99">#REF!</definedName>
    <definedName name="___Jan1" localSheetId="6">'[6]Cons '!$C$8</definedName>
    <definedName name="___Jan1" localSheetId="5">'[6]Cons '!$C$8</definedName>
    <definedName name="___Jan1" localSheetId="2">'[6]Cons '!$C$8</definedName>
    <definedName name="___Jan1">'[7]Cons '!$C$8</definedName>
    <definedName name="___Man10" localSheetId="6">[8]Notes!#REF!</definedName>
    <definedName name="___Man10" localSheetId="5">[8]Notes!#REF!</definedName>
    <definedName name="___Man10" localSheetId="2">[8]Notes!#REF!</definedName>
    <definedName name="___Man10">[9]Notes!#REF!</definedName>
    <definedName name="___RAT95">#REF!</definedName>
    <definedName name="___RAT96">#REF!</definedName>
    <definedName name="___RAT97">#REF!</definedName>
    <definedName name="___RAT98">#REF!</definedName>
    <definedName name="___RAT99">#REF!</definedName>
    <definedName name="__1_123Grap" localSheetId="6" hidden="1">[10]Koszty!#REF!</definedName>
    <definedName name="__1_123Grap" localSheetId="5" hidden="1">[10]Koszty!#REF!</definedName>
    <definedName name="__1_123Grap" localSheetId="2" hidden="1">[10]Koszty!#REF!</definedName>
    <definedName name="__1_123Grap" hidden="1">[11]Koszty!#REF!</definedName>
    <definedName name="__123Graph_A" hidden="1">[12]TBPRICE!#REF!</definedName>
    <definedName name="__123Graph_ACHART1" hidden="1">[13]FG!#REF!</definedName>
    <definedName name="__123Graph_ACHART2" hidden="1">[13]FG!#REF!</definedName>
    <definedName name="__123Graph_ACURRENT" hidden="1">[13]NORMAL!$E$29:$E$44</definedName>
    <definedName name="__123Graph_B" hidden="1">[12]TBPRICE!#REF!</definedName>
    <definedName name="__123Graph_BCURRENT" hidden="1">[13]NORMAL!$F$29:$F$44</definedName>
    <definedName name="__123Graph_C" hidden="1">[12]TBPRICE!#REF!</definedName>
    <definedName name="__123Graph_CCURRENT" hidden="1">[13]NORMAL!#REF!</definedName>
    <definedName name="__123Graph_D" hidden="1">[12]TBPRICE!#REF!</definedName>
    <definedName name="__123Graph_DCURRENT" hidden="1">[13]NORMAL!$G$29:$G$44</definedName>
    <definedName name="__123Graph_E" hidden="1">[12]TBPRICE!#REF!</definedName>
    <definedName name="__123Graph_ECURRENT" hidden="1">[13]NORMAL!$H$29:$H$44</definedName>
    <definedName name="__123Graph_F" hidden="1">[12]TBPRICE!#REF!</definedName>
    <definedName name="__123Graph_FCURRENT" hidden="1">[13]NORMAL!$I$38:$I$60</definedName>
    <definedName name="__123Graph_X" hidden="1">[12]TBPRICE!#REF!</definedName>
    <definedName name="__a1">'[14]Sheet1 '!$B$1:$O$99</definedName>
    <definedName name="__AAQ3" localSheetId="4" hidden="1">{#N/A,#N/A,FALSE,"dec98qtr";#N/A,#N/A,FALSE,"suppdecsep98";#N/A,#N/A,FALSE,"w-dec98"}</definedName>
    <definedName name="__AAQ3" localSheetId="3" hidden="1">{#N/A,#N/A,FALSE,"dec98qtr";#N/A,#N/A,FALSE,"suppdecsep98";#N/A,#N/A,FALSE,"w-dec98"}</definedName>
    <definedName name="__AAQ3" localSheetId="11" hidden="1">{#N/A,#N/A,FALSE,"dec98qtr";#N/A,#N/A,FALSE,"suppdecsep98";#N/A,#N/A,FALSE,"w-dec98"}</definedName>
    <definedName name="__AAQ3" localSheetId="13" hidden="1">{#N/A,#N/A,FALSE,"dec98qtr";#N/A,#N/A,FALSE,"suppdecsep98";#N/A,#N/A,FALSE,"w-dec98"}</definedName>
    <definedName name="__AAQ3" localSheetId="6" hidden="1">{#N/A,#N/A,FALSE,"dec98qtr";#N/A,#N/A,FALSE,"suppdecsep98";#N/A,#N/A,FALSE,"w-dec98"}</definedName>
    <definedName name="__AAQ3" localSheetId="5" hidden="1">{#N/A,#N/A,FALSE,"dec98qtr";#N/A,#N/A,FALSE,"suppdecsep98";#N/A,#N/A,FALSE,"w-dec98"}</definedName>
    <definedName name="__AAQ3" localSheetId="2" hidden="1">{#N/A,#N/A,FALSE,"dec98qtr";#N/A,#N/A,FALSE,"suppdecsep98";#N/A,#N/A,FALSE,"w-dec98"}</definedName>
    <definedName name="__AAQ3" hidden="1">{#N/A,#N/A,FALSE,"dec98qtr";#N/A,#N/A,FALSE,"suppdecsep98";#N/A,#N/A,FALSE,"w-dec98"}</definedName>
    <definedName name="__bal95">#REF!</definedName>
    <definedName name="__bal96">#REF!</definedName>
    <definedName name="__bal97">#REF!</definedName>
    <definedName name="__bal98">#REF!</definedName>
    <definedName name="__bal99">#REF!</definedName>
    <definedName name="__bla97">#REF!</definedName>
    <definedName name="__EPS2">#REF!</definedName>
    <definedName name="__inc95">#REF!</definedName>
    <definedName name="__inc96">#REF!</definedName>
    <definedName name="__inc97">#REF!</definedName>
    <definedName name="__inc98">#REF!</definedName>
    <definedName name="__inc99">#REF!</definedName>
    <definedName name="__Jan1" localSheetId="6">'[4]Cons '!$C$8</definedName>
    <definedName name="__Jan1" localSheetId="5">'[4]Cons '!$C$8</definedName>
    <definedName name="__Jan1" localSheetId="2">'[4]Cons '!$C$8</definedName>
    <definedName name="__Jan1">'[5]Cons '!$C$8</definedName>
    <definedName name="__RAT95">#REF!</definedName>
    <definedName name="__RAT96">#REF!</definedName>
    <definedName name="__RAT97">#REF!</definedName>
    <definedName name="__RAT98">#REF!</definedName>
    <definedName name="__RAT99">#REF!</definedName>
    <definedName name="__SGL1">'[15]F-RR'!$H$1:$H$65536,'[15]F-RR'!$AI$1:$AI$65536</definedName>
    <definedName name="__xlnm.Print_Titles_2">('[16]0001 Revised Jan 25 2012'!$A$1:$B$65537,'[16]0001 Revised Jan 25 2012'!$A$1:$IV$9)</definedName>
    <definedName name="_1.00">#REF!</definedName>
    <definedName name="_1_123Grap" localSheetId="6" hidden="1">[10]Koszty!#REF!</definedName>
    <definedName name="_1_123Grap" localSheetId="5" hidden="1">[10]Koszty!#REF!</definedName>
    <definedName name="_1_123Grap" localSheetId="2" hidden="1">[10]Koszty!#REF!</definedName>
    <definedName name="_1_123Grap" hidden="1">[11]Koszty!#REF!</definedName>
    <definedName name="_3.00">#REF!</definedName>
    <definedName name="_4WORD_M_001_07">#REF!</definedName>
    <definedName name="_4WORD_O_005_E_">#REF!</definedName>
    <definedName name="_a1">'[14]Sheet1 '!$B$1:$O$99</definedName>
    <definedName name="_AAQ3" localSheetId="4" hidden="1">{#N/A,#N/A,FALSE,"dec98qtr";#N/A,#N/A,FALSE,"suppdecsep98";#N/A,#N/A,FALSE,"w-dec98"}</definedName>
    <definedName name="_AAQ3" localSheetId="3" hidden="1">{#N/A,#N/A,FALSE,"dec98qtr";#N/A,#N/A,FALSE,"suppdecsep98";#N/A,#N/A,FALSE,"w-dec98"}</definedName>
    <definedName name="_AAQ3" localSheetId="11" hidden="1">{#N/A,#N/A,FALSE,"dec98qtr";#N/A,#N/A,FALSE,"suppdecsep98";#N/A,#N/A,FALSE,"w-dec98"}</definedName>
    <definedName name="_AAQ3" localSheetId="13" hidden="1">{#N/A,#N/A,FALSE,"dec98qtr";#N/A,#N/A,FALSE,"suppdecsep98";#N/A,#N/A,FALSE,"w-dec98"}</definedName>
    <definedName name="_AAQ3" localSheetId="6" hidden="1">{#N/A,#N/A,FALSE,"dec98qtr";#N/A,#N/A,FALSE,"suppdecsep98";#N/A,#N/A,FALSE,"w-dec98"}</definedName>
    <definedName name="_AAQ3" localSheetId="5" hidden="1">{#N/A,#N/A,FALSE,"dec98qtr";#N/A,#N/A,FALSE,"suppdecsep98";#N/A,#N/A,FALSE,"w-dec98"}</definedName>
    <definedName name="_AAQ3" localSheetId="2" hidden="1">{#N/A,#N/A,FALSE,"dec98qtr";#N/A,#N/A,FALSE,"suppdecsep98";#N/A,#N/A,FALSE,"w-dec98"}</definedName>
    <definedName name="_AAQ3" hidden="1">{#N/A,#N/A,FALSE,"dec98qtr";#N/A,#N/A,FALSE,"suppdecsep98";#N/A,#N/A,FALSE,"w-dec98"}</definedName>
    <definedName name="_bal95">#REF!</definedName>
    <definedName name="_bal96">#REF!</definedName>
    <definedName name="_bal97">#REF!</definedName>
    <definedName name="_bal98">#REF!</definedName>
    <definedName name="_bal99">#REF!</definedName>
    <definedName name="_bla97">#REF!</definedName>
    <definedName name="_EPS2">#REF!</definedName>
    <definedName name="_Fill" hidden="1">#REF!</definedName>
    <definedName name="_xlnm._FilterDatabase" localSheetId="11" hidden="1">'OLD T-Bills_TDR - Mapped'!$A$2:$AX$2</definedName>
    <definedName name="_xlnm._FilterDatabase" localSheetId="6" hidden="1">'Treasury Bank Profits -Ayesha'!$A$3:$S$20</definedName>
    <definedName name="_xlnm._FilterDatabase" localSheetId="5" hidden="1">'Treasury Bank Profits forcasted'!$A$3:$S$21</definedName>
    <definedName name="_xlnm._FilterDatabase" localSheetId="2" hidden="1">'Treasury Bank Profits mappe (2)'!$A$3:$Q$20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g1" localSheetId="6">[17]NOTES!#REF!</definedName>
    <definedName name="_pag1" localSheetId="5">[17]NOTES!#REF!</definedName>
    <definedName name="_pag1" localSheetId="2">[17]NOTES!#REF!</definedName>
    <definedName name="_pag1">[18]NOTES!#REF!</definedName>
    <definedName name="_pag10">#REF!</definedName>
    <definedName name="_pag11" localSheetId="6">[19]NOTES!#REF!</definedName>
    <definedName name="_pag11" localSheetId="5">[19]NOTES!#REF!</definedName>
    <definedName name="_pag11" localSheetId="2">[19]NOTES!#REF!</definedName>
    <definedName name="_pag11">[20]NOTES!#REF!</definedName>
    <definedName name="_pag12" localSheetId="6">[19]NOTES!#REF!</definedName>
    <definedName name="_pag12" localSheetId="5">[19]NOTES!#REF!</definedName>
    <definedName name="_pag12" localSheetId="2">[19]NOTES!#REF!</definedName>
    <definedName name="_pag12">[20]NOTES!#REF!</definedName>
    <definedName name="_pag13" localSheetId="6">[17]NOTES!#REF!</definedName>
    <definedName name="_pag13" localSheetId="5">[17]NOTES!#REF!</definedName>
    <definedName name="_pag13" localSheetId="2">[17]NOTES!#REF!</definedName>
    <definedName name="_pag13">[18]NOTES!#REF!</definedName>
    <definedName name="_pag14" localSheetId="6">'[17]fin inst'!#REF!</definedName>
    <definedName name="_pag14" localSheetId="5">'[17]fin inst'!#REF!</definedName>
    <definedName name="_pag14" localSheetId="2">'[17]fin inst'!#REF!</definedName>
    <definedName name="_pag14">'[18]fin inst'!#REF!</definedName>
    <definedName name="_pag15" localSheetId="6">[17]NOTES!#REF!</definedName>
    <definedName name="_pag15" localSheetId="5">[17]NOTES!#REF!</definedName>
    <definedName name="_pag15" localSheetId="2">[17]NOTES!#REF!</definedName>
    <definedName name="_pag15">[18]NOTES!#REF!</definedName>
    <definedName name="_pag16" localSheetId="6">[17]NOTES!#REF!</definedName>
    <definedName name="_pag16" localSheetId="5">[17]NOTES!#REF!</definedName>
    <definedName name="_pag16" localSheetId="2">[17]NOTES!#REF!</definedName>
    <definedName name="_pag16">[18]NOTES!#REF!</definedName>
    <definedName name="_pag17" localSheetId="6">[17]NOTES!#REF!</definedName>
    <definedName name="_pag17" localSheetId="5">[17]NOTES!#REF!</definedName>
    <definedName name="_pag17" localSheetId="2">[17]NOTES!#REF!</definedName>
    <definedName name="_pag17">[18]NOTES!#REF!</definedName>
    <definedName name="_pag18">#REF!</definedName>
    <definedName name="_pag2" localSheetId="6">[17]NOTES!#REF!</definedName>
    <definedName name="_pag2" localSheetId="5">[17]NOTES!#REF!</definedName>
    <definedName name="_pag2" localSheetId="2">[17]NOTES!#REF!</definedName>
    <definedName name="_pag2">[18]NOTES!#REF!</definedName>
    <definedName name="_pag3" localSheetId="6">[19]NOTES!#REF!</definedName>
    <definedName name="_pag3" localSheetId="5">[19]NOTES!#REF!</definedName>
    <definedName name="_pag3" localSheetId="2">[19]NOTES!#REF!</definedName>
    <definedName name="_pag3">[20]NOTES!#REF!</definedName>
    <definedName name="_pag5" localSheetId="6">[19]NOTES!#REF!</definedName>
    <definedName name="_pag5" localSheetId="5">[19]NOTES!#REF!</definedName>
    <definedName name="_pag5" localSheetId="2">[19]NOTES!#REF!</definedName>
    <definedName name="_pag5">[20]NOTES!#REF!</definedName>
    <definedName name="_pag6" localSheetId="6">[17]NOTES!#REF!</definedName>
    <definedName name="_pag6" localSheetId="5">[17]NOTES!#REF!</definedName>
    <definedName name="_pag6" localSheetId="2">[17]NOTES!#REF!</definedName>
    <definedName name="_pag6">[18]NOTES!#REF!</definedName>
    <definedName name="_pag8" localSheetId="6">[19]NOTES!#REF!</definedName>
    <definedName name="_pag8" localSheetId="5">[19]NOTES!#REF!</definedName>
    <definedName name="_pag8" localSheetId="2">[19]NOTES!#REF!</definedName>
    <definedName name="_pag8">[20]NOTES!#REF!</definedName>
    <definedName name="_pag9" localSheetId="6">[17]NOTES!#REF!</definedName>
    <definedName name="_pag9" localSheetId="5">[17]NOTES!#REF!</definedName>
    <definedName name="_pag9" localSheetId="2">[17]NOTES!#REF!</definedName>
    <definedName name="_pag9">[18]NOTES!#REF!</definedName>
    <definedName name="_RAT95">#REF!</definedName>
    <definedName name="_RAT96">#REF!</definedName>
    <definedName name="_RAT97">#REF!</definedName>
    <definedName name="_RAT98">#REF!</definedName>
    <definedName name="_RAT99">#REF!</definedName>
    <definedName name="_SGL1">'[15]F-RR'!$H$1:$H$65536,'[15]F-RR'!$AI$1:$AI$65536</definedName>
    <definedName name="_Sort" hidden="1">#REF!</definedName>
    <definedName name="A">#REF!</definedName>
    <definedName name="AA">#REF!</definedName>
    <definedName name="AAA">'[21]Note6-8.2'!$A$2:$J$37</definedName>
    <definedName name="aaaa">#REF!</definedName>
    <definedName name="AB">#REF!</definedName>
    <definedName name="ABC">#REF!</definedName>
    <definedName name="ABCD">#REF!</definedName>
    <definedName name="AC">#REF!</definedName>
    <definedName name="AC_NO">#REF!</definedName>
    <definedName name="ACU">#REF!</definedName>
    <definedName name="ad">[22]A!$Q$604:$Q$639</definedName>
    <definedName name="adadadada" localSheetId="6">[23]Investments!$A$1:$K$40</definedName>
    <definedName name="adadadada" localSheetId="5">[23]Investments!$A$1:$K$40</definedName>
    <definedName name="adadadada" localSheetId="2">[23]Investments!$A$1:$K$40</definedName>
    <definedName name="adadadada">[24]Investments!$A$1:$K$40</definedName>
    <definedName name="alco2" localSheetId="4" hidden="1">{"'CALL MONEY'!$K$53"}</definedName>
    <definedName name="alco2" localSheetId="3" hidden="1">{"'CALL MONEY'!$K$53"}</definedName>
    <definedName name="alco2" localSheetId="11" hidden="1">{"'CALL MONEY'!$K$53"}</definedName>
    <definedName name="alco2" localSheetId="13" hidden="1">{"'CALL MONEY'!$K$53"}</definedName>
    <definedName name="alco2" localSheetId="6" hidden="1">{"'CALL MONEY'!$K$53"}</definedName>
    <definedName name="alco2" localSheetId="5" hidden="1">{"'CALL MONEY'!$K$53"}</definedName>
    <definedName name="alco2" localSheetId="2" hidden="1">{"'CALL MONEY'!$K$53"}</definedName>
    <definedName name="alco2" hidden="1">{"'CALL MONEY'!$K$53"}</definedName>
    <definedName name="amin">[25]Consolidated!$A$1:$L$66</definedName>
    <definedName name="AMORT">#REF!</definedName>
    <definedName name="AMT">#REF!</definedName>
    <definedName name="ana">[15]ANA!$Q$1:$Q$65536,[15]ANA!$R$1:$R$65536</definedName>
    <definedName name="AQ">#REF!</definedName>
    <definedName name="ARA_Threshold">#REF!</definedName>
    <definedName name="ARP_Threshold">#REF!</definedName>
    <definedName name="as">[2]A!#REF!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" localSheetId="4" hidden="1">{"Sales 2",#N/A,FALSE,"SALES";"Transfer 2",#N/A,FALSE,"TRANSFERS";"A1460",#N/A,FALSE,"A1460"}</definedName>
    <definedName name="ASAS" localSheetId="3" hidden="1">{"Sales 2",#N/A,FALSE,"SALES";"Transfer 2",#N/A,FALSE,"TRANSFERS";"A1460",#N/A,FALSE,"A1460"}</definedName>
    <definedName name="ASAS" localSheetId="11" hidden="1">{"Sales 2",#N/A,FALSE,"SALES";"Transfer 2",#N/A,FALSE,"TRANSFERS";"A1460",#N/A,FALSE,"A1460"}</definedName>
    <definedName name="ASAS" localSheetId="13" hidden="1">{"Sales 2",#N/A,FALSE,"SALES";"Transfer 2",#N/A,FALSE,"TRANSFERS";"A1460",#N/A,FALSE,"A1460"}</definedName>
    <definedName name="ASAS" localSheetId="6" hidden="1">{"Sales 2",#N/A,FALSE,"SALES";"Transfer 2",#N/A,FALSE,"TRANSFERS";"A1460",#N/A,FALSE,"A1460"}</definedName>
    <definedName name="ASAS" localSheetId="5" hidden="1">{"Sales 2",#N/A,FALSE,"SALES";"Transfer 2",#N/A,FALSE,"TRANSFERS";"A1460",#N/A,FALSE,"A1460"}</definedName>
    <definedName name="ASAS" localSheetId="2" hidden="1">{"Sales 2",#N/A,FALSE,"SALES";"Transfer 2",#N/A,FALSE,"TRANSFERS";"A1460",#N/A,FALSE,"A1460"}</definedName>
    <definedName name="ASAS" hidden="1">{"Sales 2",#N/A,FALSE,"SALES";"Transfer 2",#N/A,FALSE,"TRANSFERS";"A1460",#N/A,FALSE,"A1460"}</definedName>
    <definedName name="asdasdas" localSheetId="4" hidden="1">{#N/A,#N/A,FALSE,"dec98qtr";#N/A,#N/A,FALSE,"suppdecsep98";#N/A,#N/A,FALSE,"w-dec98"}</definedName>
    <definedName name="asdasdas" localSheetId="3" hidden="1">{#N/A,#N/A,FALSE,"dec98qtr";#N/A,#N/A,FALSE,"suppdecsep98";#N/A,#N/A,FALSE,"w-dec98"}</definedName>
    <definedName name="asdasdas" localSheetId="11" hidden="1">{#N/A,#N/A,FALSE,"dec98qtr";#N/A,#N/A,FALSE,"suppdecsep98";#N/A,#N/A,FALSE,"w-dec98"}</definedName>
    <definedName name="asdasdas" localSheetId="13" hidden="1">{#N/A,#N/A,FALSE,"dec98qtr";#N/A,#N/A,FALSE,"suppdecsep98";#N/A,#N/A,FALSE,"w-dec98"}</definedName>
    <definedName name="asdasdas" localSheetId="6" hidden="1">{#N/A,#N/A,FALSE,"dec98qtr";#N/A,#N/A,FALSE,"suppdecsep98";#N/A,#N/A,FALSE,"w-dec98"}</definedName>
    <definedName name="asdasdas" localSheetId="5" hidden="1">{#N/A,#N/A,FALSE,"dec98qtr";#N/A,#N/A,FALSE,"suppdecsep98";#N/A,#N/A,FALSE,"w-dec98"}</definedName>
    <definedName name="asdasdas" localSheetId="2" hidden="1">{#N/A,#N/A,FALSE,"dec98qtr";#N/A,#N/A,FALSE,"suppdecsep98";#N/A,#N/A,FALSE,"w-dec98"}</definedName>
    <definedName name="asdasdas" hidden="1">{#N/A,#N/A,FALSE,"dec98qtr";#N/A,#N/A,FALSE,"suppdecsep98";#N/A,#N/A,FALSE,"w-dec98"}</definedName>
    <definedName name="asdf" localSheetId="4" hidden="1">{#N/A,#N/A,FALSE,"dec98qtr";#N/A,#N/A,FALSE,"suppdecsep98";#N/A,#N/A,FALSE,"w-dec98"}</definedName>
    <definedName name="asdf" localSheetId="3" hidden="1">{#N/A,#N/A,FALSE,"dec98qtr";#N/A,#N/A,FALSE,"suppdecsep98";#N/A,#N/A,FALSE,"w-dec98"}</definedName>
    <definedName name="asdf" localSheetId="11" hidden="1">{#N/A,#N/A,FALSE,"dec98qtr";#N/A,#N/A,FALSE,"suppdecsep98";#N/A,#N/A,FALSE,"w-dec98"}</definedName>
    <definedName name="asdf" localSheetId="13" hidden="1">{#N/A,#N/A,FALSE,"dec98qtr";#N/A,#N/A,FALSE,"suppdecsep98";#N/A,#N/A,FALSE,"w-dec98"}</definedName>
    <definedName name="asdf" localSheetId="6" hidden="1">{#N/A,#N/A,FALSE,"dec98qtr";#N/A,#N/A,FALSE,"suppdecsep98";#N/A,#N/A,FALSE,"w-dec98"}</definedName>
    <definedName name="asdf" localSheetId="5" hidden="1">{#N/A,#N/A,FALSE,"dec98qtr";#N/A,#N/A,FALSE,"suppdecsep98";#N/A,#N/A,FALSE,"w-dec98"}</definedName>
    <definedName name="asdf" localSheetId="2" hidden="1">{#N/A,#N/A,FALSE,"dec98qtr";#N/A,#N/A,FALSE,"suppdecsep98";#N/A,#N/A,FALSE,"w-dec98"}</definedName>
    <definedName name="asdf" hidden="1">{#N/A,#N/A,FALSE,"dec98qtr";#N/A,#N/A,FALSE,"suppdecsep98";#N/A,#N/A,FALSE,"w-dec98"}</definedName>
    <definedName name="asif" localSheetId="4" hidden="1">{#N/A,#N/A,FALSE,"dec98qtr";#N/A,#N/A,FALSE,"suppdecsep98";#N/A,#N/A,FALSE,"w-dec98"}</definedName>
    <definedName name="asif" localSheetId="3" hidden="1">{#N/A,#N/A,FALSE,"dec98qtr";#N/A,#N/A,FALSE,"suppdecsep98";#N/A,#N/A,FALSE,"w-dec98"}</definedName>
    <definedName name="asif" localSheetId="11" hidden="1">{#N/A,#N/A,FALSE,"dec98qtr";#N/A,#N/A,FALSE,"suppdecsep98";#N/A,#N/A,FALSE,"w-dec98"}</definedName>
    <definedName name="asif" localSheetId="13" hidden="1">{#N/A,#N/A,FALSE,"dec98qtr";#N/A,#N/A,FALSE,"suppdecsep98";#N/A,#N/A,FALSE,"w-dec98"}</definedName>
    <definedName name="asif" localSheetId="6" hidden="1">{#N/A,#N/A,FALSE,"dec98qtr";#N/A,#N/A,FALSE,"suppdecsep98";#N/A,#N/A,FALSE,"w-dec98"}</definedName>
    <definedName name="asif" localSheetId="5" hidden="1">{#N/A,#N/A,FALSE,"dec98qtr";#N/A,#N/A,FALSE,"suppdecsep98";#N/A,#N/A,FALSE,"w-dec98"}</definedName>
    <definedName name="asif" localSheetId="2" hidden="1">{#N/A,#N/A,FALSE,"dec98qtr";#N/A,#N/A,FALSE,"suppdecsep98";#N/A,#N/A,FALSE,"w-dec98"}</definedName>
    <definedName name="asif" hidden="1">{#N/A,#N/A,FALSE,"dec98qtr";#N/A,#N/A,FALSE,"suppdecsep98";#N/A,#N/A,FALSE,"w-dec98"}</definedName>
    <definedName name="asim" localSheetId="4" hidden="1">{#N/A,#N/A,FALSE,"dec98qtr";#N/A,#N/A,FALSE,"suppdecsep98";#N/A,#N/A,FALSE,"w-dec98"}</definedName>
    <definedName name="asim" localSheetId="3" hidden="1">{#N/A,#N/A,FALSE,"dec98qtr";#N/A,#N/A,FALSE,"suppdecsep98";#N/A,#N/A,FALSE,"w-dec98"}</definedName>
    <definedName name="asim" localSheetId="11" hidden="1">{#N/A,#N/A,FALSE,"dec98qtr";#N/A,#N/A,FALSE,"suppdecsep98";#N/A,#N/A,FALSE,"w-dec98"}</definedName>
    <definedName name="asim" localSheetId="13" hidden="1">{#N/A,#N/A,FALSE,"dec98qtr";#N/A,#N/A,FALSE,"suppdecsep98";#N/A,#N/A,FALSE,"w-dec98"}</definedName>
    <definedName name="asim" localSheetId="6" hidden="1">{#N/A,#N/A,FALSE,"dec98qtr";#N/A,#N/A,FALSE,"suppdecsep98";#N/A,#N/A,FALSE,"w-dec98"}</definedName>
    <definedName name="asim" localSheetId="5" hidden="1">{#N/A,#N/A,FALSE,"dec98qtr";#N/A,#N/A,FALSE,"suppdecsep98";#N/A,#N/A,FALSE,"w-dec98"}</definedName>
    <definedName name="asim" localSheetId="2" hidden="1">{#N/A,#N/A,FALSE,"dec98qtr";#N/A,#N/A,FALSE,"suppdecsep98";#N/A,#N/A,FALSE,"w-dec98"}</definedName>
    <definedName name="asim" hidden="1">{#N/A,#N/A,FALSE,"dec98qtr";#N/A,#N/A,FALSE,"suppdecsep98";#N/A,#N/A,FALSE,"w-dec98"}</definedName>
    <definedName name="AUCTION">#REF!</definedName>
    <definedName name="av" hidden="1">#REF!</definedName>
    <definedName name="AVA">'[15]F-RR'!$I$1:$I$65536,'[15]F-RR'!$AI$1:$AI$65536</definedName>
    <definedName name="AVILABLE">#REF!</definedName>
    <definedName name="AWA" localSheetId="4" hidden="1">{"MSS",#N/A,FALSE,"MSS";"ProdSA",#N/A,FALSE,"ProdSA";"Sales 1",#N/A,FALSE,"SALES";"Transfer 1",#N/A,FALSE,"TRANSFERS"}</definedName>
    <definedName name="AWA" localSheetId="3" hidden="1">{"MSS",#N/A,FALSE,"MSS";"ProdSA",#N/A,FALSE,"ProdSA";"Sales 1",#N/A,FALSE,"SALES";"Transfer 1",#N/A,FALSE,"TRANSFERS"}</definedName>
    <definedName name="AWA" localSheetId="11" hidden="1">{"MSS",#N/A,FALSE,"MSS";"ProdSA",#N/A,FALSE,"ProdSA";"Sales 1",#N/A,FALSE,"SALES";"Transfer 1",#N/A,FALSE,"TRANSFERS"}</definedName>
    <definedName name="AWA" localSheetId="13" hidden="1">{"MSS",#N/A,FALSE,"MSS";"ProdSA",#N/A,FALSE,"ProdSA";"Sales 1",#N/A,FALSE,"SALES";"Transfer 1",#N/A,FALSE,"TRANSFERS"}</definedName>
    <definedName name="AWA" localSheetId="6" hidden="1">{"MSS",#N/A,FALSE,"MSS";"ProdSA",#N/A,FALSE,"ProdSA";"Sales 1",#N/A,FALSE,"SALES";"Transfer 1",#N/A,FALSE,"TRANSFERS"}</definedName>
    <definedName name="AWA" localSheetId="5" hidden="1">{"MSS",#N/A,FALSE,"MSS";"ProdSA",#N/A,FALSE,"ProdSA";"Sales 1",#N/A,FALSE,"SALES";"Transfer 1",#N/A,FALSE,"TRANSFERS"}</definedName>
    <definedName name="AWA" localSheetId="2" hidden="1">{"MSS",#N/A,FALSE,"MSS";"ProdSA",#N/A,FALSE,"ProdSA";"Sales 1",#N/A,FALSE,"SALES";"Transfer 1",#N/A,FALSE,"TRANSFERS"}</definedName>
    <definedName name="AWA" hidden="1">{"MSS",#N/A,FALSE,"MSS";"ProdSA",#N/A,FALSE,"ProdSA";"Sales 1",#N/A,FALSE,"SALES";"Transfer 1",#N/A,FALSE,"TRANSFERS"}</definedName>
    <definedName name="B">#REF!</definedName>
    <definedName name="bal00">#REF!</definedName>
    <definedName name="Banks">[15]BK!$C$4:$E$2138</definedName>
    <definedName name="bb" localSheetId="4" hidden="1">{#N/A,#N/A,FALSE,"Wyniki"}</definedName>
    <definedName name="bb" localSheetId="3" hidden="1">{#N/A,#N/A,FALSE,"Wyniki"}</definedName>
    <definedName name="bb" localSheetId="11" hidden="1">{#N/A,#N/A,FALSE,"Wyniki"}</definedName>
    <definedName name="bb" localSheetId="13" hidden="1">{#N/A,#N/A,FALSE,"Wyniki"}</definedName>
    <definedName name="bb" localSheetId="6" hidden="1">{#N/A,#N/A,FALSE,"Wyniki"}</definedName>
    <definedName name="bb" localSheetId="5" hidden="1">{#N/A,#N/A,FALSE,"Wyniki"}</definedName>
    <definedName name="bb" localSheetId="2" hidden="1">{#N/A,#N/A,FALSE,"Wyniki"}</definedName>
    <definedName name="bb" hidden="1">{#N/A,#N/A,FALSE,"Wyniki"}</definedName>
    <definedName name="bbkb" localSheetId="4" hidden="1">{"'CALL MONEY'!$K$53"}</definedName>
    <definedName name="bbkb" localSheetId="3" hidden="1">{"'CALL MONEY'!$K$53"}</definedName>
    <definedName name="bbkb" localSheetId="11" hidden="1">{"'CALL MONEY'!$K$53"}</definedName>
    <definedName name="bbkb" localSheetId="13" hidden="1">{"'CALL MONEY'!$K$53"}</definedName>
    <definedName name="bbkb" localSheetId="6" hidden="1">{"'CALL MONEY'!$K$53"}</definedName>
    <definedName name="bbkb" localSheetId="5" hidden="1">{"'CALL MONEY'!$K$53"}</definedName>
    <definedName name="bbkb" localSheetId="2" hidden="1">{"'CALL MONEY'!$K$53"}</definedName>
    <definedName name="bbkb" hidden="1">{"'CALL MONEY'!$K$53"}</definedName>
    <definedName name="bela">#REF!</definedName>
    <definedName name="BG_Del" hidden="1">15</definedName>
    <definedName name="BG_Ins" hidden="1">4</definedName>
    <definedName name="BG_Mod" hidden="1">6</definedName>
    <definedName name="bla">#REF!</definedName>
    <definedName name="bonds1">#REF!</definedName>
    <definedName name="branches">[26]BR!$C$4:$E$115</definedName>
    <definedName name="BREAKUP">#REF!</definedName>
    <definedName name="brokers">#REF!</definedName>
    <definedName name="Butt">#REF!</definedName>
    <definedName name="Butt1">#REF!</definedName>
    <definedName name="ca">#REF!</definedName>
    <definedName name="CashData" localSheetId="6">[27]CashData!$A$1:$C$65536</definedName>
    <definedName name="CashData" localSheetId="5">[27]CashData!$A$1:$C$65536</definedName>
    <definedName name="CashData" localSheetId="2">[27]CashData!$A$1:$C$65536</definedName>
    <definedName name="CashData">[28]CashData!$A$1:$C$65536</definedName>
    <definedName name="cb">#REF!</definedName>
    <definedName name="CC">'[1]last qrt2001'!#REF!</definedName>
    <definedName name="CC_1" localSheetId="4" hidden="1">{#N/A,#N/A,FALSE,"LIQUIDITY GAPS";#N/A,#N/A,FALSE,"GAP Mapping "}</definedName>
    <definedName name="CC_1" localSheetId="3" hidden="1">{#N/A,#N/A,FALSE,"LIQUIDITY GAPS";#N/A,#N/A,FALSE,"GAP Mapping "}</definedName>
    <definedName name="CC_1" localSheetId="11" hidden="1">{#N/A,#N/A,FALSE,"LIQUIDITY GAPS";#N/A,#N/A,FALSE,"GAP Mapping "}</definedName>
    <definedName name="CC_1" localSheetId="13" hidden="1">{#N/A,#N/A,FALSE,"LIQUIDITY GAPS";#N/A,#N/A,FALSE,"GAP Mapping "}</definedName>
    <definedName name="CC_1" localSheetId="6" hidden="1">{#N/A,#N/A,FALSE,"LIQUIDITY GAPS";#N/A,#N/A,FALSE,"GAP Mapping "}</definedName>
    <definedName name="CC_1" localSheetId="5" hidden="1">{#N/A,#N/A,FALSE,"LIQUIDITY GAPS";#N/A,#N/A,FALSE,"GAP Mapping "}</definedName>
    <definedName name="CC_1" localSheetId="2" hidden="1">{#N/A,#N/A,FALSE,"LIQUIDITY GAPS";#N/A,#N/A,FALSE,"GAP Mapping "}</definedName>
    <definedName name="CC_1" hidden="1">{#N/A,#N/A,FALSE,"LIQUIDITY GAPS";#N/A,#N/A,FALSE,"GAP Mapping "}</definedName>
    <definedName name="CC_2" localSheetId="4" hidden="1">{#N/A,#N/A,FALSE,"LIQUIDITY GAPS";#N/A,#N/A,FALSE,"GAP Mapping "}</definedName>
    <definedName name="CC_2" localSheetId="3" hidden="1">{#N/A,#N/A,FALSE,"LIQUIDITY GAPS";#N/A,#N/A,FALSE,"GAP Mapping "}</definedName>
    <definedName name="CC_2" localSheetId="11" hidden="1">{#N/A,#N/A,FALSE,"LIQUIDITY GAPS";#N/A,#N/A,FALSE,"GAP Mapping "}</definedName>
    <definedName name="CC_2" localSheetId="13" hidden="1">{#N/A,#N/A,FALSE,"LIQUIDITY GAPS";#N/A,#N/A,FALSE,"GAP Mapping "}</definedName>
    <definedName name="CC_2" localSheetId="6" hidden="1">{#N/A,#N/A,FALSE,"LIQUIDITY GAPS";#N/A,#N/A,FALSE,"GAP Mapping "}</definedName>
    <definedName name="CC_2" localSheetId="5" hidden="1">{#N/A,#N/A,FALSE,"LIQUIDITY GAPS";#N/A,#N/A,FALSE,"GAP Mapping "}</definedName>
    <definedName name="CC_2" localSheetId="2" hidden="1">{#N/A,#N/A,FALSE,"LIQUIDITY GAPS";#N/A,#N/A,FALSE,"GAP Mapping "}</definedName>
    <definedName name="CC_2" hidden="1">{#N/A,#N/A,FALSE,"LIQUIDITY GAPS";#N/A,#N/A,FALSE,"GAP Mapping "}</definedName>
    <definedName name="CC_2_1" localSheetId="4" hidden="1">{#N/A,#N/A,FALSE,"LIQUIDITY GAPS";#N/A,#N/A,FALSE,"GAP Mapping "}</definedName>
    <definedName name="CC_2_1" localSheetId="3" hidden="1">{#N/A,#N/A,FALSE,"LIQUIDITY GAPS";#N/A,#N/A,FALSE,"GAP Mapping "}</definedName>
    <definedName name="CC_2_1" localSheetId="11" hidden="1">{#N/A,#N/A,FALSE,"LIQUIDITY GAPS";#N/A,#N/A,FALSE,"GAP Mapping "}</definedName>
    <definedName name="CC_2_1" localSheetId="13" hidden="1">{#N/A,#N/A,FALSE,"LIQUIDITY GAPS";#N/A,#N/A,FALSE,"GAP Mapping "}</definedName>
    <definedName name="CC_2_1" localSheetId="6" hidden="1">{#N/A,#N/A,FALSE,"LIQUIDITY GAPS";#N/A,#N/A,FALSE,"GAP Mapping "}</definedName>
    <definedName name="CC_2_1" localSheetId="5" hidden="1">{#N/A,#N/A,FALSE,"LIQUIDITY GAPS";#N/A,#N/A,FALSE,"GAP Mapping "}</definedName>
    <definedName name="CC_2_1" localSheetId="2" hidden="1">{#N/A,#N/A,FALSE,"LIQUIDITY GAPS";#N/A,#N/A,FALSE,"GAP Mapping "}</definedName>
    <definedName name="CC_2_1" hidden="1">{#N/A,#N/A,FALSE,"LIQUIDITY GAPS";#N/A,#N/A,FALSE,"GAP Mapping "}</definedName>
    <definedName name="CC_2_2" localSheetId="4" hidden="1">{#N/A,#N/A,FALSE,"LIQUIDITY GAPS";#N/A,#N/A,FALSE,"GAP Mapping "}</definedName>
    <definedName name="CC_2_2" localSheetId="3" hidden="1">{#N/A,#N/A,FALSE,"LIQUIDITY GAPS";#N/A,#N/A,FALSE,"GAP Mapping "}</definedName>
    <definedName name="CC_2_2" localSheetId="11" hidden="1">{#N/A,#N/A,FALSE,"LIQUIDITY GAPS";#N/A,#N/A,FALSE,"GAP Mapping "}</definedName>
    <definedName name="CC_2_2" localSheetId="13" hidden="1">{#N/A,#N/A,FALSE,"LIQUIDITY GAPS";#N/A,#N/A,FALSE,"GAP Mapping "}</definedName>
    <definedName name="CC_2_2" localSheetId="6" hidden="1">{#N/A,#N/A,FALSE,"LIQUIDITY GAPS";#N/A,#N/A,FALSE,"GAP Mapping "}</definedName>
    <definedName name="CC_2_2" localSheetId="5" hidden="1">{#N/A,#N/A,FALSE,"LIQUIDITY GAPS";#N/A,#N/A,FALSE,"GAP Mapping "}</definedName>
    <definedName name="CC_2_2" localSheetId="2" hidden="1">{#N/A,#N/A,FALSE,"LIQUIDITY GAPS";#N/A,#N/A,FALSE,"GAP Mapping "}</definedName>
    <definedName name="CC_2_2" hidden="1">{#N/A,#N/A,FALSE,"LIQUIDITY GAPS";#N/A,#N/A,FALSE,"GAP Mapping "}</definedName>
    <definedName name="CC_2_3" localSheetId="4" hidden="1">{#N/A,#N/A,FALSE,"LIQUIDITY GAPS";#N/A,#N/A,FALSE,"GAP Mapping "}</definedName>
    <definedName name="CC_2_3" localSheetId="3" hidden="1">{#N/A,#N/A,FALSE,"LIQUIDITY GAPS";#N/A,#N/A,FALSE,"GAP Mapping "}</definedName>
    <definedName name="CC_2_3" localSheetId="11" hidden="1">{#N/A,#N/A,FALSE,"LIQUIDITY GAPS";#N/A,#N/A,FALSE,"GAP Mapping "}</definedName>
    <definedName name="CC_2_3" localSheetId="13" hidden="1">{#N/A,#N/A,FALSE,"LIQUIDITY GAPS";#N/A,#N/A,FALSE,"GAP Mapping "}</definedName>
    <definedName name="CC_2_3" localSheetId="6" hidden="1">{#N/A,#N/A,FALSE,"LIQUIDITY GAPS";#N/A,#N/A,FALSE,"GAP Mapping "}</definedName>
    <definedName name="CC_2_3" localSheetId="5" hidden="1">{#N/A,#N/A,FALSE,"LIQUIDITY GAPS";#N/A,#N/A,FALSE,"GAP Mapping "}</definedName>
    <definedName name="CC_2_3" localSheetId="2" hidden="1">{#N/A,#N/A,FALSE,"LIQUIDITY GAPS";#N/A,#N/A,FALSE,"GAP Mapping "}</definedName>
    <definedName name="CC_2_3" hidden="1">{#N/A,#N/A,FALSE,"LIQUIDITY GAPS";#N/A,#N/A,FALSE,"GAP Mapping "}</definedName>
    <definedName name="CC_3" localSheetId="4" hidden="1">{#N/A,#N/A,FALSE,"LIQUIDITY GAPS";#N/A,#N/A,FALSE,"GAP Mapping "}</definedName>
    <definedName name="CC_3" localSheetId="3" hidden="1">{#N/A,#N/A,FALSE,"LIQUIDITY GAPS";#N/A,#N/A,FALSE,"GAP Mapping "}</definedName>
    <definedName name="CC_3" localSheetId="11" hidden="1">{#N/A,#N/A,FALSE,"LIQUIDITY GAPS";#N/A,#N/A,FALSE,"GAP Mapping "}</definedName>
    <definedName name="CC_3" localSheetId="13" hidden="1">{#N/A,#N/A,FALSE,"LIQUIDITY GAPS";#N/A,#N/A,FALSE,"GAP Mapping "}</definedName>
    <definedName name="CC_3" localSheetId="6" hidden="1">{#N/A,#N/A,FALSE,"LIQUIDITY GAPS";#N/A,#N/A,FALSE,"GAP Mapping "}</definedName>
    <definedName name="CC_3" localSheetId="5" hidden="1">{#N/A,#N/A,FALSE,"LIQUIDITY GAPS";#N/A,#N/A,FALSE,"GAP Mapping "}</definedName>
    <definedName name="CC_3" localSheetId="2" hidden="1">{#N/A,#N/A,FALSE,"LIQUIDITY GAPS";#N/A,#N/A,FALSE,"GAP Mapping "}</definedName>
    <definedName name="CC_3" hidden="1">{#N/A,#N/A,FALSE,"LIQUIDITY GAPS";#N/A,#N/A,FALSE,"GAP Mapping "}</definedName>
    <definedName name="CC_4" localSheetId="4" hidden="1">{#N/A,#N/A,FALSE,"LIQUIDITY GAPS";#N/A,#N/A,FALSE,"GAP Mapping "}</definedName>
    <definedName name="CC_4" localSheetId="3" hidden="1">{#N/A,#N/A,FALSE,"LIQUIDITY GAPS";#N/A,#N/A,FALSE,"GAP Mapping "}</definedName>
    <definedName name="CC_4" localSheetId="11" hidden="1">{#N/A,#N/A,FALSE,"LIQUIDITY GAPS";#N/A,#N/A,FALSE,"GAP Mapping "}</definedName>
    <definedName name="CC_4" localSheetId="13" hidden="1">{#N/A,#N/A,FALSE,"LIQUIDITY GAPS";#N/A,#N/A,FALSE,"GAP Mapping "}</definedName>
    <definedName name="CC_4" localSheetId="6" hidden="1">{#N/A,#N/A,FALSE,"LIQUIDITY GAPS";#N/A,#N/A,FALSE,"GAP Mapping "}</definedName>
    <definedName name="CC_4" localSheetId="5" hidden="1">{#N/A,#N/A,FALSE,"LIQUIDITY GAPS";#N/A,#N/A,FALSE,"GAP Mapping "}</definedName>
    <definedName name="CC_4" localSheetId="2" hidden="1">{#N/A,#N/A,FALSE,"LIQUIDITY GAPS";#N/A,#N/A,FALSE,"GAP Mapping "}</definedName>
    <definedName name="CC_4" hidden="1">{#N/A,#N/A,FALSE,"LIQUIDITY GAPS";#N/A,#N/A,FALSE,"GAP Mapping "}</definedName>
    <definedName name="CC_5" localSheetId="4" hidden="1">{#N/A,#N/A,FALSE,"LIQUIDITY GAPS";#N/A,#N/A,FALSE,"GAP Mapping "}</definedName>
    <definedName name="CC_5" localSheetId="3" hidden="1">{#N/A,#N/A,FALSE,"LIQUIDITY GAPS";#N/A,#N/A,FALSE,"GAP Mapping "}</definedName>
    <definedName name="CC_5" localSheetId="11" hidden="1">{#N/A,#N/A,FALSE,"LIQUIDITY GAPS";#N/A,#N/A,FALSE,"GAP Mapping "}</definedName>
    <definedName name="CC_5" localSheetId="13" hidden="1">{#N/A,#N/A,FALSE,"LIQUIDITY GAPS";#N/A,#N/A,FALSE,"GAP Mapping "}</definedName>
    <definedName name="CC_5" localSheetId="6" hidden="1">{#N/A,#N/A,FALSE,"LIQUIDITY GAPS";#N/A,#N/A,FALSE,"GAP Mapping "}</definedName>
    <definedName name="CC_5" localSheetId="5" hidden="1">{#N/A,#N/A,FALSE,"LIQUIDITY GAPS";#N/A,#N/A,FALSE,"GAP Mapping "}</definedName>
    <definedName name="CC_5" localSheetId="2" hidden="1">{#N/A,#N/A,FALSE,"LIQUIDITY GAPS";#N/A,#N/A,FALSE,"GAP Mapping "}</definedName>
    <definedName name="CC_5" hidden="1">{#N/A,#N/A,FALSE,"LIQUIDITY GAPS";#N/A,#N/A,FALSE,"GAP Mapping "}</definedName>
    <definedName name="ccy">#REF!</definedName>
    <definedName name="cd">#REF!</definedName>
    <definedName name="ce">#REF!</definedName>
    <definedName name="cf">#REF!</definedName>
    <definedName name="CFamt1">#REF!</definedName>
    <definedName name="CFamt2">#REF!</definedName>
    <definedName name="cflow">[29]A!#REF!</definedName>
    <definedName name="cg">#REF!</definedName>
    <definedName name="ch">#REF!</definedName>
    <definedName name="CHKT">#REF!</definedName>
    <definedName name="ci">#REF!</definedName>
    <definedName name="cj">#REF!</definedName>
    <definedName name="ck">#REF!</definedName>
    <definedName name="cl">#REF!</definedName>
    <definedName name="cm">#REF!</definedName>
    <definedName name="cn">#REF!</definedName>
    <definedName name="co">#REF!</definedName>
    <definedName name="CodeRan">#REF!</definedName>
    <definedName name="Codes">#REF!</definedName>
    <definedName name="COI">#REF!</definedName>
    <definedName name="COI_LEND.">#REF!</definedName>
    <definedName name="cons" localSheetId="4" hidden="1">{"'CALL MONEY'!$K$53"}</definedName>
    <definedName name="cons" localSheetId="3" hidden="1">{"'CALL MONEY'!$K$53"}</definedName>
    <definedName name="cons" localSheetId="11" hidden="1">{"'CALL MONEY'!$K$53"}</definedName>
    <definedName name="cons" localSheetId="13" hidden="1">{"'CALL MONEY'!$K$53"}</definedName>
    <definedName name="cons" localSheetId="6" hidden="1">{"'CALL MONEY'!$K$53"}</definedName>
    <definedName name="cons" localSheetId="5" hidden="1">{"'CALL MONEY'!$K$53"}</definedName>
    <definedName name="cons" localSheetId="2" hidden="1">{"'CALL MONEY'!$K$53"}</definedName>
    <definedName name="cons" hidden="1">{"'CALL MONEY'!$K$53"}</definedName>
    <definedName name="CORRECT">#REF!</definedName>
    <definedName name="cp">#REF!</definedName>
    <definedName name="CR">#REF!</definedName>
    <definedName name="CurAdv" localSheetId="6">[27]Bank!$AE$1:$AE$65536</definedName>
    <definedName name="CurAdv" localSheetId="5">[27]Bank!$AE$1:$AE$65536</definedName>
    <definedName name="CurAdv" localSheetId="2">[27]Bank!$AE$1:$AE$65536</definedName>
    <definedName name="CurAdv">[28]Bank!$AE$1:$AE$65536</definedName>
    <definedName name="CurDep" localSheetId="6">[27]Sheet1!$A$1:$D$65536</definedName>
    <definedName name="CurDep" localSheetId="5">[27]Sheet1!$A$1:$D$65536</definedName>
    <definedName name="CurDep" localSheetId="2">[27]Sheet1!$A$1:$D$65536</definedName>
    <definedName name="CurDep">[28]Sheet1!$A$1:$D$65536</definedName>
    <definedName name="CurFcy" localSheetId="6">[27]Sheet2!$A$1:$C$65536</definedName>
    <definedName name="CurFcy" localSheetId="5">[27]Sheet2!$A$1:$C$65536</definedName>
    <definedName name="CurFcy" localSheetId="2">[27]Sheet2!$A$1:$C$65536</definedName>
    <definedName name="CurFcy">[28]Sheet2!$A$1:$C$65536</definedName>
    <definedName name="Currency">#REF!</definedName>
    <definedName name="CurYear">#REF!</definedName>
    <definedName name="CYear1">#REF!</definedName>
    <definedName name="CYear2">#REF!</definedName>
    <definedName name="CYear3">#REF!</definedName>
    <definedName name="CYear4">#REF!</definedName>
    <definedName name="d" localSheetId="4" hidden="1">{#N/A,#N/A,FALSE,"LIQUIDITY GAPS";#N/A,#N/A,FALSE,"GAP Mapping "}</definedName>
    <definedName name="d" localSheetId="3" hidden="1">{#N/A,#N/A,FALSE,"LIQUIDITY GAPS";#N/A,#N/A,FALSE,"GAP Mapping "}</definedName>
    <definedName name="d" localSheetId="11" hidden="1">{#N/A,#N/A,FALSE,"LIQUIDITY GAPS";#N/A,#N/A,FALSE,"GAP Mapping "}</definedName>
    <definedName name="d" localSheetId="13" hidden="1">{#N/A,#N/A,FALSE,"LIQUIDITY GAPS";#N/A,#N/A,FALSE,"GAP Mapping "}</definedName>
    <definedName name="d" localSheetId="6" hidden="1">{#N/A,#N/A,FALSE,"LIQUIDITY GAPS";#N/A,#N/A,FALSE,"GAP Mapping "}</definedName>
    <definedName name="d" localSheetId="5" hidden="1">{#N/A,#N/A,FALSE,"LIQUIDITY GAPS";#N/A,#N/A,FALSE,"GAP Mapping "}</definedName>
    <definedName name="d" localSheetId="2" hidden="1">{#N/A,#N/A,FALSE,"LIQUIDITY GAPS";#N/A,#N/A,FALSE,"GAP Mapping "}</definedName>
    <definedName name="d" hidden="1">{#N/A,#N/A,FALSE,"LIQUIDITY GAPS";#N/A,#N/A,FALSE,"GAP Mapping "}</definedName>
    <definedName name="d_1" localSheetId="4" hidden="1">{#N/A,#N/A,FALSE,"LIQUIDITY GAPS";#N/A,#N/A,FALSE,"GAP Mapping "}</definedName>
    <definedName name="d_1" localSheetId="3" hidden="1">{#N/A,#N/A,FALSE,"LIQUIDITY GAPS";#N/A,#N/A,FALSE,"GAP Mapping "}</definedName>
    <definedName name="d_1" localSheetId="11" hidden="1">{#N/A,#N/A,FALSE,"LIQUIDITY GAPS";#N/A,#N/A,FALSE,"GAP Mapping "}</definedName>
    <definedName name="d_1" localSheetId="13" hidden="1">{#N/A,#N/A,FALSE,"LIQUIDITY GAPS";#N/A,#N/A,FALSE,"GAP Mapping "}</definedName>
    <definedName name="d_1" localSheetId="6" hidden="1">{#N/A,#N/A,FALSE,"LIQUIDITY GAPS";#N/A,#N/A,FALSE,"GAP Mapping "}</definedName>
    <definedName name="d_1" localSheetId="5" hidden="1">{#N/A,#N/A,FALSE,"LIQUIDITY GAPS";#N/A,#N/A,FALSE,"GAP Mapping "}</definedName>
    <definedName name="d_1" localSheetId="2" hidden="1">{#N/A,#N/A,FALSE,"LIQUIDITY GAPS";#N/A,#N/A,FALSE,"GAP Mapping "}</definedName>
    <definedName name="d_1" hidden="1">{#N/A,#N/A,FALSE,"LIQUIDITY GAPS";#N/A,#N/A,FALSE,"GAP Mapping "}</definedName>
    <definedName name="d_1_1" localSheetId="4" hidden="1">{#N/A,#N/A,FALSE,"LIQUIDITY GAPS";#N/A,#N/A,FALSE,"GAP Mapping "}</definedName>
    <definedName name="d_1_1" localSheetId="3" hidden="1">{#N/A,#N/A,FALSE,"LIQUIDITY GAPS";#N/A,#N/A,FALSE,"GAP Mapping "}</definedName>
    <definedName name="d_1_1" localSheetId="11" hidden="1">{#N/A,#N/A,FALSE,"LIQUIDITY GAPS";#N/A,#N/A,FALSE,"GAP Mapping "}</definedName>
    <definedName name="d_1_1" localSheetId="13" hidden="1">{#N/A,#N/A,FALSE,"LIQUIDITY GAPS";#N/A,#N/A,FALSE,"GAP Mapping "}</definedName>
    <definedName name="d_1_1" localSheetId="6" hidden="1">{#N/A,#N/A,FALSE,"LIQUIDITY GAPS";#N/A,#N/A,FALSE,"GAP Mapping "}</definedName>
    <definedName name="d_1_1" localSheetId="5" hidden="1">{#N/A,#N/A,FALSE,"LIQUIDITY GAPS";#N/A,#N/A,FALSE,"GAP Mapping "}</definedName>
    <definedName name="d_1_1" localSheetId="2" hidden="1">{#N/A,#N/A,FALSE,"LIQUIDITY GAPS";#N/A,#N/A,FALSE,"GAP Mapping "}</definedName>
    <definedName name="d_1_1" hidden="1">{#N/A,#N/A,FALSE,"LIQUIDITY GAPS";#N/A,#N/A,FALSE,"GAP Mapping "}</definedName>
    <definedName name="d_1_2" localSheetId="4" hidden="1">{#N/A,#N/A,FALSE,"LIQUIDITY GAPS";#N/A,#N/A,FALSE,"GAP Mapping "}</definedName>
    <definedName name="d_1_2" localSheetId="3" hidden="1">{#N/A,#N/A,FALSE,"LIQUIDITY GAPS";#N/A,#N/A,FALSE,"GAP Mapping "}</definedName>
    <definedName name="d_1_2" localSheetId="11" hidden="1">{#N/A,#N/A,FALSE,"LIQUIDITY GAPS";#N/A,#N/A,FALSE,"GAP Mapping "}</definedName>
    <definedName name="d_1_2" localSheetId="13" hidden="1">{#N/A,#N/A,FALSE,"LIQUIDITY GAPS";#N/A,#N/A,FALSE,"GAP Mapping "}</definedName>
    <definedName name="d_1_2" localSheetId="6" hidden="1">{#N/A,#N/A,FALSE,"LIQUIDITY GAPS";#N/A,#N/A,FALSE,"GAP Mapping "}</definedName>
    <definedName name="d_1_2" localSheetId="5" hidden="1">{#N/A,#N/A,FALSE,"LIQUIDITY GAPS";#N/A,#N/A,FALSE,"GAP Mapping "}</definedName>
    <definedName name="d_1_2" localSheetId="2" hidden="1">{#N/A,#N/A,FALSE,"LIQUIDITY GAPS";#N/A,#N/A,FALSE,"GAP Mapping "}</definedName>
    <definedName name="d_1_2" hidden="1">{#N/A,#N/A,FALSE,"LIQUIDITY GAPS";#N/A,#N/A,FALSE,"GAP Mapping "}</definedName>
    <definedName name="d_1_3" localSheetId="4" hidden="1">{#N/A,#N/A,FALSE,"LIQUIDITY GAPS";#N/A,#N/A,FALSE,"GAP Mapping "}</definedName>
    <definedName name="d_1_3" localSheetId="3" hidden="1">{#N/A,#N/A,FALSE,"LIQUIDITY GAPS";#N/A,#N/A,FALSE,"GAP Mapping "}</definedName>
    <definedName name="d_1_3" localSheetId="11" hidden="1">{#N/A,#N/A,FALSE,"LIQUIDITY GAPS";#N/A,#N/A,FALSE,"GAP Mapping "}</definedName>
    <definedName name="d_1_3" localSheetId="13" hidden="1">{#N/A,#N/A,FALSE,"LIQUIDITY GAPS";#N/A,#N/A,FALSE,"GAP Mapping "}</definedName>
    <definedName name="d_1_3" localSheetId="6" hidden="1">{#N/A,#N/A,FALSE,"LIQUIDITY GAPS";#N/A,#N/A,FALSE,"GAP Mapping "}</definedName>
    <definedName name="d_1_3" localSheetId="5" hidden="1">{#N/A,#N/A,FALSE,"LIQUIDITY GAPS";#N/A,#N/A,FALSE,"GAP Mapping "}</definedName>
    <definedName name="d_1_3" localSheetId="2" hidden="1">{#N/A,#N/A,FALSE,"LIQUIDITY GAPS";#N/A,#N/A,FALSE,"GAP Mapping "}</definedName>
    <definedName name="d_1_3" hidden="1">{#N/A,#N/A,FALSE,"LIQUIDITY GAPS";#N/A,#N/A,FALSE,"GAP Mapping "}</definedName>
    <definedName name="d_1_4" localSheetId="4" hidden="1">{#N/A,#N/A,FALSE,"LIQUIDITY GAPS";#N/A,#N/A,FALSE,"GAP Mapping "}</definedName>
    <definedName name="d_1_4" localSheetId="3" hidden="1">{#N/A,#N/A,FALSE,"LIQUIDITY GAPS";#N/A,#N/A,FALSE,"GAP Mapping "}</definedName>
    <definedName name="d_1_4" localSheetId="11" hidden="1">{#N/A,#N/A,FALSE,"LIQUIDITY GAPS";#N/A,#N/A,FALSE,"GAP Mapping "}</definedName>
    <definedName name="d_1_4" localSheetId="13" hidden="1">{#N/A,#N/A,FALSE,"LIQUIDITY GAPS";#N/A,#N/A,FALSE,"GAP Mapping "}</definedName>
    <definedName name="d_1_4" localSheetId="6" hidden="1">{#N/A,#N/A,FALSE,"LIQUIDITY GAPS";#N/A,#N/A,FALSE,"GAP Mapping "}</definedName>
    <definedName name="d_1_4" localSheetId="5" hidden="1">{#N/A,#N/A,FALSE,"LIQUIDITY GAPS";#N/A,#N/A,FALSE,"GAP Mapping "}</definedName>
    <definedName name="d_1_4" localSheetId="2" hidden="1">{#N/A,#N/A,FALSE,"LIQUIDITY GAPS";#N/A,#N/A,FALSE,"GAP Mapping "}</definedName>
    <definedName name="d_1_4" hidden="1">{#N/A,#N/A,FALSE,"LIQUIDITY GAPS";#N/A,#N/A,FALSE,"GAP Mapping "}</definedName>
    <definedName name="d_2" localSheetId="4" hidden="1">{#N/A,#N/A,FALSE,"LIQUIDITY GAPS";#N/A,#N/A,FALSE,"GAP Mapping "}</definedName>
    <definedName name="d_2" localSheetId="3" hidden="1">{#N/A,#N/A,FALSE,"LIQUIDITY GAPS";#N/A,#N/A,FALSE,"GAP Mapping "}</definedName>
    <definedName name="d_2" localSheetId="11" hidden="1">{#N/A,#N/A,FALSE,"LIQUIDITY GAPS";#N/A,#N/A,FALSE,"GAP Mapping "}</definedName>
    <definedName name="d_2" localSheetId="13" hidden="1">{#N/A,#N/A,FALSE,"LIQUIDITY GAPS";#N/A,#N/A,FALSE,"GAP Mapping "}</definedName>
    <definedName name="d_2" localSheetId="6" hidden="1">{#N/A,#N/A,FALSE,"LIQUIDITY GAPS";#N/A,#N/A,FALSE,"GAP Mapping "}</definedName>
    <definedName name="d_2" localSheetId="5" hidden="1">{#N/A,#N/A,FALSE,"LIQUIDITY GAPS";#N/A,#N/A,FALSE,"GAP Mapping "}</definedName>
    <definedName name="d_2" localSheetId="2" hidden="1">{#N/A,#N/A,FALSE,"LIQUIDITY GAPS";#N/A,#N/A,FALSE,"GAP Mapping "}</definedName>
    <definedName name="d_2" hidden="1">{#N/A,#N/A,FALSE,"LIQUIDITY GAPS";#N/A,#N/A,FALSE,"GAP Mapping "}</definedName>
    <definedName name="d_3" localSheetId="4" hidden="1">{#N/A,#N/A,FALSE,"LIQUIDITY GAPS";#N/A,#N/A,FALSE,"GAP Mapping "}</definedName>
    <definedName name="d_3" localSheetId="3" hidden="1">{#N/A,#N/A,FALSE,"LIQUIDITY GAPS";#N/A,#N/A,FALSE,"GAP Mapping "}</definedName>
    <definedName name="d_3" localSheetId="11" hidden="1">{#N/A,#N/A,FALSE,"LIQUIDITY GAPS";#N/A,#N/A,FALSE,"GAP Mapping "}</definedName>
    <definedName name="d_3" localSheetId="13" hidden="1">{#N/A,#N/A,FALSE,"LIQUIDITY GAPS";#N/A,#N/A,FALSE,"GAP Mapping "}</definedName>
    <definedName name="d_3" localSheetId="6" hidden="1">{#N/A,#N/A,FALSE,"LIQUIDITY GAPS";#N/A,#N/A,FALSE,"GAP Mapping "}</definedName>
    <definedName name="d_3" localSheetId="5" hidden="1">{#N/A,#N/A,FALSE,"LIQUIDITY GAPS";#N/A,#N/A,FALSE,"GAP Mapping "}</definedName>
    <definedName name="d_3" localSheetId="2" hidden="1">{#N/A,#N/A,FALSE,"LIQUIDITY GAPS";#N/A,#N/A,FALSE,"GAP Mapping "}</definedName>
    <definedName name="d_3" hidden="1">{#N/A,#N/A,FALSE,"LIQUIDITY GAPS";#N/A,#N/A,FALSE,"GAP Mapping "}</definedName>
    <definedName name="d_4" localSheetId="4" hidden="1">{#N/A,#N/A,FALSE,"LIQUIDITY GAPS";#N/A,#N/A,FALSE,"GAP Mapping "}</definedName>
    <definedName name="d_4" localSheetId="3" hidden="1">{#N/A,#N/A,FALSE,"LIQUIDITY GAPS";#N/A,#N/A,FALSE,"GAP Mapping "}</definedName>
    <definedName name="d_4" localSheetId="11" hidden="1">{#N/A,#N/A,FALSE,"LIQUIDITY GAPS";#N/A,#N/A,FALSE,"GAP Mapping "}</definedName>
    <definedName name="d_4" localSheetId="13" hidden="1">{#N/A,#N/A,FALSE,"LIQUIDITY GAPS";#N/A,#N/A,FALSE,"GAP Mapping "}</definedName>
    <definedName name="d_4" localSheetId="6" hidden="1">{#N/A,#N/A,FALSE,"LIQUIDITY GAPS";#N/A,#N/A,FALSE,"GAP Mapping "}</definedName>
    <definedName name="d_4" localSheetId="5" hidden="1">{#N/A,#N/A,FALSE,"LIQUIDITY GAPS";#N/A,#N/A,FALSE,"GAP Mapping "}</definedName>
    <definedName name="d_4" localSheetId="2" hidden="1">{#N/A,#N/A,FALSE,"LIQUIDITY GAPS";#N/A,#N/A,FALSE,"GAP Mapping "}</definedName>
    <definedName name="d_4" hidden="1">{#N/A,#N/A,FALSE,"LIQUIDITY GAPS";#N/A,#N/A,FALSE,"GAP Mapping "}</definedName>
    <definedName name="da">#REF!</definedName>
    <definedName name="DAILY">#REF!</definedName>
    <definedName name="Data" localSheetId="6">[30]DataProductWise!$A$2:$O$280</definedName>
    <definedName name="Data" localSheetId="5">[30]DataProductWise!$A$2:$O$280</definedName>
    <definedName name="Data" localSheetId="2">[30]DataProductWise!$A$2:$O$280</definedName>
    <definedName name="Data">[31]DataProductWise!$A$2:$O$280</definedName>
    <definedName name="_xlnm.Database">#REF!</definedName>
    <definedName name="days">#REF!</definedName>
    <definedName name="Dayss">#REF!</definedName>
    <definedName name="DBamt1">#REF!</definedName>
    <definedName name="DBamt2">#REF!</definedName>
    <definedName name="DD">'[1]last qrt2001'!#REF!</definedName>
    <definedName name="DDDD" localSheetId="4" hidden="1">{#N/A,#N/A,FALSE,"LIQUIDITY GAPS";#N/A,#N/A,FALSE,"GAP Mapping "}</definedName>
    <definedName name="DDDD" localSheetId="3" hidden="1">{#N/A,#N/A,FALSE,"LIQUIDITY GAPS";#N/A,#N/A,FALSE,"GAP Mapping "}</definedName>
    <definedName name="DDDD" localSheetId="11" hidden="1">{#N/A,#N/A,FALSE,"LIQUIDITY GAPS";#N/A,#N/A,FALSE,"GAP Mapping "}</definedName>
    <definedName name="DDDD" localSheetId="13" hidden="1">{#N/A,#N/A,FALSE,"LIQUIDITY GAPS";#N/A,#N/A,FALSE,"GAP Mapping "}</definedName>
    <definedName name="DDDD" localSheetId="6" hidden="1">{#N/A,#N/A,FALSE,"LIQUIDITY GAPS";#N/A,#N/A,FALSE,"GAP Mapping "}</definedName>
    <definedName name="DDDD" localSheetId="5" hidden="1">{#N/A,#N/A,FALSE,"LIQUIDITY GAPS";#N/A,#N/A,FALSE,"GAP Mapping "}</definedName>
    <definedName name="DDDD" localSheetId="2" hidden="1">{#N/A,#N/A,FALSE,"LIQUIDITY GAPS";#N/A,#N/A,FALSE,"GAP Mapping "}</definedName>
    <definedName name="DDDD" hidden="1">{#N/A,#N/A,FALSE,"LIQUIDITY GAPS";#N/A,#N/A,FALSE,"GAP Mapping "}</definedName>
    <definedName name="DDDD_1" localSheetId="4" hidden="1">{#N/A,#N/A,FALSE,"LIQUIDITY GAPS";#N/A,#N/A,FALSE,"GAP Mapping "}</definedName>
    <definedName name="DDDD_1" localSheetId="3" hidden="1">{#N/A,#N/A,FALSE,"LIQUIDITY GAPS";#N/A,#N/A,FALSE,"GAP Mapping "}</definedName>
    <definedName name="DDDD_1" localSheetId="11" hidden="1">{#N/A,#N/A,FALSE,"LIQUIDITY GAPS";#N/A,#N/A,FALSE,"GAP Mapping "}</definedName>
    <definedName name="DDDD_1" localSheetId="13" hidden="1">{#N/A,#N/A,FALSE,"LIQUIDITY GAPS";#N/A,#N/A,FALSE,"GAP Mapping "}</definedName>
    <definedName name="DDDD_1" localSheetId="6" hidden="1">{#N/A,#N/A,FALSE,"LIQUIDITY GAPS";#N/A,#N/A,FALSE,"GAP Mapping "}</definedName>
    <definedName name="DDDD_1" localSheetId="5" hidden="1">{#N/A,#N/A,FALSE,"LIQUIDITY GAPS";#N/A,#N/A,FALSE,"GAP Mapping "}</definedName>
    <definedName name="DDDD_1" localSheetId="2" hidden="1">{#N/A,#N/A,FALSE,"LIQUIDITY GAPS";#N/A,#N/A,FALSE,"GAP Mapping "}</definedName>
    <definedName name="DDDD_1" hidden="1">{#N/A,#N/A,FALSE,"LIQUIDITY GAPS";#N/A,#N/A,FALSE,"GAP Mapping "}</definedName>
    <definedName name="DDDD_2" localSheetId="4" hidden="1">{#N/A,#N/A,FALSE,"LIQUIDITY GAPS";#N/A,#N/A,FALSE,"GAP Mapping "}</definedName>
    <definedName name="DDDD_2" localSheetId="3" hidden="1">{#N/A,#N/A,FALSE,"LIQUIDITY GAPS";#N/A,#N/A,FALSE,"GAP Mapping "}</definedName>
    <definedName name="DDDD_2" localSheetId="11" hidden="1">{#N/A,#N/A,FALSE,"LIQUIDITY GAPS";#N/A,#N/A,FALSE,"GAP Mapping "}</definedName>
    <definedName name="DDDD_2" localSheetId="13" hidden="1">{#N/A,#N/A,FALSE,"LIQUIDITY GAPS";#N/A,#N/A,FALSE,"GAP Mapping "}</definedName>
    <definedName name="DDDD_2" localSheetId="6" hidden="1">{#N/A,#N/A,FALSE,"LIQUIDITY GAPS";#N/A,#N/A,FALSE,"GAP Mapping "}</definedName>
    <definedName name="DDDD_2" localSheetId="5" hidden="1">{#N/A,#N/A,FALSE,"LIQUIDITY GAPS";#N/A,#N/A,FALSE,"GAP Mapping "}</definedName>
    <definedName name="DDDD_2" localSheetId="2" hidden="1">{#N/A,#N/A,FALSE,"LIQUIDITY GAPS";#N/A,#N/A,FALSE,"GAP Mapping "}</definedName>
    <definedName name="DDDD_2" hidden="1">{#N/A,#N/A,FALSE,"LIQUIDITY GAPS";#N/A,#N/A,FALSE,"GAP Mapping "}</definedName>
    <definedName name="DDDD_2_1" localSheetId="4" hidden="1">{#N/A,#N/A,FALSE,"LIQUIDITY GAPS";#N/A,#N/A,FALSE,"GAP Mapping "}</definedName>
    <definedName name="DDDD_2_1" localSheetId="3" hidden="1">{#N/A,#N/A,FALSE,"LIQUIDITY GAPS";#N/A,#N/A,FALSE,"GAP Mapping "}</definedName>
    <definedName name="DDDD_2_1" localSheetId="11" hidden="1">{#N/A,#N/A,FALSE,"LIQUIDITY GAPS";#N/A,#N/A,FALSE,"GAP Mapping "}</definedName>
    <definedName name="DDDD_2_1" localSheetId="13" hidden="1">{#N/A,#N/A,FALSE,"LIQUIDITY GAPS";#N/A,#N/A,FALSE,"GAP Mapping "}</definedName>
    <definedName name="DDDD_2_1" localSheetId="6" hidden="1">{#N/A,#N/A,FALSE,"LIQUIDITY GAPS";#N/A,#N/A,FALSE,"GAP Mapping "}</definedName>
    <definedName name="DDDD_2_1" localSheetId="5" hidden="1">{#N/A,#N/A,FALSE,"LIQUIDITY GAPS";#N/A,#N/A,FALSE,"GAP Mapping "}</definedName>
    <definedName name="DDDD_2_1" localSheetId="2" hidden="1">{#N/A,#N/A,FALSE,"LIQUIDITY GAPS";#N/A,#N/A,FALSE,"GAP Mapping "}</definedName>
    <definedName name="DDDD_2_1" hidden="1">{#N/A,#N/A,FALSE,"LIQUIDITY GAPS";#N/A,#N/A,FALSE,"GAP Mapping "}</definedName>
    <definedName name="DDDD_2_2" localSheetId="4" hidden="1">{#N/A,#N/A,FALSE,"LIQUIDITY GAPS";#N/A,#N/A,FALSE,"GAP Mapping "}</definedName>
    <definedName name="DDDD_2_2" localSheetId="3" hidden="1">{#N/A,#N/A,FALSE,"LIQUIDITY GAPS";#N/A,#N/A,FALSE,"GAP Mapping "}</definedName>
    <definedName name="DDDD_2_2" localSheetId="11" hidden="1">{#N/A,#N/A,FALSE,"LIQUIDITY GAPS";#N/A,#N/A,FALSE,"GAP Mapping "}</definedName>
    <definedName name="DDDD_2_2" localSheetId="13" hidden="1">{#N/A,#N/A,FALSE,"LIQUIDITY GAPS";#N/A,#N/A,FALSE,"GAP Mapping "}</definedName>
    <definedName name="DDDD_2_2" localSheetId="6" hidden="1">{#N/A,#N/A,FALSE,"LIQUIDITY GAPS";#N/A,#N/A,FALSE,"GAP Mapping "}</definedName>
    <definedName name="DDDD_2_2" localSheetId="5" hidden="1">{#N/A,#N/A,FALSE,"LIQUIDITY GAPS";#N/A,#N/A,FALSE,"GAP Mapping "}</definedName>
    <definedName name="DDDD_2_2" localSheetId="2" hidden="1">{#N/A,#N/A,FALSE,"LIQUIDITY GAPS";#N/A,#N/A,FALSE,"GAP Mapping "}</definedName>
    <definedName name="DDDD_2_2" hidden="1">{#N/A,#N/A,FALSE,"LIQUIDITY GAPS";#N/A,#N/A,FALSE,"GAP Mapping "}</definedName>
    <definedName name="DDDD_2_3" localSheetId="4" hidden="1">{#N/A,#N/A,FALSE,"LIQUIDITY GAPS";#N/A,#N/A,FALSE,"GAP Mapping "}</definedName>
    <definedName name="DDDD_2_3" localSheetId="3" hidden="1">{#N/A,#N/A,FALSE,"LIQUIDITY GAPS";#N/A,#N/A,FALSE,"GAP Mapping "}</definedName>
    <definedName name="DDDD_2_3" localSheetId="11" hidden="1">{#N/A,#N/A,FALSE,"LIQUIDITY GAPS";#N/A,#N/A,FALSE,"GAP Mapping "}</definedName>
    <definedName name="DDDD_2_3" localSheetId="13" hidden="1">{#N/A,#N/A,FALSE,"LIQUIDITY GAPS";#N/A,#N/A,FALSE,"GAP Mapping "}</definedName>
    <definedName name="DDDD_2_3" localSheetId="6" hidden="1">{#N/A,#N/A,FALSE,"LIQUIDITY GAPS";#N/A,#N/A,FALSE,"GAP Mapping "}</definedName>
    <definedName name="DDDD_2_3" localSheetId="5" hidden="1">{#N/A,#N/A,FALSE,"LIQUIDITY GAPS";#N/A,#N/A,FALSE,"GAP Mapping "}</definedName>
    <definedName name="DDDD_2_3" localSheetId="2" hidden="1">{#N/A,#N/A,FALSE,"LIQUIDITY GAPS";#N/A,#N/A,FALSE,"GAP Mapping "}</definedName>
    <definedName name="DDDD_2_3" hidden="1">{#N/A,#N/A,FALSE,"LIQUIDITY GAPS";#N/A,#N/A,FALSE,"GAP Mapping "}</definedName>
    <definedName name="DDDD_3" localSheetId="4" hidden="1">{#N/A,#N/A,FALSE,"LIQUIDITY GAPS";#N/A,#N/A,FALSE,"GAP Mapping "}</definedName>
    <definedName name="DDDD_3" localSheetId="3" hidden="1">{#N/A,#N/A,FALSE,"LIQUIDITY GAPS";#N/A,#N/A,FALSE,"GAP Mapping "}</definedName>
    <definedName name="DDDD_3" localSheetId="11" hidden="1">{#N/A,#N/A,FALSE,"LIQUIDITY GAPS";#N/A,#N/A,FALSE,"GAP Mapping "}</definedName>
    <definedName name="DDDD_3" localSheetId="13" hidden="1">{#N/A,#N/A,FALSE,"LIQUIDITY GAPS";#N/A,#N/A,FALSE,"GAP Mapping "}</definedName>
    <definedName name="DDDD_3" localSheetId="6" hidden="1">{#N/A,#N/A,FALSE,"LIQUIDITY GAPS";#N/A,#N/A,FALSE,"GAP Mapping "}</definedName>
    <definedName name="DDDD_3" localSheetId="5" hidden="1">{#N/A,#N/A,FALSE,"LIQUIDITY GAPS";#N/A,#N/A,FALSE,"GAP Mapping "}</definedName>
    <definedName name="DDDD_3" localSheetId="2" hidden="1">{#N/A,#N/A,FALSE,"LIQUIDITY GAPS";#N/A,#N/A,FALSE,"GAP Mapping "}</definedName>
    <definedName name="DDDD_3" hidden="1">{#N/A,#N/A,FALSE,"LIQUIDITY GAPS";#N/A,#N/A,FALSE,"GAP Mapping "}</definedName>
    <definedName name="DDDD_4" localSheetId="4" hidden="1">{#N/A,#N/A,FALSE,"LIQUIDITY GAPS";#N/A,#N/A,FALSE,"GAP Mapping "}</definedName>
    <definedName name="DDDD_4" localSheetId="3" hidden="1">{#N/A,#N/A,FALSE,"LIQUIDITY GAPS";#N/A,#N/A,FALSE,"GAP Mapping "}</definedName>
    <definedName name="DDDD_4" localSheetId="11" hidden="1">{#N/A,#N/A,FALSE,"LIQUIDITY GAPS";#N/A,#N/A,FALSE,"GAP Mapping "}</definedName>
    <definedName name="DDDD_4" localSheetId="13" hidden="1">{#N/A,#N/A,FALSE,"LIQUIDITY GAPS";#N/A,#N/A,FALSE,"GAP Mapping "}</definedName>
    <definedName name="DDDD_4" localSheetId="6" hidden="1">{#N/A,#N/A,FALSE,"LIQUIDITY GAPS";#N/A,#N/A,FALSE,"GAP Mapping "}</definedName>
    <definedName name="DDDD_4" localSheetId="5" hidden="1">{#N/A,#N/A,FALSE,"LIQUIDITY GAPS";#N/A,#N/A,FALSE,"GAP Mapping "}</definedName>
    <definedName name="DDDD_4" localSheetId="2" hidden="1">{#N/A,#N/A,FALSE,"LIQUIDITY GAPS";#N/A,#N/A,FALSE,"GAP Mapping "}</definedName>
    <definedName name="DDDD_4" hidden="1">{#N/A,#N/A,FALSE,"LIQUIDITY GAPS";#N/A,#N/A,FALSE,"GAP Mapping "}</definedName>
    <definedName name="DDDD_5" localSheetId="4" hidden="1">{#N/A,#N/A,FALSE,"LIQUIDITY GAPS";#N/A,#N/A,FALSE,"GAP Mapping "}</definedName>
    <definedName name="DDDD_5" localSheetId="3" hidden="1">{#N/A,#N/A,FALSE,"LIQUIDITY GAPS";#N/A,#N/A,FALSE,"GAP Mapping "}</definedName>
    <definedName name="DDDD_5" localSheetId="11" hidden="1">{#N/A,#N/A,FALSE,"LIQUIDITY GAPS";#N/A,#N/A,FALSE,"GAP Mapping "}</definedName>
    <definedName name="DDDD_5" localSheetId="13" hidden="1">{#N/A,#N/A,FALSE,"LIQUIDITY GAPS";#N/A,#N/A,FALSE,"GAP Mapping "}</definedName>
    <definedName name="DDDD_5" localSheetId="6" hidden="1">{#N/A,#N/A,FALSE,"LIQUIDITY GAPS";#N/A,#N/A,FALSE,"GAP Mapping "}</definedName>
    <definedName name="DDDD_5" localSheetId="5" hidden="1">{#N/A,#N/A,FALSE,"LIQUIDITY GAPS";#N/A,#N/A,FALSE,"GAP Mapping "}</definedName>
    <definedName name="DDDD_5" localSheetId="2" hidden="1">{#N/A,#N/A,FALSE,"LIQUIDITY GAPS";#N/A,#N/A,FALSE,"GAP Mapping "}</definedName>
    <definedName name="DDDD_5" hidden="1">{#N/A,#N/A,FALSE,"LIQUIDITY GAPS";#N/A,#N/A,FALSE,"GAP Mapping "}</definedName>
    <definedName name="de" localSheetId="4" hidden="1">{#N/A,#N/A,FALSE,"LIQUIDITY GAPS";#N/A,#N/A,FALSE,"GAP Mapping "}</definedName>
    <definedName name="de" localSheetId="3" hidden="1">{#N/A,#N/A,FALSE,"LIQUIDITY GAPS";#N/A,#N/A,FALSE,"GAP Mapping "}</definedName>
    <definedName name="de" localSheetId="11" hidden="1">{#N/A,#N/A,FALSE,"LIQUIDITY GAPS";#N/A,#N/A,FALSE,"GAP Mapping "}</definedName>
    <definedName name="de" localSheetId="13" hidden="1">{#N/A,#N/A,FALSE,"LIQUIDITY GAPS";#N/A,#N/A,FALSE,"GAP Mapping "}</definedName>
    <definedName name="de" localSheetId="6" hidden="1">{#N/A,#N/A,FALSE,"LIQUIDITY GAPS";#N/A,#N/A,FALSE,"GAP Mapping "}</definedName>
    <definedName name="de" localSheetId="5" hidden="1">{#N/A,#N/A,FALSE,"LIQUIDITY GAPS";#N/A,#N/A,FALSE,"GAP Mapping "}</definedName>
    <definedName name="de" localSheetId="2" hidden="1">{#N/A,#N/A,FALSE,"LIQUIDITY GAPS";#N/A,#N/A,FALSE,"GAP Mapping "}</definedName>
    <definedName name="de" hidden="1">{#N/A,#N/A,FALSE,"LIQUIDITY GAPS";#N/A,#N/A,FALSE,"GAP Mapping "}</definedName>
    <definedName name="de_1" localSheetId="4" hidden="1">{#N/A,#N/A,FALSE,"LIQUIDITY GAPS";#N/A,#N/A,FALSE,"GAP Mapping "}</definedName>
    <definedName name="de_1" localSheetId="3" hidden="1">{#N/A,#N/A,FALSE,"LIQUIDITY GAPS";#N/A,#N/A,FALSE,"GAP Mapping "}</definedName>
    <definedName name="de_1" localSheetId="11" hidden="1">{#N/A,#N/A,FALSE,"LIQUIDITY GAPS";#N/A,#N/A,FALSE,"GAP Mapping "}</definedName>
    <definedName name="de_1" localSheetId="13" hidden="1">{#N/A,#N/A,FALSE,"LIQUIDITY GAPS";#N/A,#N/A,FALSE,"GAP Mapping "}</definedName>
    <definedName name="de_1" localSheetId="6" hidden="1">{#N/A,#N/A,FALSE,"LIQUIDITY GAPS";#N/A,#N/A,FALSE,"GAP Mapping "}</definedName>
    <definedName name="de_1" localSheetId="5" hidden="1">{#N/A,#N/A,FALSE,"LIQUIDITY GAPS";#N/A,#N/A,FALSE,"GAP Mapping "}</definedName>
    <definedName name="de_1" localSheetId="2" hidden="1">{#N/A,#N/A,FALSE,"LIQUIDITY GAPS";#N/A,#N/A,FALSE,"GAP Mapping "}</definedName>
    <definedName name="de_1" hidden="1">{#N/A,#N/A,FALSE,"LIQUIDITY GAPS";#N/A,#N/A,FALSE,"GAP Mapping "}</definedName>
    <definedName name="de_1_1" localSheetId="4" hidden="1">{#N/A,#N/A,FALSE,"LIQUIDITY GAPS";#N/A,#N/A,FALSE,"GAP Mapping "}</definedName>
    <definedName name="de_1_1" localSheetId="3" hidden="1">{#N/A,#N/A,FALSE,"LIQUIDITY GAPS";#N/A,#N/A,FALSE,"GAP Mapping "}</definedName>
    <definedName name="de_1_1" localSheetId="11" hidden="1">{#N/A,#N/A,FALSE,"LIQUIDITY GAPS";#N/A,#N/A,FALSE,"GAP Mapping "}</definedName>
    <definedName name="de_1_1" localSheetId="13" hidden="1">{#N/A,#N/A,FALSE,"LIQUIDITY GAPS";#N/A,#N/A,FALSE,"GAP Mapping "}</definedName>
    <definedName name="de_1_1" localSheetId="6" hidden="1">{#N/A,#N/A,FALSE,"LIQUIDITY GAPS";#N/A,#N/A,FALSE,"GAP Mapping "}</definedName>
    <definedName name="de_1_1" localSheetId="5" hidden="1">{#N/A,#N/A,FALSE,"LIQUIDITY GAPS";#N/A,#N/A,FALSE,"GAP Mapping "}</definedName>
    <definedName name="de_1_1" localSheetId="2" hidden="1">{#N/A,#N/A,FALSE,"LIQUIDITY GAPS";#N/A,#N/A,FALSE,"GAP Mapping "}</definedName>
    <definedName name="de_1_1" hidden="1">{#N/A,#N/A,FALSE,"LIQUIDITY GAPS";#N/A,#N/A,FALSE,"GAP Mapping "}</definedName>
    <definedName name="de_1_2" localSheetId="4" hidden="1">{#N/A,#N/A,FALSE,"LIQUIDITY GAPS";#N/A,#N/A,FALSE,"GAP Mapping "}</definedName>
    <definedName name="de_1_2" localSheetId="3" hidden="1">{#N/A,#N/A,FALSE,"LIQUIDITY GAPS";#N/A,#N/A,FALSE,"GAP Mapping "}</definedName>
    <definedName name="de_1_2" localSheetId="11" hidden="1">{#N/A,#N/A,FALSE,"LIQUIDITY GAPS";#N/A,#N/A,FALSE,"GAP Mapping "}</definedName>
    <definedName name="de_1_2" localSheetId="13" hidden="1">{#N/A,#N/A,FALSE,"LIQUIDITY GAPS";#N/A,#N/A,FALSE,"GAP Mapping "}</definedName>
    <definedName name="de_1_2" localSheetId="6" hidden="1">{#N/A,#N/A,FALSE,"LIQUIDITY GAPS";#N/A,#N/A,FALSE,"GAP Mapping "}</definedName>
    <definedName name="de_1_2" localSheetId="5" hidden="1">{#N/A,#N/A,FALSE,"LIQUIDITY GAPS";#N/A,#N/A,FALSE,"GAP Mapping "}</definedName>
    <definedName name="de_1_2" localSheetId="2" hidden="1">{#N/A,#N/A,FALSE,"LIQUIDITY GAPS";#N/A,#N/A,FALSE,"GAP Mapping "}</definedName>
    <definedName name="de_1_2" hidden="1">{#N/A,#N/A,FALSE,"LIQUIDITY GAPS";#N/A,#N/A,FALSE,"GAP Mapping "}</definedName>
    <definedName name="de_1_3" localSheetId="4" hidden="1">{#N/A,#N/A,FALSE,"LIQUIDITY GAPS";#N/A,#N/A,FALSE,"GAP Mapping "}</definedName>
    <definedName name="de_1_3" localSheetId="3" hidden="1">{#N/A,#N/A,FALSE,"LIQUIDITY GAPS";#N/A,#N/A,FALSE,"GAP Mapping "}</definedName>
    <definedName name="de_1_3" localSheetId="11" hidden="1">{#N/A,#N/A,FALSE,"LIQUIDITY GAPS";#N/A,#N/A,FALSE,"GAP Mapping "}</definedName>
    <definedName name="de_1_3" localSheetId="13" hidden="1">{#N/A,#N/A,FALSE,"LIQUIDITY GAPS";#N/A,#N/A,FALSE,"GAP Mapping "}</definedName>
    <definedName name="de_1_3" localSheetId="6" hidden="1">{#N/A,#N/A,FALSE,"LIQUIDITY GAPS";#N/A,#N/A,FALSE,"GAP Mapping "}</definedName>
    <definedName name="de_1_3" localSheetId="5" hidden="1">{#N/A,#N/A,FALSE,"LIQUIDITY GAPS";#N/A,#N/A,FALSE,"GAP Mapping "}</definedName>
    <definedName name="de_1_3" localSheetId="2" hidden="1">{#N/A,#N/A,FALSE,"LIQUIDITY GAPS";#N/A,#N/A,FALSE,"GAP Mapping "}</definedName>
    <definedName name="de_1_3" hidden="1">{#N/A,#N/A,FALSE,"LIQUIDITY GAPS";#N/A,#N/A,FALSE,"GAP Mapping "}</definedName>
    <definedName name="de_1_4" localSheetId="4" hidden="1">{#N/A,#N/A,FALSE,"LIQUIDITY GAPS";#N/A,#N/A,FALSE,"GAP Mapping "}</definedName>
    <definedName name="de_1_4" localSheetId="3" hidden="1">{#N/A,#N/A,FALSE,"LIQUIDITY GAPS";#N/A,#N/A,FALSE,"GAP Mapping "}</definedName>
    <definedName name="de_1_4" localSheetId="11" hidden="1">{#N/A,#N/A,FALSE,"LIQUIDITY GAPS";#N/A,#N/A,FALSE,"GAP Mapping "}</definedName>
    <definedName name="de_1_4" localSheetId="13" hidden="1">{#N/A,#N/A,FALSE,"LIQUIDITY GAPS";#N/A,#N/A,FALSE,"GAP Mapping "}</definedName>
    <definedName name="de_1_4" localSheetId="6" hidden="1">{#N/A,#N/A,FALSE,"LIQUIDITY GAPS";#N/A,#N/A,FALSE,"GAP Mapping "}</definedName>
    <definedName name="de_1_4" localSheetId="5" hidden="1">{#N/A,#N/A,FALSE,"LIQUIDITY GAPS";#N/A,#N/A,FALSE,"GAP Mapping "}</definedName>
    <definedName name="de_1_4" localSheetId="2" hidden="1">{#N/A,#N/A,FALSE,"LIQUIDITY GAPS";#N/A,#N/A,FALSE,"GAP Mapping "}</definedName>
    <definedName name="de_1_4" hidden="1">{#N/A,#N/A,FALSE,"LIQUIDITY GAPS";#N/A,#N/A,FALSE,"GAP Mapping "}</definedName>
    <definedName name="de_2" localSheetId="4" hidden="1">{#N/A,#N/A,FALSE,"LIQUIDITY GAPS";#N/A,#N/A,FALSE,"GAP Mapping "}</definedName>
    <definedName name="de_2" localSheetId="3" hidden="1">{#N/A,#N/A,FALSE,"LIQUIDITY GAPS";#N/A,#N/A,FALSE,"GAP Mapping "}</definedName>
    <definedName name="de_2" localSheetId="11" hidden="1">{#N/A,#N/A,FALSE,"LIQUIDITY GAPS";#N/A,#N/A,FALSE,"GAP Mapping "}</definedName>
    <definedName name="de_2" localSheetId="13" hidden="1">{#N/A,#N/A,FALSE,"LIQUIDITY GAPS";#N/A,#N/A,FALSE,"GAP Mapping "}</definedName>
    <definedName name="de_2" localSheetId="6" hidden="1">{#N/A,#N/A,FALSE,"LIQUIDITY GAPS";#N/A,#N/A,FALSE,"GAP Mapping "}</definedName>
    <definedName name="de_2" localSheetId="5" hidden="1">{#N/A,#N/A,FALSE,"LIQUIDITY GAPS";#N/A,#N/A,FALSE,"GAP Mapping "}</definedName>
    <definedName name="de_2" localSheetId="2" hidden="1">{#N/A,#N/A,FALSE,"LIQUIDITY GAPS";#N/A,#N/A,FALSE,"GAP Mapping "}</definedName>
    <definedName name="de_2" hidden="1">{#N/A,#N/A,FALSE,"LIQUIDITY GAPS";#N/A,#N/A,FALSE,"GAP Mapping "}</definedName>
    <definedName name="de_3" localSheetId="4" hidden="1">{#N/A,#N/A,FALSE,"LIQUIDITY GAPS";#N/A,#N/A,FALSE,"GAP Mapping "}</definedName>
    <definedName name="de_3" localSheetId="3" hidden="1">{#N/A,#N/A,FALSE,"LIQUIDITY GAPS";#N/A,#N/A,FALSE,"GAP Mapping "}</definedName>
    <definedName name="de_3" localSheetId="11" hidden="1">{#N/A,#N/A,FALSE,"LIQUIDITY GAPS";#N/A,#N/A,FALSE,"GAP Mapping "}</definedName>
    <definedName name="de_3" localSheetId="13" hidden="1">{#N/A,#N/A,FALSE,"LIQUIDITY GAPS";#N/A,#N/A,FALSE,"GAP Mapping "}</definedName>
    <definedName name="de_3" localSheetId="6" hidden="1">{#N/A,#N/A,FALSE,"LIQUIDITY GAPS";#N/A,#N/A,FALSE,"GAP Mapping "}</definedName>
    <definedName name="de_3" localSheetId="5" hidden="1">{#N/A,#N/A,FALSE,"LIQUIDITY GAPS";#N/A,#N/A,FALSE,"GAP Mapping "}</definedName>
    <definedName name="de_3" localSheetId="2" hidden="1">{#N/A,#N/A,FALSE,"LIQUIDITY GAPS";#N/A,#N/A,FALSE,"GAP Mapping "}</definedName>
    <definedName name="de_3" hidden="1">{#N/A,#N/A,FALSE,"LIQUIDITY GAPS";#N/A,#N/A,FALSE,"GAP Mapping "}</definedName>
    <definedName name="de_4" localSheetId="4" hidden="1">{#N/A,#N/A,FALSE,"LIQUIDITY GAPS";#N/A,#N/A,FALSE,"GAP Mapping "}</definedName>
    <definedName name="de_4" localSheetId="3" hidden="1">{#N/A,#N/A,FALSE,"LIQUIDITY GAPS";#N/A,#N/A,FALSE,"GAP Mapping "}</definedName>
    <definedName name="de_4" localSheetId="11" hidden="1">{#N/A,#N/A,FALSE,"LIQUIDITY GAPS";#N/A,#N/A,FALSE,"GAP Mapping "}</definedName>
    <definedName name="de_4" localSheetId="13" hidden="1">{#N/A,#N/A,FALSE,"LIQUIDITY GAPS";#N/A,#N/A,FALSE,"GAP Mapping "}</definedName>
    <definedName name="de_4" localSheetId="6" hidden="1">{#N/A,#N/A,FALSE,"LIQUIDITY GAPS";#N/A,#N/A,FALSE,"GAP Mapping "}</definedName>
    <definedName name="de_4" localSheetId="5" hidden="1">{#N/A,#N/A,FALSE,"LIQUIDITY GAPS";#N/A,#N/A,FALSE,"GAP Mapping "}</definedName>
    <definedName name="de_4" localSheetId="2" hidden="1">{#N/A,#N/A,FALSE,"LIQUIDITY GAPS";#N/A,#N/A,FALSE,"GAP Mapping "}</definedName>
    <definedName name="de_4" hidden="1">{#N/A,#N/A,FALSE,"LIQUIDITY GAPS";#N/A,#N/A,FALSE,"GAP Mapping "}</definedName>
    <definedName name="DEM_JPY">#REF!</definedName>
    <definedName name="DEP">#REF!</definedName>
    <definedName name="dep_other" localSheetId="6">[27]Sheet1!$F$1:$G$65536</definedName>
    <definedName name="dep_other" localSheetId="5">[27]Sheet1!$F$1:$G$65536</definedName>
    <definedName name="dep_other" localSheetId="2">[27]Sheet1!$F$1:$G$65536</definedName>
    <definedName name="dep_other">[28]Sheet1!$F$1:$G$65536</definedName>
    <definedName name="dep_otherToday" localSheetId="6">[27]Sheet1!$I$1:$J$65536</definedName>
    <definedName name="dep_otherToday" localSheetId="5">[27]Sheet1!$I$1:$J$65536</definedName>
    <definedName name="dep_otherToday" localSheetId="2">[27]Sheet1!$I$1:$J$65536</definedName>
    <definedName name="dep_otherToday">[28]Sheet1!$I$1:$J$65536</definedName>
    <definedName name="dep00">#REF!</definedName>
    <definedName name="depcur" localSheetId="6">[27]Bank!$G$1:$G$65536</definedName>
    <definedName name="depcur" localSheetId="5">[27]Bank!$G$1:$G$65536</definedName>
    <definedName name="depcur" localSheetId="2">[27]Bank!$G$1:$G$65536</definedName>
    <definedName name="depcur">[28]Bank!$G$1:$G$65536</definedName>
    <definedName name="DEPFCY" localSheetId="6">[27]FCY!$A$1:$C$65536</definedName>
    <definedName name="DEPFCY" localSheetId="5">[27]FCY!$A$1:$C$65536</definedName>
    <definedName name="DEPFCY" localSheetId="2">[27]FCY!$A$1:$C$65536</definedName>
    <definedName name="DEPFCY">[28]FCY!$A$1:$C$65536</definedName>
    <definedName name="deposit1" localSheetId="6">'[32]BUDGET 2003'!$K$1:$W$103</definedName>
    <definedName name="deposit1" localSheetId="5">'[32]BUDGET 2003'!$K$1:$W$103</definedName>
    <definedName name="deposit1" localSheetId="2">'[32]BUDGET 2003'!$K$1:$W$103</definedName>
    <definedName name="deposit1">'[33]BUDGET 2003'!$K$1:$W$103</definedName>
    <definedName name="depprv" localSheetId="6">[27]Bank!$F$1:$F$65536</definedName>
    <definedName name="depprv" localSheetId="5">[27]Bank!$F$1:$F$65536</definedName>
    <definedName name="depprv" localSheetId="2">[27]Bank!$F$1:$F$65536</definedName>
    <definedName name="depprv">[28]Bank!$F$1:$F$65536</definedName>
    <definedName name="DEPREC">#REF!</definedName>
    <definedName name="DFDF" localSheetId="4" hidden="1">{#N/A,#N/A,FALSE,"LIQUIDITY GAPS";#N/A,#N/A,FALSE,"GAP Mapping "}</definedName>
    <definedName name="DFDF" localSheetId="3" hidden="1">{#N/A,#N/A,FALSE,"LIQUIDITY GAPS";#N/A,#N/A,FALSE,"GAP Mapping "}</definedName>
    <definedName name="DFDF" localSheetId="11" hidden="1">{#N/A,#N/A,FALSE,"LIQUIDITY GAPS";#N/A,#N/A,FALSE,"GAP Mapping "}</definedName>
    <definedName name="DFDF" localSheetId="13" hidden="1">{#N/A,#N/A,FALSE,"LIQUIDITY GAPS";#N/A,#N/A,FALSE,"GAP Mapping "}</definedName>
    <definedName name="DFDF" localSheetId="6" hidden="1">{#N/A,#N/A,FALSE,"LIQUIDITY GAPS";#N/A,#N/A,FALSE,"GAP Mapping "}</definedName>
    <definedName name="DFDF" localSheetId="5" hidden="1">{#N/A,#N/A,FALSE,"LIQUIDITY GAPS";#N/A,#N/A,FALSE,"GAP Mapping "}</definedName>
    <definedName name="DFDF" localSheetId="2" hidden="1">{#N/A,#N/A,FALSE,"LIQUIDITY GAPS";#N/A,#N/A,FALSE,"GAP Mapping "}</definedName>
    <definedName name="DFDF" hidden="1">{#N/A,#N/A,FALSE,"LIQUIDITY GAPS";#N/A,#N/A,FALSE,"GAP Mapping "}</definedName>
    <definedName name="DFDF_1" localSheetId="4" hidden="1">{#N/A,#N/A,FALSE,"LIQUIDITY GAPS";#N/A,#N/A,FALSE,"GAP Mapping "}</definedName>
    <definedName name="DFDF_1" localSheetId="3" hidden="1">{#N/A,#N/A,FALSE,"LIQUIDITY GAPS";#N/A,#N/A,FALSE,"GAP Mapping "}</definedName>
    <definedName name="DFDF_1" localSheetId="11" hidden="1">{#N/A,#N/A,FALSE,"LIQUIDITY GAPS";#N/A,#N/A,FALSE,"GAP Mapping "}</definedName>
    <definedName name="DFDF_1" localSheetId="13" hidden="1">{#N/A,#N/A,FALSE,"LIQUIDITY GAPS";#N/A,#N/A,FALSE,"GAP Mapping "}</definedName>
    <definedName name="DFDF_1" localSheetId="6" hidden="1">{#N/A,#N/A,FALSE,"LIQUIDITY GAPS";#N/A,#N/A,FALSE,"GAP Mapping "}</definedName>
    <definedName name="DFDF_1" localSheetId="5" hidden="1">{#N/A,#N/A,FALSE,"LIQUIDITY GAPS";#N/A,#N/A,FALSE,"GAP Mapping "}</definedName>
    <definedName name="DFDF_1" localSheetId="2" hidden="1">{#N/A,#N/A,FALSE,"LIQUIDITY GAPS";#N/A,#N/A,FALSE,"GAP Mapping "}</definedName>
    <definedName name="DFDF_1" hidden="1">{#N/A,#N/A,FALSE,"LIQUIDITY GAPS";#N/A,#N/A,FALSE,"GAP Mapping "}</definedName>
    <definedName name="DFDF_2" localSheetId="4" hidden="1">{#N/A,#N/A,FALSE,"LIQUIDITY GAPS";#N/A,#N/A,FALSE,"GAP Mapping "}</definedName>
    <definedName name="DFDF_2" localSheetId="3" hidden="1">{#N/A,#N/A,FALSE,"LIQUIDITY GAPS";#N/A,#N/A,FALSE,"GAP Mapping "}</definedName>
    <definedName name="DFDF_2" localSheetId="11" hidden="1">{#N/A,#N/A,FALSE,"LIQUIDITY GAPS";#N/A,#N/A,FALSE,"GAP Mapping "}</definedName>
    <definedName name="DFDF_2" localSheetId="13" hidden="1">{#N/A,#N/A,FALSE,"LIQUIDITY GAPS";#N/A,#N/A,FALSE,"GAP Mapping "}</definedName>
    <definedName name="DFDF_2" localSheetId="6" hidden="1">{#N/A,#N/A,FALSE,"LIQUIDITY GAPS";#N/A,#N/A,FALSE,"GAP Mapping "}</definedName>
    <definedName name="DFDF_2" localSheetId="5" hidden="1">{#N/A,#N/A,FALSE,"LIQUIDITY GAPS";#N/A,#N/A,FALSE,"GAP Mapping "}</definedName>
    <definedName name="DFDF_2" localSheetId="2" hidden="1">{#N/A,#N/A,FALSE,"LIQUIDITY GAPS";#N/A,#N/A,FALSE,"GAP Mapping "}</definedName>
    <definedName name="DFDF_2" hidden="1">{#N/A,#N/A,FALSE,"LIQUIDITY GAPS";#N/A,#N/A,FALSE,"GAP Mapping "}</definedName>
    <definedName name="DFDF_2_1" localSheetId="4" hidden="1">{#N/A,#N/A,FALSE,"LIQUIDITY GAPS";#N/A,#N/A,FALSE,"GAP Mapping "}</definedName>
    <definedName name="DFDF_2_1" localSheetId="3" hidden="1">{#N/A,#N/A,FALSE,"LIQUIDITY GAPS";#N/A,#N/A,FALSE,"GAP Mapping "}</definedName>
    <definedName name="DFDF_2_1" localSheetId="11" hidden="1">{#N/A,#N/A,FALSE,"LIQUIDITY GAPS";#N/A,#N/A,FALSE,"GAP Mapping "}</definedName>
    <definedName name="DFDF_2_1" localSheetId="13" hidden="1">{#N/A,#N/A,FALSE,"LIQUIDITY GAPS";#N/A,#N/A,FALSE,"GAP Mapping "}</definedName>
    <definedName name="DFDF_2_1" localSheetId="6" hidden="1">{#N/A,#N/A,FALSE,"LIQUIDITY GAPS";#N/A,#N/A,FALSE,"GAP Mapping "}</definedName>
    <definedName name="DFDF_2_1" localSheetId="5" hidden="1">{#N/A,#N/A,FALSE,"LIQUIDITY GAPS";#N/A,#N/A,FALSE,"GAP Mapping "}</definedName>
    <definedName name="DFDF_2_1" localSheetId="2" hidden="1">{#N/A,#N/A,FALSE,"LIQUIDITY GAPS";#N/A,#N/A,FALSE,"GAP Mapping "}</definedName>
    <definedName name="DFDF_2_1" hidden="1">{#N/A,#N/A,FALSE,"LIQUIDITY GAPS";#N/A,#N/A,FALSE,"GAP Mapping "}</definedName>
    <definedName name="DFDF_2_2" localSheetId="4" hidden="1">{#N/A,#N/A,FALSE,"LIQUIDITY GAPS";#N/A,#N/A,FALSE,"GAP Mapping "}</definedName>
    <definedName name="DFDF_2_2" localSheetId="3" hidden="1">{#N/A,#N/A,FALSE,"LIQUIDITY GAPS";#N/A,#N/A,FALSE,"GAP Mapping "}</definedName>
    <definedName name="DFDF_2_2" localSheetId="11" hidden="1">{#N/A,#N/A,FALSE,"LIQUIDITY GAPS";#N/A,#N/A,FALSE,"GAP Mapping "}</definedName>
    <definedName name="DFDF_2_2" localSheetId="13" hidden="1">{#N/A,#N/A,FALSE,"LIQUIDITY GAPS";#N/A,#N/A,FALSE,"GAP Mapping "}</definedName>
    <definedName name="DFDF_2_2" localSheetId="6" hidden="1">{#N/A,#N/A,FALSE,"LIQUIDITY GAPS";#N/A,#N/A,FALSE,"GAP Mapping "}</definedName>
    <definedName name="DFDF_2_2" localSheetId="5" hidden="1">{#N/A,#N/A,FALSE,"LIQUIDITY GAPS";#N/A,#N/A,FALSE,"GAP Mapping "}</definedName>
    <definedName name="DFDF_2_2" localSheetId="2" hidden="1">{#N/A,#N/A,FALSE,"LIQUIDITY GAPS";#N/A,#N/A,FALSE,"GAP Mapping "}</definedName>
    <definedName name="DFDF_2_2" hidden="1">{#N/A,#N/A,FALSE,"LIQUIDITY GAPS";#N/A,#N/A,FALSE,"GAP Mapping "}</definedName>
    <definedName name="DFDF_2_3" localSheetId="4" hidden="1">{#N/A,#N/A,FALSE,"LIQUIDITY GAPS";#N/A,#N/A,FALSE,"GAP Mapping "}</definedName>
    <definedName name="DFDF_2_3" localSheetId="3" hidden="1">{#N/A,#N/A,FALSE,"LIQUIDITY GAPS";#N/A,#N/A,FALSE,"GAP Mapping "}</definedName>
    <definedName name="DFDF_2_3" localSheetId="11" hidden="1">{#N/A,#N/A,FALSE,"LIQUIDITY GAPS";#N/A,#N/A,FALSE,"GAP Mapping "}</definedName>
    <definedName name="DFDF_2_3" localSheetId="13" hidden="1">{#N/A,#N/A,FALSE,"LIQUIDITY GAPS";#N/A,#N/A,FALSE,"GAP Mapping "}</definedName>
    <definedName name="DFDF_2_3" localSheetId="6" hidden="1">{#N/A,#N/A,FALSE,"LIQUIDITY GAPS";#N/A,#N/A,FALSE,"GAP Mapping "}</definedName>
    <definedName name="DFDF_2_3" localSheetId="5" hidden="1">{#N/A,#N/A,FALSE,"LIQUIDITY GAPS";#N/A,#N/A,FALSE,"GAP Mapping "}</definedName>
    <definedName name="DFDF_2_3" localSheetId="2" hidden="1">{#N/A,#N/A,FALSE,"LIQUIDITY GAPS";#N/A,#N/A,FALSE,"GAP Mapping "}</definedName>
    <definedName name="DFDF_2_3" hidden="1">{#N/A,#N/A,FALSE,"LIQUIDITY GAPS";#N/A,#N/A,FALSE,"GAP Mapping "}</definedName>
    <definedName name="DFDF_3" localSheetId="4" hidden="1">{#N/A,#N/A,FALSE,"LIQUIDITY GAPS";#N/A,#N/A,FALSE,"GAP Mapping "}</definedName>
    <definedName name="DFDF_3" localSheetId="3" hidden="1">{#N/A,#N/A,FALSE,"LIQUIDITY GAPS";#N/A,#N/A,FALSE,"GAP Mapping "}</definedName>
    <definedName name="DFDF_3" localSheetId="11" hidden="1">{#N/A,#N/A,FALSE,"LIQUIDITY GAPS";#N/A,#N/A,FALSE,"GAP Mapping "}</definedName>
    <definedName name="DFDF_3" localSheetId="13" hidden="1">{#N/A,#N/A,FALSE,"LIQUIDITY GAPS";#N/A,#N/A,FALSE,"GAP Mapping "}</definedName>
    <definedName name="DFDF_3" localSheetId="6" hidden="1">{#N/A,#N/A,FALSE,"LIQUIDITY GAPS";#N/A,#N/A,FALSE,"GAP Mapping "}</definedName>
    <definedName name="DFDF_3" localSheetId="5" hidden="1">{#N/A,#N/A,FALSE,"LIQUIDITY GAPS";#N/A,#N/A,FALSE,"GAP Mapping "}</definedName>
    <definedName name="DFDF_3" localSheetId="2" hidden="1">{#N/A,#N/A,FALSE,"LIQUIDITY GAPS";#N/A,#N/A,FALSE,"GAP Mapping "}</definedName>
    <definedName name="DFDF_3" hidden="1">{#N/A,#N/A,FALSE,"LIQUIDITY GAPS";#N/A,#N/A,FALSE,"GAP Mapping "}</definedName>
    <definedName name="DFDF_4" localSheetId="4" hidden="1">{#N/A,#N/A,FALSE,"LIQUIDITY GAPS";#N/A,#N/A,FALSE,"GAP Mapping "}</definedName>
    <definedName name="DFDF_4" localSheetId="3" hidden="1">{#N/A,#N/A,FALSE,"LIQUIDITY GAPS";#N/A,#N/A,FALSE,"GAP Mapping "}</definedName>
    <definedName name="DFDF_4" localSheetId="11" hidden="1">{#N/A,#N/A,FALSE,"LIQUIDITY GAPS";#N/A,#N/A,FALSE,"GAP Mapping "}</definedName>
    <definedName name="DFDF_4" localSheetId="13" hidden="1">{#N/A,#N/A,FALSE,"LIQUIDITY GAPS";#N/A,#N/A,FALSE,"GAP Mapping "}</definedName>
    <definedName name="DFDF_4" localSheetId="6" hidden="1">{#N/A,#N/A,FALSE,"LIQUIDITY GAPS";#N/A,#N/A,FALSE,"GAP Mapping "}</definedName>
    <definedName name="DFDF_4" localSheetId="5" hidden="1">{#N/A,#N/A,FALSE,"LIQUIDITY GAPS";#N/A,#N/A,FALSE,"GAP Mapping "}</definedName>
    <definedName name="DFDF_4" localSheetId="2" hidden="1">{#N/A,#N/A,FALSE,"LIQUIDITY GAPS";#N/A,#N/A,FALSE,"GAP Mapping "}</definedName>
    <definedName name="DFDF_4" hidden="1">{#N/A,#N/A,FALSE,"LIQUIDITY GAPS";#N/A,#N/A,FALSE,"GAP Mapping "}</definedName>
    <definedName name="DFDF_5" localSheetId="4" hidden="1">{#N/A,#N/A,FALSE,"LIQUIDITY GAPS";#N/A,#N/A,FALSE,"GAP Mapping "}</definedName>
    <definedName name="DFDF_5" localSheetId="3" hidden="1">{#N/A,#N/A,FALSE,"LIQUIDITY GAPS";#N/A,#N/A,FALSE,"GAP Mapping "}</definedName>
    <definedName name="DFDF_5" localSheetId="11" hidden="1">{#N/A,#N/A,FALSE,"LIQUIDITY GAPS";#N/A,#N/A,FALSE,"GAP Mapping "}</definedName>
    <definedName name="DFDF_5" localSheetId="13" hidden="1">{#N/A,#N/A,FALSE,"LIQUIDITY GAPS";#N/A,#N/A,FALSE,"GAP Mapping "}</definedName>
    <definedName name="DFDF_5" localSheetId="6" hidden="1">{#N/A,#N/A,FALSE,"LIQUIDITY GAPS";#N/A,#N/A,FALSE,"GAP Mapping "}</definedName>
    <definedName name="DFDF_5" localSheetId="5" hidden="1">{#N/A,#N/A,FALSE,"LIQUIDITY GAPS";#N/A,#N/A,FALSE,"GAP Mapping "}</definedName>
    <definedName name="DFDF_5" localSheetId="2" hidden="1">{#N/A,#N/A,FALSE,"LIQUIDITY GAPS";#N/A,#N/A,FALSE,"GAP Mapping "}</definedName>
    <definedName name="DFDF_5" hidden="1">{#N/A,#N/A,FALSE,"LIQUIDITY GAPS";#N/A,#N/A,FALSE,"GAP Mapping "}</definedName>
    <definedName name="dfdfdfdfdfdfd" hidden="1">[34]TBPRICE!#REF!</definedName>
    <definedName name="dfg" localSheetId="4" hidden="1">{#N/A,#N/A,FALSE,"dec98qtr";#N/A,#N/A,FALSE,"suppdecsep98";#N/A,#N/A,FALSE,"w-dec98"}</definedName>
    <definedName name="dfg" localSheetId="3" hidden="1">{#N/A,#N/A,FALSE,"dec98qtr";#N/A,#N/A,FALSE,"suppdecsep98";#N/A,#N/A,FALSE,"w-dec98"}</definedName>
    <definedName name="dfg" localSheetId="11" hidden="1">{#N/A,#N/A,FALSE,"dec98qtr";#N/A,#N/A,FALSE,"suppdecsep98";#N/A,#N/A,FALSE,"w-dec98"}</definedName>
    <definedName name="dfg" localSheetId="13" hidden="1">{#N/A,#N/A,FALSE,"dec98qtr";#N/A,#N/A,FALSE,"suppdecsep98";#N/A,#N/A,FALSE,"w-dec98"}</definedName>
    <definedName name="dfg" localSheetId="6" hidden="1">{#N/A,#N/A,FALSE,"dec98qtr";#N/A,#N/A,FALSE,"suppdecsep98";#N/A,#N/A,FALSE,"w-dec98"}</definedName>
    <definedName name="dfg" localSheetId="5" hidden="1">{#N/A,#N/A,FALSE,"dec98qtr";#N/A,#N/A,FALSE,"suppdecsep98";#N/A,#N/A,FALSE,"w-dec98"}</definedName>
    <definedName name="dfg" localSheetId="2" hidden="1">{#N/A,#N/A,FALSE,"dec98qtr";#N/A,#N/A,FALSE,"suppdecsep98";#N/A,#N/A,FALSE,"w-dec98"}</definedName>
    <definedName name="dfg" hidden="1">{#N/A,#N/A,FALSE,"dec98qtr";#N/A,#N/A,FALSE,"suppdecsep98";#N/A,#N/A,FALSE,"w-dec98"}</definedName>
    <definedName name="Differences">#REF!</definedName>
    <definedName name="Differnces">'[35]Notes1-5'!#REF!</definedName>
    <definedName name="dr">#REF!</definedName>
    <definedName name="dsfjhfjk" localSheetId="4" hidden="1">{#N/A,#N/A,FALSE,"dec98qtr";#N/A,#N/A,FALSE,"suppdecsep98";#N/A,#N/A,FALSE,"w-dec98"}</definedName>
    <definedName name="dsfjhfjk" localSheetId="3" hidden="1">{#N/A,#N/A,FALSE,"dec98qtr";#N/A,#N/A,FALSE,"suppdecsep98";#N/A,#N/A,FALSE,"w-dec98"}</definedName>
    <definedName name="dsfjhfjk" localSheetId="11" hidden="1">{#N/A,#N/A,FALSE,"dec98qtr";#N/A,#N/A,FALSE,"suppdecsep98";#N/A,#N/A,FALSE,"w-dec98"}</definedName>
    <definedName name="dsfjhfjk" localSheetId="13" hidden="1">{#N/A,#N/A,FALSE,"dec98qtr";#N/A,#N/A,FALSE,"suppdecsep98";#N/A,#N/A,FALSE,"w-dec98"}</definedName>
    <definedName name="dsfjhfjk" localSheetId="6" hidden="1">{#N/A,#N/A,FALSE,"dec98qtr";#N/A,#N/A,FALSE,"suppdecsep98";#N/A,#N/A,FALSE,"w-dec98"}</definedName>
    <definedName name="dsfjhfjk" localSheetId="5" hidden="1">{#N/A,#N/A,FALSE,"dec98qtr";#N/A,#N/A,FALSE,"suppdecsep98";#N/A,#N/A,FALSE,"w-dec98"}</definedName>
    <definedName name="dsfjhfjk" localSheetId="2" hidden="1">{#N/A,#N/A,FALSE,"dec98qtr";#N/A,#N/A,FALSE,"suppdecsep98";#N/A,#N/A,FALSE,"w-dec98"}</definedName>
    <definedName name="dsfjhfjk" hidden="1">{#N/A,#N/A,FALSE,"dec98qtr";#N/A,#N/A,FALSE,"suppdecsep98";#N/A,#N/A,FALSE,"w-dec98"}</definedName>
    <definedName name="E">#REF!</definedName>
    <definedName name="ee" localSheetId="4" hidden="1">{#N/A,#N/A,FALSE,"Wyniki"}</definedName>
    <definedName name="ee" localSheetId="3" hidden="1">{#N/A,#N/A,FALSE,"Wyniki"}</definedName>
    <definedName name="ee" localSheetId="11" hidden="1">{#N/A,#N/A,FALSE,"Wyniki"}</definedName>
    <definedName name="ee" localSheetId="13" hidden="1">{#N/A,#N/A,FALSE,"Wyniki"}</definedName>
    <definedName name="ee" localSheetId="6" hidden="1">{#N/A,#N/A,FALSE,"Wyniki"}</definedName>
    <definedName name="ee" localSheetId="5" hidden="1">{#N/A,#N/A,FALSE,"Wyniki"}</definedName>
    <definedName name="ee" localSheetId="2" hidden="1">{#N/A,#N/A,FALSE,"Wyniki"}</definedName>
    <definedName name="ee" hidden="1">{#N/A,#N/A,FALSE,"Wyniki"}</definedName>
    <definedName name="End">#REF!</definedName>
    <definedName name="EUR_ACU">#REF!</definedName>
    <definedName name="EURO">#REF!</definedName>
    <definedName name="EXP">'[1]last qrt2001'!#REF!</definedName>
    <definedName name="EXPOSURE">#REF!</definedName>
    <definedName name="FaceValue">#REF!</definedName>
    <definedName name="FCUR10">#REF!</definedName>
    <definedName name="FCUR16">#REF!</definedName>
    <definedName name="FCUR17">#REF!</definedName>
    <definedName name="fcy" localSheetId="6">[27]Bank!$K$1:$K$65536</definedName>
    <definedName name="fcy" localSheetId="5">[27]Bank!$K$1:$K$65536</definedName>
    <definedName name="fcy" localSheetId="2">[27]Bank!$K$1:$K$65536</definedName>
    <definedName name="fcy">[28]Bank!$K$1:$K$65536</definedName>
    <definedName name="FDE">'[36]Notes1-5'!#REF!</definedName>
    <definedName name="FE25_">#REF!</definedName>
    <definedName name="ff" localSheetId="4" hidden="1">{#N/A,#N/A,FALSE,"LIQUIDITY GAPS";#N/A,#N/A,FALSE,"GAP Mapping "}</definedName>
    <definedName name="ff" localSheetId="3" hidden="1">{#N/A,#N/A,FALSE,"LIQUIDITY GAPS";#N/A,#N/A,FALSE,"GAP Mapping "}</definedName>
    <definedName name="ff" localSheetId="11" hidden="1">{#N/A,#N/A,FALSE,"LIQUIDITY GAPS";#N/A,#N/A,FALSE,"GAP Mapping "}</definedName>
    <definedName name="ff" localSheetId="13" hidden="1">{#N/A,#N/A,FALSE,"LIQUIDITY GAPS";#N/A,#N/A,FALSE,"GAP Mapping "}</definedName>
    <definedName name="ff" localSheetId="6" hidden="1">{#N/A,#N/A,FALSE,"LIQUIDITY GAPS";#N/A,#N/A,FALSE,"GAP Mapping "}</definedName>
    <definedName name="ff" localSheetId="5" hidden="1">{#N/A,#N/A,FALSE,"LIQUIDITY GAPS";#N/A,#N/A,FALSE,"GAP Mapping "}</definedName>
    <definedName name="ff" localSheetId="2" hidden="1">{#N/A,#N/A,FALSE,"LIQUIDITY GAPS";#N/A,#N/A,FALSE,"GAP Mapping "}</definedName>
    <definedName name="ff" hidden="1">{#N/A,#N/A,FALSE,"LIQUIDITY GAPS";#N/A,#N/A,FALSE,"GAP Mapping "}</definedName>
    <definedName name="ff_1" localSheetId="4" hidden="1">{#N/A,#N/A,FALSE,"LIQUIDITY GAPS";#N/A,#N/A,FALSE,"GAP Mapping "}</definedName>
    <definedName name="ff_1" localSheetId="3" hidden="1">{#N/A,#N/A,FALSE,"LIQUIDITY GAPS";#N/A,#N/A,FALSE,"GAP Mapping "}</definedName>
    <definedName name="ff_1" localSheetId="11" hidden="1">{#N/A,#N/A,FALSE,"LIQUIDITY GAPS";#N/A,#N/A,FALSE,"GAP Mapping "}</definedName>
    <definedName name="ff_1" localSheetId="13" hidden="1">{#N/A,#N/A,FALSE,"LIQUIDITY GAPS";#N/A,#N/A,FALSE,"GAP Mapping "}</definedName>
    <definedName name="ff_1" localSheetId="6" hidden="1">{#N/A,#N/A,FALSE,"LIQUIDITY GAPS";#N/A,#N/A,FALSE,"GAP Mapping "}</definedName>
    <definedName name="ff_1" localSheetId="5" hidden="1">{#N/A,#N/A,FALSE,"LIQUIDITY GAPS";#N/A,#N/A,FALSE,"GAP Mapping "}</definedName>
    <definedName name="ff_1" localSheetId="2" hidden="1">{#N/A,#N/A,FALSE,"LIQUIDITY GAPS";#N/A,#N/A,FALSE,"GAP Mapping "}</definedName>
    <definedName name="ff_1" hidden="1">{#N/A,#N/A,FALSE,"LIQUIDITY GAPS";#N/A,#N/A,FALSE,"GAP Mapping "}</definedName>
    <definedName name="ff_2" localSheetId="4" hidden="1">{#N/A,#N/A,FALSE,"LIQUIDITY GAPS";#N/A,#N/A,FALSE,"GAP Mapping "}</definedName>
    <definedName name="ff_2" localSheetId="3" hidden="1">{#N/A,#N/A,FALSE,"LIQUIDITY GAPS";#N/A,#N/A,FALSE,"GAP Mapping "}</definedName>
    <definedName name="ff_2" localSheetId="11" hidden="1">{#N/A,#N/A,FALSE,"LIQUIDITY GAPS";#N/A,#N/A,FALSE,"GAP Mapping "}</definedName>
    <definedName name="ff_2" localSheetId="13" hidden="1">{#N/A,#N/A,FALSE,"LIQUIDITY GAPS";#N/A,#N/A,FALSE,"GAP Mapping "}</definedName>
    <definedName name="ff_2" localSheetId="6" hidden="1">{#N/A,#N/A,FALSE,"LIQUIDITY GAPS";#N/A,#N/A,FALSE,"GAP Mapping "}</definedName>
    <definedName name="ff_2" localSheetId="5" hidden="1">{#N/A,#N/A,FALSE,"LIQUIDITY GAPS";#N/A,#N/A,FALSE,"GAP Mapping "}</definedName>
    <definedName name="ff_2" localSheetId="2" hidden="1">{#N/A,#N/A,FALSE,"LIQUIDITY GAPS";#N/A,#N/A,FALSE,"GAP Mapping "}</definedName>
    <definedName name="ff_2" hidden="1">{#N/A,#N/A,FALSE,"LIQUIDITY GAPS";#N/A,#N/A,FALSE,"GAP Mapping "}</definedName>
    <definedName name="ff_2_1" localSheetId="4" hidden="1">{#N/A,#N/A,FALSE,"LIQUIDITY GAPS";#N/A,#N/A,FALSE,"GAP Mapping "}</definedName>
    <definedName name="ff_2_1" localSheetId="3" hidden="1">{#N/A,#N/A,FALSE,"LIQUIDITY GAPS";#N/A,#N/A,FALSE,"GAP Mapping "}</definedName>
    <definedName name="ff_2_1" localSheetId="11" hidden="1">{#N/A,#N/A,FALSE,"LIQUIDITY GAPS";#N/A,#N/A,FALSE,"GAP Mapping "}</definedName>
    <definedName name="ff_2_1" localSheetId="13" hidden="1">{#N/A,#N/A,FALSE,"LIQUIDITY GAPS";#N/A,#N/A,FALSE,"GAP Mapping "}</definedName>
    <definedName name="ff_2_1" localSheetId="6" hidden="1">{#N/A,#N/A,FALSE,"LIQUIDITY GAPS";#N/A,#N/A,FALSE,"GAP Mapping "}</definedName>
    <definedName name="ff_2_1" localSheetId="5" hidden="1">{#N/A,#N/A,FALSE,"LIQUIDITY GAPS";#N/A,#N/A,FALSE,"GAP Mapping "}</definedName>
    <definedName name="ff_2_1" localSheetId="2" hidden="1">{#N/A,#N/A,FALSE,"LIQUIDITY GAPS";#N/A,#N/A,FALSE,"GAP Mapping "}</definedName>
    <definedName name="ff_2_1" hidden="1">{#N/A,#N/A,FALSE,"LIQUIDITY GAPS";#N/A,#N/A,FALSE,"GAP Mapping "}</definedName>
    <definedName name="ff_2_2" localSheetId="4" hidden="1">{#N/A,#N/A,FALSE,"LIQUIDITY GAPS";#N/A,#N/A,FALSE,"GAP Mapping "}</definedName>
    <definedName name="ff_2_2" localSheetId="3" hidden="1">{#N/A,#N/A,FALSE,"LIQUIDITY GAPS";#N/A,#N/A,FALSE,"GAP Mapping "}</definedName>
    <definedName name="ff_2_2" localSheetId="11" hidden="1">{#N/A,#N/A,FALSE,"LIQUIDITY GAPS";#N/A,#N/A,FALSE,"GAP Mapping "}</definedName>
    <definedName name="ff_2_2" localSheetId="13" hidden="1">{#N/A,#N/A,FALSE,"LIQUIDITY GAPS";#N/A,#N/A,FALSE,"GAP Mapping "}</definedName>
    <definedName name="ff_2_2" localSheetId="6" hidden="1">{#N/A,#N/A,FALSE,"LIQUIDITY GAPS";#N/A,#N/A,FALSE,"GAP Mapping "}</definedName>
    <definedName name="ff_2_2" localSheetId="5" hidden="1">{#N/A,#N/A,FALSE,"LIQUIDITY GAPS";#N/A,#N/A,FALSE,"GAP Mapping "}</definedName>
    <definedName name="ff_2_2" localSheetId="2" hidden="1">{#N/A,#N/A,FALSE,"LIQUIDITY GAPS";#N/A,#N/A,FALSE,"GAP Mapping "}</definedName>
    <definedName name="ff_2_2" hidden="1">{#N/A,#N/A,FALSE,"LIQUIDITY GAPS";#N/A,#N/A,FALSE,"GAP Mapping "}</definedName>
    <definedName name="ff_2_3" localSheetId="4" hidden="1">{#N/A,#N/A,FALSE,"LIQUIDITY GAPS";#N/A,#N/A,FALSE,"GAP Mapping "}</definedName>
    <definedName name="ff_2_3" localSheetId="3" hidden="1">{#N/A,#N/A,FALSE,"LIQUIDITY GAPS";#N/A,#N/A,FALSE,"GAP Mapping "}</definedName>
    <definedName name="ff_2_3" localSheetId="11" hidden="1">{#N/A,#N/A,FALSE,"LIQUIDITY GAPS";#N/A,#N/A,FALSE,"GAP Mapping "}</definedName>
    <definedName name="ff_2_3" localSheetId="13" hidden="1">{#N/A,#N/A,FALSE,"LIQUIDITY GAPS";#N/A,#N/A,FALSE,"GAP Mapping "}</definedName>
    <definedName name="ff_2_3" localSheetId="6" hidden="1">{#N/A,#N/A,FALSE,"LIQUIDITY GAPS";#N/A,#N/A,FALSE,"GAP Mapping "}</definedName>
    <definedName name="ff_2_3" localSheetId="5" hidden="1">{#N/A,#N/A,FALSE,"LIQUIDITY GAPS";#N/A,#N/A,FALSE,"GAP Mapping "}</definedName>
    <definedName name="ff_2_3" localSheetId="2" hidden="1">{#N/A,#N/A,FALSE,"LIQUIDITY GAPS";#N/A,#N/A,FALSE,"GAP Mapping "}</definedName>
    <definedName name="ff_2_3" hidden="1">{#N/A,#N/A,FALSE,"LIQUIDITY GAPS";#N/A,#N/A,FALSE,"GAP Mapping "}</definedName>
    <definedName name="ff_3" localSheetId="4" hidden="1">{#N/A,#N/A,FALSE,"LIQUIDITY GAPS";#N/A,#N/A,FALSE,"GAP Mapping "}</definedName>
    <definedName name="ff_3" localSheetId="3" hidden="1">{#N/A,#N/A,FALSE,"LIQUIDITY GAPS";#N/A,#N/A,FALSE,"GAP Mapping "}</definedName>
    <definedName name="ff_3" localSheetId="11" hidden="1">{#N/A,#N/A,FALSE,"LIQUIDITY GAPS";#N/A,#N/A,FALSE,"GAP Mapping "}</definedName>
    <definedName name="ff_3" localSheetId="13" hidden="1">{#N/A,#N/A,FALSE,"LIQUIDITY GAPS";#N/A,#N/A,FALSE,"GAP Mapping "}</definedName>
    <definedName name="ff_3" localSheetId="6" hidden="1">{#N/A,#N/A,FALSE,"LIQUIDITY GAPS";#N/A,#N/A,FALSE,"GAP Mapping "}</definedName>
    <definedName name="ff_3" localSheetId="5" hidden="1">{#N/A,#N/A,FALSE,"LIQUIDITY GAPS";#N/A,#N/A,FALSE,"GAP Mapping "}</definedName>
    <definedName name="ff_3" localSheetId="2" hidden="1">{#N/A,#N/A,FALSE,"LIQUIDITY GAPS";#N/A,#N/A,FALSE,"GAP Mapping "}</definedName>
    <definedName name="ff_3" hidden="1">{#N/A,#N/A,FALSE,"LIQUIDITY GAPS";#N/A,#N/A,FALSE,"GAP Mapping "}</definedName>
    <definedName name="ff_4" localSheetId="4" hidden="1">{#N/A,#N/A,FALSE,"LIQUIDITY GAPS";#N/A,#N/A,FALSE,"GAP Mapping "}</definedName>
    <definedName name="ff_4" localSheetId="3" hidden="1">{#N/A,#N/A,FALSE,"LIQUIDITY GAPS";#N/A,#N/A,FALSE,"GAP Mapping "}</definedName>
    <definedName name="ff_4" localSheetId="11" hidden="1">{#N/A,#N/A,FALSE,"LIQUIDITY GAPS";#N/A,#N/A,FALSE,"GAP Mapping "}</definedName>
    <definedName name="ff_4" localSheetId="13" hidden="1">{#N/A,#N/A,FALSE,"LIQUIDITY GAPS";#N/A,#N/A,FALSE,"GAP Mapping "}</definedName>
    <definedName name="ff_4" localSheetId="6" hidden="1">{#N/A,#N/A,FALSE,"LIQUIDITY GAPS";#N/A,#N/A,FALSE,"GAP Mapping "}</definedName>
    <definedName name="ff_4" localSheetId="5" hidden="1">{#N/A,#N/A,FALSE,"LIQUIDITY GAPS";#N/A,#N/A,FALSE,"GAP Mapping "}</definedName>
    <definedName name="ff_4" localSheetId="2" hidden="1">{#N/A,#N/A,FALSE,"LIQUIDITY GAPS";#N/A,#N/A,FALSE,"GAP Mapping "}</definedName>
    <definedName name="ff_4" hidden="1">{#N/A,#N/A,FALSE,"LIQUIDITY GAPS";#N/A,#N/A,FALSE,"GAP Mapping "}</definedName>
    <definedName name="ff_5" localSheetId="4" hidden="1">{#N/A,#N/A,FALSE,"LIQUIDITY GAPS";#N/A,#N/A,FALSE,"GAP Mapping "}</definedName>
    <definedName name="ff_5" localSheetId="3" hidden="1">{#N/A,#N/A,FALSE,"LIQUIDITY GAPS";#N/A,#N/A,FALSE,"GAP Mapping "}</definedName>
    <definedName name="ff_5" localSheetId="11" hidden="1">{#N/A,#N/A,FALSE,"LIQUIDITY GAPS";#N/A,#N/A,FALSE,"GAP Mapping "}</definedName>
    <definedName name="ff_5" localSheetId="13" hidden="1">{#N/A,#N/A,FALSE,"LIQUIDITY GAPS";#N/A,#N/A,FALSE,"GAP Mapping "}</definedName>
    <definedName name="ff_5" localSheetId="6" hidden="1">{#N/A,#N/A,FALSE,"LIQUIDITY GAPS";#N/A,#N/A,FALSE,"GAP Mapping "}</definedName>
    <definedName name="ff_5" localSheetId="5" hidden="1">{#N/A,#N/A,FALSE,"LIQUIDITY GAPS";#N/A,#N/A,FALSE,"GAP Mapping "}</definedName>
    <definedName name="ff_5" localSheetId="2" hidden="1">{#N/A,#N/A,FALSE,"LIQUIDITY GAPS";#N/A,#N/A,FALSE,"GAP Mapping "}</definedName>
    <definedName name="ff_5" hidden="1">{#N/A,#N/A,FALSE,"LIQUIDITY GAPS";#N/A,#N/A,FALSE,"GAP Mapping "}</definedName>
    <definedName name="fgh" localSheetId="4" hidden="1">{#N/A,#N/A,FALSE,"dec98qtr";#N/A,#N/A,FALSE,"suppdecsep98";#N/A,#N/A,FALSE,"w-dec98"}</definedName>
    <definedName name="fgh" localSheetId="3" hidden="1">{#N/A,#N/A,FALSE,"dec98qtr";#N/A,#N/A,FALSE,"suppdecsep98";#N/A,#N/A,FALSE,"w-dec98"}</definedName>
    <definedName name="fgh" localSheetId="11" hidden="1">{#N/A,#N/A,FALSE,"dec98qtr";#N/A,#N/A,FALSE,"suppdecsep98";#N/A,#N/A,FALSE,"w-dec98"}</definedName>
    <definedName name="fgh" localSheetId="13" hidden="1">{#N/A,#N/A,FALSE,"dec98qtr";#N/A,#N/A,FALSE,"suppdecsep98";#N/A,#N/A,FALSE,"w-dec98"}</definedName>
    <definedName name="fgh" localSheetId="6" hidden="1">{#N/A,#N/A,FALSE,"dec98qtr";#N/A,#N/A,FALSE,"suppdecsep98";#N/A,#N/A,FALSE,"w-dec98"}</definedName>
    <definedName name="fgh" localSheetId="5" hidden="1">{#N/A,#N/A,FALSE,"dec98qtr";#N/A,#N/A,FALSE,"suppdecsep98";#N/A,#N/A,FALSE,"w-dec98"}</definedName>
    <definedName name="fgh" localSheetId="2" hidden="1">{#N/A,#N/A,FALSE,"dec98qtr";#N/A,#N/A,FALSE,"suppdecsep98";#N/A,#N/A,FALSE,"w-dec98"}</definedName>
    <definedName name="fgh" hidden="1">{#N/A,#N/A,FALSE,"dec98qtr";#N/A,#N/A,FALSE,"suppdecsep98";#N/A,#N/A,FALSE,"w-dec98"}</definedName>
    <definedName name="FIB">#REF!</definedName>
    <definedName name="FIB.HOLD.">#REF!</definedName>
    <definedName name="FIB.REPO">#REF!</definedName>
    <definedName name="FIB.REV.REPO">#REF!</definedName>
    <definedName name="FIB_MKT._PRICE">#REF!</definedName>
    <definedName name="FIBCOUP">[37]ISSUES!#REF!</definedName>
    <definedName name="FIBLAST">[37]ISSUES!#REF!</definedName>
    <definedName name="FIBNEXT">[37]ISSUES!#REF!</definedName>
    <definedName name="fILL" hidden="1">#REF!</definedName>
    <definedName name="FixedRate">#REF!</definedName>
    <definedName name="FIXREG">#REF!</definedName>
    <definedName name="FloatingRate">#REF!</definedName>
    <definedName name="FRF_DFL">#REF!</definedName>
    <definedName name="FSD">#REF!</definedName>
    <definedName name="FX">#REF!</definedName>
    <definedName name="FXDEAL">#REF!</definedName>
    <definedName name="G">#REF!</definedName>
    <definedName name="gfgdhf" localSheetId="4" hidden="1">{"Sales 2",#N/A,FALSE,"SALES";"Transfer 2",#N/A,FALSE,"TRANSFERS";"A1460",#N/A,FALSE,"A1460"}</definedName>
    <definedName name="gfgdhf" localSheetId="3" hidden="1">{"Sales 2",#N/A,FALSE,"SALES";"Transfer 2",#N/A,FALSE,"TRANSFERS";"A1460",#N/A,FALSE,"A1460"}</definedName>
    <definedName name="gfgdhf" localSheetId="11" hidden="1">{"Sales 2",#N/A,FALSE,"SALES";"Transfer 2",#N/A,FALSE,"TRANSFERS";"A1460",#N/A,FALSE,"A1460"}</definedName>
    <definedName name="gfgdhf" localSheetId="13" hidden="1">{"Sales 2",#N/A,FALSE,"SALES";"Transfer 2",#N/A,FALSE,"TRANSFERS";"A1460",#N/A,FALSE,"A1460"}</definedName>
    <definedName name="gfgdhf" localSheetId="6" hidden="1">{"Sales 2",#N/A,FALSE,"SALES";"Transfer 2",#N/A,FALSE,"TRANSFERS";"A1460",#N/A,FALSE,"A1460"}</definedName>
    <definedName name="gfgdhf" localSheetId="5" hidden="1">{"Sales 2",#N/A,FALSE,"SALES";"Transfer 2",#N/A,FALSE,"TRANSFERS";"A1460",#N/A,FALSE,"A1460"}</definedName>
    <definedName name="gfgdhf" localSheetId="2" hidden="1">{"Sales 2",#N/A,FALSE,"SALES";"Transfer 2",#N/A,FALSE,"TRANSFERS";"A1460",#N/A,FALSE,"A1460"}</definedName>
    <definedName name="gfgdhf" hidden="1">{"Sales 2",#N/A,FALSE,"SALES";"Transfer 2",#N/A,FALSE,"TRANSFERS";"A1460",#N/A,FALSE,"A1460"}</definedName>
    <definedName name="gg" localSheetId="4" hidden="1">{"Sales 2",#N/A,FALSE,"SALES";"Transfer 2",#N/A,FALSE,"TRANSFERS";"A1460",#N/A,FALSE,"A1460"}</definedName>
    <definedName name="gg" localSheetId="3" hidden="1">{"Sales 2",#N/A,FALSE,"SALES";"Transfer 2",#N/A,FALSE,"TRANSFERS";"A1460",#N/A,FALSE,"A1460"}</definedName>
    <definedName name="gg" localSheetId="11" hidden="1">{"Sales 2",#N/A,FALSE,"SALES";"Transfer 2",#N/A,FALSE,"TRANSFERS";"A1460",#N/A,FALSE,"A1460"}</definedName>
    <definedName name="gg" localSheetId="13" hidden="1">{"Sales 2",#N/A,FALSE,"SALES";"Transfer 2",#N/A,FALSE,"TRANSFERS";"A1460",#N/A,FALSE,"A1460"}</definedName>
    <definedName name="gg" localSheetId="6" hidden="1">{"Sales 2",#N/A,FALSE,"SALES";"Transfer 2",#N/A,FALSE,"TRANSFERS";"A1460",#N/A,FALSE,"A1460"}</definedName>
    <definedName name="gg" localSheetId="5" hidden="1">{"Sales 2",#N/A,FALSE,"SALES";"Transfer 2",#N/A,FALSE,"TRANSFERS";"A1460",#N/A,FALSE,"A1460"}</definedName>
    <definedName name="gg" localSheetId="2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f" localSheetId="4" hidden="1">{#N/A,#N/A,FALSE,"dec98qtr";#N/A,#N/A,FALSE,"suppdecsep98";#N/A,#N/A,FALSE,"w-dec98"}</definedName>
    <definedName name="ggf" localSheetId="3" hidden="1">{#N/A,#N/A,FALSE,"dec98qtr";#N/A,#N/A,FALSE,"suppdecsep98";#N/A,#N/A,FALSE,"w-dec98"}</definedName>
    <definedName name="ggf" localSheetId="11" hidden="1">{#N/A,#N/A,FALSE,"dec98qtr";#N/A,#N/A,FALSE,"suppdecsep98";#N/A,#N/A,FALSE,"w-dec98"}</definedName>
    <definedName name="ggf" localSheetId="13" hidden="1">{#N/A,#N/A,FALSE,"dec98qtr";#N/A,#N/A,FALSE,"suppdecsep98";#N/A,#N/A,FALSE,"w-dec98"}</definedName>
    <definedName name="ggf" localSheetId="6" hidden="1">{#N/A,#N/A,FALSE,"dec98qtr";#N/A,#N/A,FALSE,"suppdecsep98";#N/A,#N/A,FALSE,"w-dec98"}</definedName>
    <definedName name="ggf" localSheetId="5" hidden="1">{#N/A,#N/A,FALSE,"dec98qtr";#N/A,#N/A,FALSE,"suppdecsep98";#N/A,#N/A,FALSE,"w-dec98"}</definedName>
    <definedName name="ggf" localSheetId="2" hidden="1">{#N/A,#N/A,FALSE,"dec98qtr";#N/A,#N/A,FALSE,"suppdecsep98";#N/A,#N/A,FALSE,"w-dec98"}</definedName>
    <definedName name="ggf" hidden="1">{#N/A,#N/A,FALSE,"dec98qtr";#N/A,#N/A,FALSE,"suppdecsep98";#N/A,#N/A,FALSE,"w-dec98"}</definedName>
    <definedName name="GH" localSheetId="4" hidden="1">{"MSS",#N/A,FALSE,"MSS";"ProdSA",#N/A,FALSE,"ProdSA";"Sales 1",#N/A,FALSE,"SALES";"Transfer 1",#N/A,FALSE,"TRANSFERS"}</definedName>
    <definedName name="GH" localSheetId="3" hidden="1">{"MSS",#N/A,FALSE,"MSS";"ProdSA",#N/A,FALSE,"ProdSA";"Sales 1",#N/A,FALSE,"SALES";"Transfer 1",#N/A,FALSE,"TRANSFERS"}</definedName>
    <definedName name="GH" localSheetId="11" hidden="1">{"MSS",#N/A,FALSE,"MSS";"ProdSA",#N/A,FALSE,"ProdSA";"Sales 1",#N/A,FALSE,"SALES";"Transfer 1",#N/A,FALSE,"TRANSFERS"}</definedName>
    <definedName name="GH" localSheetId="13" hidden="1">{"MSS",#N/A,FALSE,"MSS";"ProdSA",#N/A,FALSE,"ProdSA";"Sales 1",#N/A,FALSE,"SALES";"Transfer 1",#N/A,FALSE,"TRANSFERS"}</definedName>
    <definedName name="GH" localSheetId="6" hidden="1">{"MSS",#N/A,FALSE,"MSS";"ProdSA",#N/A,FALSE,"ProdSA";"Sales 1",#N/A,FALSE,"SALES";"Transfer 1",#N/A,FALSE,"TRANSFERS"}</definedName>
    <definedName name="GH" localSheetId="5" hidden="1">{"MSS",#N/A,FALSE,"MSS";"ProdSA",#N/A,FALSE,"ProdSA";"Sales 1",#N/A,FALSE,"SALES";"Transfer 1",#N/A,FALSE,"TRANSFERS"}</definedName>
    <definedName name="GH" localSheetId="2" hidden="1">{"MSS",#N/A,FALSE,"MSS";"ProdSA",#N/A,FALSE,"ProdSA";"Sales 1",#N/A,FALSE,"SALES";"Transfer 1",#N/A,FALSE,"TRANSFERS"}</definedName>
    <definedName name="GH" hidden="1">{"MSS",#N/A,FALSE,"MSS";"ProdSA",#N/A,FALSE,"ProdSA";"Sales 1",#N/A,FALSE,"SALES";"Transfer 1",#N/A,FALSE,"TRANSFERS"}</definedName>
    <definedName name="ghj" localSheetId="4" hidden="1">{"Sales 2",#N/A,FALSE,"SALES";"Transfer 2",#N/A,FALSE,"TRANSFERS";"A1460",#N/A,FALSE,"A1460"}</definedName>
    <definedName name="ghj" localSheetId="3" hidden="1">{"Sales 2",#N/A,FALSE,"SALES";"Transfer 2",#N/A,FALSE,"TRANSFERS";"A1460",#N/A,FALSE,"A1460"}</definedName>
    <definedName name="ghj" localSheetId="11" hidden="1">{"Sales 2",#N/A,FALSE,"SALES";"Transfer 2",#N/A,FALSE,"TRANSFERS";"A1460",#N/A,FALSE,"A1460"}</definedName>
    <definedName name="ghj" localSheetId="13" hidden="1">{"Sales 2",#N/A,FALSE,"SALES";"Transfer 2",#N/A,FALSE,"TRANSFERS";"A1460",#N/A,FALSE,"A1460"}</definedName>
    <definedName name="ghj" localSheetId="6" hidden="1">{"Sales 2",#N/A,FALSE,"SALES";"Transfer 2",#N/A,FALSE,"TRANSFERS";"A1460",#N/A,FALSE,"A1460"}</definedName>
    <definedName name="ghj" localSheetId="5" hidden="1">{"Sales 2",#N/A,FALSE,"SALES";"Transfer 2",#N/A,FALSE,"TRANSFERS";"A1460",#N/A,FALSE,"A1460"}</definedName>
    <definedName name="ghj" localSheetId="2" hidden="1">{"Sales 2",#N/A,FALSE,"SALES";"Transfer 2",#N/A,FALSE,"TRANSFERS";"A1460",#N/A,FALSE,"A1460"}</definedName>
    <definedName name="ghj" hidden="1">{"Sales 2",#N/A,FALSE,"SALES";"Transfer 2",#N/A,FALSE,"TRANSFERS";"A1460",#N/A,FALSE,"A1460"}</definedName>
    <definedName name="GRAPH">[38]NOSTRO12!$AA$260</definedName>
    <definedName name="gsdfgfg" localSheetId="4" hidden="1">{"'CALL MONEY'!$K$53"}</definedName>
    <definedName name="gsdfgfg" localSheetId="3" hidden="1">{"'CALL MONEY'!$K$53"}</definedName>
    <definedName name="gsdfgfg" localSheetId="11" hidden="1">{"'CALL MONEY'!$K$53"}</definedName>
    <definedName name="gsdfgfg" localSheetId="13" hidden="1">{"'CALL MONEY'!$K$53"}</definedName>
    <definedName name="gsdfgfg" localSheetId="6" hidden="1">{"'CALL MONEY'!$K$53"}</definedName>
    <definedName name="gsdfgfg" localSheetId="5" hidden="1">{"'CALL MONEY'!$K$53"}</definedName>
    <definedName name="gsdfgfg" localSheetId="2" hidden="1">{"'CALL MONEY'!$K$53"}</definedName>
    <definedName name="gsdfgfg" hidden="1">{"'CALL MONEY'!$K$53"}</definedName>
    <definedName name="GUJ">#REF!</definedName>
    <definedName name="H.O.INTEREST">#REF!</definedName>
    <definedName name="HeadB1" localSheetId="6">[39]BS!#REF!</definedName>
    <definedName name="HeadB1" localSheetId="5">[39]BS!#REF!</definedName>
    <definedName name="HeadB1" localSheetId="2">[39]BS!#REF!</definedName>
    <definedName name="HeadB1">[40]BS!#REF!</definedName>
    <definedName name="HeadB2" localSheetId="6">[39]BS!#REF!</definedName>
    <definedName name="HeadB2" localSheetId="5">[39]BS!#REF!</definedName>
    <definedName name="HeadB2" localSheetId="2">[39]BS!#REF!</definedName>
    <definedName name="HeadB2">[40]BS!#REF!</definedName>
    <definedName name="HeadB3">#REF!</definedName>
    <definedName name="HeadP1" localSheetId="6">[39]PL!#REF!</definedName>
    <definedName name="HeadP1" localSheetId="5">[39]PL!#REF!</definedName>
    <definedName name="HeadP1" localSheetId="2">[39]PL!#REF!</definedName>
    <definedName name="HeadP1">[40]PL!#REF!</definedName>
    <definedName name="HeadP2" localSheetId="6">[39]PL!#REF!</definedName>
    <definedName name="HeadP2" localSheetId="5">[39]PL!#REF!</definedName>
    <definedName name="HeadP2" localSheetId="2">[39]PL!#REF!</definedName>
    <definedName name="HeadP2">[40]PL!#REF!</definedName>
    <definedName name="hfh" localSheetId="4" hidden="1">{#N/A,#N/A,FALSE,"dec98qtr";#N/A,#N/A,FALSE,"suppdecsep98";#N/A,#N/A,FALSE,"w-dec98"}</definedName>
    <definedName name="hfh" localSheetId="3" hidden="1">{#N/A,#N/A,FALSE,"dec98qtr";#N/A,#N/A,FALSE,"suppdecsep98";#N/A,#N/A,FALSE,"w-dec98"}</definedName>
    <definedName name="hfh" localSheetId="11" hidden="1">{#N/A,#N/A,FALSE,"dec98qtr";#N/A,#N/A,FALSE,"suppdecsep98";#N/A,#N/A,FALSE,"w-dec98"}</definedName>
    <definedName name="hfh" localSheetId="13" hidden="1">{#N/A,#N/A,FALSE,"dec98qtr";#N/A,#N/A,FALSE,"suppdecsep98";#N/A,#N/A,FALSE,"w-dec98"}</definedName>
    <definedName name="hfh" localSheetId="6" hidden="1">{#N/A,#N/A,FALSE,"dec98qtr";#N/A,#N/A,FALSE,"suppdecsep98";#N/A,#N/A,FALSE,"w-dec98"}</definedName>
    <definedName name="hfh" localSheetId="5" hidden="1">{#N/A,#N/A,FALSE,"dec98qtr";#N/A,#N/A,FALSE,"suppdecsep98";#N/A,#N/A,FALSE,"w-dec98"}</definedName>
    <definedName name="hfh" localSheetId="2" hidden="1">{#N/A,#N/A,FALSE,"dec98qtr";#N/A,#N/A,FALSE,"suppdecsep98";#N/A,#N/A,FALSE,"w-dec98"}</definedName>
    <definedName name="hfh" hidden="1">{#N/A,#N/A,FALSE,"dec98qtr";#N/A,#N/A,FALSE,"suppdecsep98";#N/A,#N/A,FALSE,"w-dec98"}</definedName>
    <definedName name="hgg" localSheetId="4" hidden="1">{"Sales 2",#N/A,FALSE,"SALES";"Transfer 2",#N/A,FALSE,"TRANSFERS";"A1460",#N/A,FALSE,"A1460"}</definedName>
    <definedName name="hgg" localSheetId="3" hidden="1">{"Sales 2",#N/A,FALSE,"SALES";"Transfer 2",#N/A,FALSE,"TRANSFERS";"A1460",#N/A,FALSE,"A1460"}</definedName>
    <definedName name="hgg" localSheetId="11" hidden="1">{"Sales 2",#N/A,FALSE,"SALES";"Transfer 2",#N/A,FALSE,"TRANSFERS";"A1460",#N/A,FALSE,"A1460"}</definedName>
    <definedName name="hgg" localSheetId="13" hidden="1">{"Sales 2",#N/A,FALSE,"SALES";"Transfer 2",#N/A,FALSE,"TRANSFERS";"A1460",#N/A,FALSE,"A1460"}</definedName>
    <definedName name="hgg" localSheetId="6" hidden="1">{"Sales 2",#N/A,FALSE,"SALES";"Transfer 2",#N/A,FALSE,"TRANSFERS";"A1460",#N/A,FALSE,"A1460"}</definedName>
    <definedName name="hgg" localSheetId="5" hidden="1">{"Sales 2",#N/A,FALSE,"SALES";"Transfer 2",#N/A,FALSE,"TRANSFERS";"A1460",#N/A,FALSE,"A1460"}</definedName>
    <definedName name="hgg" localSheetId="2" hidden="1">{"Sales 2",#N/A,FALSE,"SALES";"Transfer 2",#N/A,FALSE,"TRANSFERS";"A1460",#N/A,FALSE,"A1460"}</definedName>
    <definedName name="hgg" hidden="1">{"Sales 2",#N/A,FALSE,"SALES";"Transfer 2",#N/A,FALSE,"TRANSFERS";"A1460",#N/A,FALSE,"A1460"}</definedName>
    <definedName name="HOL">'[15]F-HL'!$G$1:$G$65536,'[15]F-HL'!$K$1:$K$65536</definedName>
    <definedName name="Holding" localSheetId="6">[41]Amtex!$G$1</definedName>
    <definedName name="Holding" localSheetId="5">[41]Amtex!$G$1</definedName>
    <definedName name="Holding" localSheetId="2">[41]Amtex!$G$1</definedName>
    <definedName name="Holding">[42]Amtex!$G$1</definedName>
    <definedName name="Holidays" localSheetId="6" hidden="1">[43]Brokers!$I$3:$I$62</definedName>
    <definedName name="Holidays" localSheetId="5" hidden="1">[43]Brokers!$I$3:$I$62</definedName>
    <definedName name="Holidays" localSheetId="2" hidden="1">[43]Brokers!$I$3:$I$62</definedName>
    <definedName name="Holidays" hidden="1">[44]Brokers!$I$3:$I$62</definedName>
    <definedName name="HTML_CodePage" hidden="1">1252</definedName>
    <definedName name="HTML_Control" localSheetId="4" hidden="1">{"'CALL MONEY'!$K$53"}</definedName>
    <definedName name="HTML_Control" localSheetId="3" hidden="1">{"'CALL MONEY'!$K$53"}</definedName>
    <definedName name="HTML_Control" localSheetId="11" hidden="1">{"'CALL MONEY'!$K$53"}</definedName>
    <definedName name="HTML_Control" localSheetId="13" hidden="1">{"'CALL MONEY'!$K$53"}</definedName>
    <definedName name="HTML_Control" localSheetId="6" hidden="1">{"'CALL MONEY'!$K$53"}</definedName>
    <definedName name="HTML_Control" localSheetId="5" hidden="1">{"'CALL MONEY'!$K$53"}</definedName>
    <definedName name="HTML_Control" localSheetId="2" hidden="1">{"'CALL MONEY'!$K$53"}</definedName>
    <definedName name="HTML_Control" hidden="1">{"'CALL MONEY'!$K$53"}</definedName>
    <definedName name="HTML_Description" hidden="1">""</definedName>
    <definedName name="HTML_Email" hidden="1">""</definedName>
    <definedName name="HTML_Header" hidden="1">"CALL MONEY"</definedName>
    <definedName name="HTML_LastUpdate" hidden="1">"27/11/02"</definedName>
    <definedName name="HTML_LineAfter" hidden="1">FALSE</definedName>
    <definedName name="HTML_LineBefore" hidden="1">FALSE</definedName>
    <definedName name="HTML_Name" hidden="1">"Sana"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" localSheetId="4" hidden="1">{"'CALL MONEY'!$K$53"}</definedName>
    <definedName name="HTML_T" localSheetId="3" hidden="1">{"'CALL MONEY'!$K$53"}</definedName>
    <definedName name="HTML_T" localSheetId="11" hidden="1">{"'CALL MONEY'!$K$53"}</definedName>
    <definedName name="HTML_T" localSheetId="13" hidden="1">{"'CALL MONEY'!$K$53"}</definedName>
    <definedName name="HTML_T" localSheetId="6" hidden="1">{"'CALL MONEY'!$K$53"}</definedName>
    <definedName name="HTML_T" localSheetId="5" hidden="1">{"'CALL MONEY'!$K$53"}</definedName>
    <definedName name="HTML_T" localSheetId="2" hidden="1">{"'CALL MONEY'!$K$53"}</definedName>
    <definedName name="HTML_T" hidden="1">{"'CALL MONEY'!$K$53"}</definedName>
    <definedName name="HTML_Title" hidden="1">"HOLDING 27-11-2002"</definedName>
    <definedName name="I">#REF!</definedName>
    <definedName name="IMRAN">#REF!</definedName>
    <definedName name="INC">'[1]last qrt2001'!#REF!</definedName>
    <definedName name="inc00">#REF!</definedName>
    <definedName name="INT.PROVISION">#REF!</definedName>
    <definedName name="INT_SUMMARY">#REF!</definedName>
    <definedName name="INTPAIDREPO">#REF!</definedName>
    <definedName name="ISD">#REF!</definedName>
    <definedName name="IssueDate">#REF!</definedName>
    <definedName name="J">#REF!</definedName>
    <definedName name="j_1" localSheetId="4" hidden="1">{#N/A,#N/A,FALSE,"LIQUIDITY GAPS";#N/A,#N/A,FALSE,"GAP Mapping "}</definedName>
    <definedName name="j_1" localSheetId="3" hidden="1">{#N/A,#N/A,FALSE,"LIQUIDITY GAPS";#N/A,#N/A,FALSE,"GAP Mapping "}</definedName>
    <definedName name="j_1" localSheetId="11" hidden="1">{#N/A,#N/A,FALSE,"LIQUIDITY GAPS";#N/A,#N/A,FALSE,"GAP Mapping "}</definedName>
    <definedName name="j_1" localSheetId="13" hidden="1">{#N/A,#N/A,FALSE,"LIQUIDITY GAPS";#N/A,#N/A,FALSE,"GAP Mapping "}</definedName>
    <definedName name="j_1" localSheetId="6" hidden="1">{#N/A,#N/A,FALSE,"LIQUIDITY GAPS";#N/A,#N/A,FALSE,"GAP Mapping "}</definedName>
    <definedName name="j_1" localSheetId="5" hidden="1">{#N/A,#N/A,FALSE,"LIQUIDITY GAPS";#N/A,#N/A,FALSE,"GAP Mapping "}</definedName>
    <definedName name="j_1" localSheetId="2" hidden="1">{#N/A,#N/A,FALSE,"LIQUIDITY GAPS";#N/A,#N/A,FALSE,"GAP Mapping "}</definedName>
    <definedName name="j_1" hidden="1">{#N/A,#N/A,FALSE,"LIQUIDITY GAPS";#N/A,#N/A,FALSE,"GAP Mapping "}</definedName>
    <definedName name="j_2" localSheetId="4" hidden="1">{#N/A,#N/A,FALSE,"LIQUIDITY GAPS";#N/A,#N/A,FALSE,"GAP Mapping "}</definedName>
    <definedName name="j_2" localSheetId="3" hidden="1">{#N/A,#N/A,FALSE,"LIQUIDITY GAPS";#N/A,#N/A,FALSE,"GAP Mapping "}</definedName>
    <definedName name="j_2" localSheetId="11" hidden="1">{#N/A,#N/A,FALSE,"LIQUIDITY GAPS";#N/A,#N/A,FALSE,"GAP Mapping "}</definedName>
    <definedName name="j_2" localSheetId="13" hidden="1">{#N/A,#N/A,FALSE,"LIQUIDITY GAPS";#N/A,#N/A,FALSE,"GAP Mapping "}</definedName>
    <definedName name="j_2" localSheetId="6" hidden="1">{#N/A,#N/A,FALSE,"LIQUIDITY GAPS";#N/A,#N/A,FALSE,"GAP Mapping "}</definedName>
    <definedName name="j_2" localSheetId="5" hidden="1">{#N/A,#N/A,FALSE,"LIQUIDITY GAPS";#N/A,#N/A,FALSE,"GAP Mapping "}</definedName>
    <definedName name="j_2" localSheetId="2" hidden="1">{#N/A,#N/A,FALSE,"LIQUIDITY GAPS";#N/A,#N/A,FALSE,"GAP Mapping "}</definedName>
    <definedName name="j_2" hidden="1">{#N/A,#N/A,FALSE,"LIQUIDITY GAPS";#N/A,#N/A,FALSE,"GAP Mapping "}</definedName>
    <definedName name="j_2_1" localSheetId="4" hidden="1">{#N/A,#N/A,FALSE,"LIQUIDITY GAPS";#N/A,#N/A,FALSE,"GAP Mapping "}</definedName>
    <definedName name="j_2_1" localSheetId="3" hidden="1">{#N/A,#N/A,FALSE,"LIQUIDITY GAPS";#N/A,#N/A,FALSE,"GAP Mapping "}</definedName>
    <definedName name="j_2_1" localSheetId="11" hidden="1">{#N/A,#N/A,FALSE,"LIQUIDITY GAPS";#N/A,#N/A,FALSE,"GAP Mapping "}</definedName>
    <definedName name="j_2_1" localSheetId="13" hidden="1">{#N/A,#N/A,FALSE,"LIQUIDITY GAPS";#N/A,#N/A,FALSE,"GAP Mapping "}</definedName>
    <definedName name="j_2_1" localSheetId="6" hidden="1">{#N/A,#N/A,FALSE,"LIQUIDITY GAPS";#N/A,#N/A,FALSE,"GAP Mapping "}</definedName>
    <definedName name="j_2_1" localSheetId="5" hidden="1">{#N/A,#N/A,FALSE,"LIQUIDITY GAPS";#N/A,#N/A,FALSE,"GAP Mapping "}</definedName>
    <definedName name="j_2_1" localSheetId="2" hidden="1">{#N/A,#N/A,FALSE,"LIQUIDITY GAPS";#N/A,#N/A,FALSE,"GAP Mapping "}</definedName>
    <definedName name="j_2_1" hidden="1">{#N/A,#N/A,FALSE,"LIQUIDITY GAPS";#N/A,#N/A,FALSE,"GAP Mapping "}</definedName>
    <definedName name="j_2_2" localSheetId="4" hidden="1">{#N/A,#N/A,FALSE,"LIQUIDITY GAPS";#N/A,#N/A,FALSE,"GAP Mapping "}</definedName>
    <definedName name="j_2_2" localSheetId="3" hidden="1">{#N/A,#N/A,FALSE,"LIQUIDITY GAPS";#N/A,#N/A,FALSE,"GAP Mapping "}</definedName>
    <definedName name="j_2_2" localSheetId="11" hidden="1">{#N/A,#N/A,FALSE,"LIQUIDITY GAPS";#N/A,#N/A,FALSE,"GAP Mapping "}</definedName>
    <definedName name="j_2_2" localSheetId="13" hidden="1">{#N/A,#N/A,FALSE,"LIQUIDITY GAPS";#N/A,#N/A,FALSE,"GAP Mapping "}</definedName>
    <definedName name="j_2_2" localSheetId="6" hidden="1">{#N/A,#N/A,FALSE,"LIQUIDITY GAPS";#N/A,#N/A,FALSE,"GAP Mapping "}</definedName>
    <definedName name="j_2_2" localSheetId="5" hidden="1">{#N/A,#N/A,FALSE,"LIQUIDITY GAPS";#N/A,#N/A,FALSE,"GAP Mapping "}</definedName>
    <definedName name="j_2_2" localSheetId="2" hidden="1">{#N/A,#N/A,FALSE,"LIQUIDITY GAPS";#N/A,#N/A,FALSE,"GAP Mapping "}</definedName>
    <definedName name="j_2_2" hidden="1">{#N/A,#N/A,FALSE,"LIQUIDITY GAPS";#N/A,#N/A,FALSE,"GAP Mapping "}</definedName>
    <definedName name="j_2_3" localSheetId="4" hidden="1">{#N/A,#N/A,FALSE,"LIQUIDITY GAPS";#N/A,#N/A,FALSE,"GAP Mapping "}</definedName>
    <definedName name="j_2_3" localSheetId="3" hidden="1">{#N/A,#N/A,FALSE,"LIQUIDITY GAPS";#N/A,#N/A,FALSE,"GAP Mapping "}</definedName>
    <definedName name="j_2_3" localSheetId="11" hidden="1">{#N/A,#N/A,FALSE,"LIQUIDITY GAPS";#N/A,#N/A,FALSE,"GAP Mapping "}</definedName>
    <definedName name="j_2_3" localSheetId="13" hidden="1">{#N/A,#N/A,FALSE,"LIQUIDITY GAPS";#N/A,#N/A,FALSE,"GAP Mapping "}</definedName>
    <definedName name="j_2_3" localSheetId="6" hidden="1">{#N/A,#N/A,FALSE,"LIQUIDITY GAPS";#N/A,#N/A,FALSE,"GAP Mapping "}</definedName>
    <definedName name="j_2_3" localSheetId="5" hidden="1">{#N/A,#N/A,FALSE,"LIQUIDITY GAPS";#N/A,#N/A,FALSE,"GAP Mapping "}</definedName>
    <definedName name="j_2_3" localSheetId="2" hidden="1">{#N/A,#N/A,FALSE,"LIQUIDITY GAPS";#N/A,#N/A,FALSE,"GAP Mapping "}</definedName>
    <definedName name="j_2_3" hidden="1">{#N/A,#N/A,FALSE,"LIQUIDITY GAPS";#N/A,#N/A,FALSE,"GAP Mapping "}</definedName>
    <definedName name="j_3" localSheetId="4" hidden="1">{#N/A,#N/A,FALSE,"LIQUIDITY GAPS";#N/A,#N/A,FALSE,"GAP Mapping "}</definedName>
    <definedName name="j_3" localSheetId="3" hidden="1">{#N/A,#N/A,FALSE,"LIQUIDITY GAPS";#N/A,#N/A,FALSE,"GAP Mapping "}</definedName>
    <definedName name="j_3" localSheetId="11" hidden="1">{#N/A,#N/A,FALSE,"LIQUIDITY GAPS";#N/A,#N/A,FALSE,"GAP Mapping "}</definedName>
    <definedName name="j_3" localSheetId="13" hidden="1">{#N/A,#N/A,FALSE,"LIQUIDITY GAPS";#N/A,#N/A,FALSE,"GAP Mapping "}</definedName>
    <definedName name="j_3" localSheetId="6" hidden="1">{#N/A,#N/A,FALSE,"LIQUIDITY GAPS";#N/A,#N/A,FALSE,"GAP Mapping "}</definedName>
    <definedName name="j_3" localSheetId="5" hidden="1">{#N/A,#N/A,FALSE,"LIQUIDITY GAPS";#N/A,#N/A,FALSE,"GAP Mapping "}</definedName>
    <definedName name="j_3" localSheetId="2" hidden="1">{#N/A,#N/A,FALSE,"LIQUIDITY GAPS";#N/A,#N/A,FALSE,"GAP Mapping "}</definedName>
    <definedName name="j_3" hidden="1">{#N/A,#N/A,FALSE,"LIQUIDITY GAPS";#N/A,#N/A,FALSE,"GAP Mapping "}</definedName>
    <definedName name="j_4" localSheetId="4" hidden="1">{#N/A,#N/A,FALSE,"LIQUIDITY GAPS";#N/A,#N/A,FALSE,"GAP Mapping "}</definedName>
    <definedName name="j_4" localSheetId="3" hidden="1">{#N/A,#N/A,FALSE,"LIQUIDITY GAPS";#N/A,#N/A,FALSE,"GAP Mapping "}</definedName>
    <definedName name="j_4" localSheetId="11" hidden="1">{#N/A,#N/A,FALSE,"LIQUIDITY GAPS";#N/A,#N/A,FALSE,"GAP Mapping "}</definedName>
    <definedName name="j_4" localSheetId="13" hidden="1">{#N/A,#N/A,FALSE,"LIQUIDITY GAPS";#N/A,#N/A,FALSE,"GAP Mapping "}</definedName>
    <definedName name="j_4" localSheetId="6" hidden="1">{#N/A,#N/A,FALSE,"LIQUIDITY GAPS";#N/A,#N/A,FALSE,"GAP Mapping "}</definedName>
    <definedName name="j_4" localSheetId="5" hidden="1">{#N/A,#N/A,FALSE,"LIQUIDITY GAPS";#N/A,#N/A,FALSE,"GAP Mapping "}</definedName>
    <definedName name="j_4" localSheetId="2" hidden="1">{#N/A,#N/A,FALSE,"LIQUIDITY GAPS";#N/A,#N/A,FALSE,"GAP Mapping "}</definedName>
    <definedName name="j_4" hidden="1">{#N/A,#N/A,FALSE,"LIQUIDITY GAPS";#N/A,#N/A,FALSE,"GAP Mapping "}</definedName>
    <definedName name="j_5" localSheetId="4" hidden="1">{#N/A,#N/A,FALSE,"LIQUIDITY GAPS";#N/A,#N/A,FALSE,"GAP Mapping "}</definedName>
    <definedName name="j_5" localSheetId="3" hidden="1">{#N/A,#N/A,FALSE,"LIQUIDITY GAPS";#N/A,#N/A,FALSE,"GAP Mapping "}</definedName>
    <definedName name="j_5" localSheetId="11" hidden="1">{#N/A,#N/A,FALSE,"LIQUIDITY GAPS";#N/A,#N/A,FALSE,"GAP Mapping "}</definedName>
    <definedName name="j_5" localSheetId="13" hidden="1">{#N/A,#N/A,FALSE,"LIQUIDITY GAPS";#N/A,#N/A,FALSE,"GAP Mapping "}</definedName>
    <definedName name="j_5" localSheetId="6" hidden="1">{#N/A,#N/A,FALSE,"LIQUIDITY GAPS";#N/A,#N/A,FALSE,"GAP Mapping "}</definedName>
    <definedName name="j_5" localSheetId="5" hidden="1">{#N/A,#N/A,FALSE,"LIQUIDITY GAPS";#N/A,#N/A,FALSE,"GAP Mapping "}</definedName>
    <definedName name="j_5" localSheetId="2" hidden="1">{#N/A,#N/A,FALSE,"LIQUIDITY GAPS";#N/A,#N/A,FALSE,"GAP Mapping "}</definedName>
    <definedName name="j_5" hidden="1">{#N/A,#N/A,FALSE,"LIQUIDITY GAPS";#N/A,#N/A,FALSE,"GAP Mapping "}</definedName>
    <definedName name="jkjk" localSheetId="4" hidden="1">{"MSS",#N/A,FALSE,"MSS";"ProdSA",#N/A,FALSE,"ProdSA";"Sales 1",#N/A,FALSE,"SALES";"Transfer 1",#N/A,FALSE,"TRANSFERS"}</definedName>
    <definedName name="jkjk" localSheetId="3" hidden="1">{"MSS",#N/A,FALSE,"MSS";"ProdSA",#N/A,FALSE,"ProdSA";"Sales 1",#N/A,FALSE,"SALES";"Transfer 1",#N/A,FALSE,"TRANSFERS"}</definedName>
    <definedName name="jkjk" localSheetId="11" hidden="1">{"MSS",#N/A,FALSE,"MSS";"ProdSA",#N/A,FALSE,"ProdSA";"Sales 1",#N/A,FALSE,"SALES";"Transfer 1",#N/A,FALSE,"TRANSFERS"}</definedName>
    <definedName name="jkjk" localSheetId="13" hidden="1">{"MSS",#N/A,FALSE,"MSS";"ProdSA",#N/A,FALSE,"ProdSA";"Sales 1",#N/A,FALSE,"SALES";"Transfer 1",#N/A,FALSE,"TRANSFERS"}</definedName>
    <definedName name="jkjk" localSheetId="6" hidden="1">{"MSS",#N/A,FALSE,"MSS";"ProdSA",#N/A,FALSE,"ProdSA";"Sales 1",#N/A,FALSE,"SALES";"Transfer 1",#N/A,FALSE,"TRANSFERS"}</definedName>
    <definedName name="jkjk" localSheetId="5" hidden="1">{"MSS",#N/A,FALSE,"MSS";"ProdSA",#N/A,FALSE,"ProdSA";"Sales 1",#N/A,FALSE,"SALES";"Transfer 1",#N/A,FALSE,"TRANSFERS"}</definedName>
    <definedName name="jkjk" localSheetId="2" hidden="1">{"MSS",#N/A,FALSE,"MSS";"ProdSA",#N/A,FALSE,"ProdSA";"Sales 1",#N/A,FALSE,"SALES";"Transfer 1",#N/A,FALSE,"TRANSFERS"}</definedName>
    <definedName name="jkjk" hidden="1">{"MSS",#N/A,FALSE,"MSS";"ProdSA",#N/A,FALSE,"ProdSA";"Sales 1",#N/A,FALSE,"SALES";"Transfer 1",#N/A,FALSE,"TRANSFERS"}</definedName>
    <definedName name="jkl" localSheetId="4" hidden="1">{#N/A,#N/A,FALSE,"dec98qtr";#N/A,#N/A,FALSE,"suppdecsep98";#N/A,#N/A,FALSE,"w-dec98"}</definedName>
    <definedName name="jkl" localSheetId="3" hidden="1">{#N/A,#N/A,FALSE,"dec98qtr";#N/A,#N/A,FALSE,"suppdecsep98";#N/A,#N/A,FALSE,"w-dec98"}</definedName>
    <definedName name="jkl" localSheetId="11" hidden="1">{#N/A,#N/A,FALSE,"dec98qtr";#N/A,#N/A,FALSE,"suppdecsep98";#N/A,#N/A,FALSE,"w-dec98"}</definedName>
    <definedName name="jkl" localSheetId="13" hidden="1">{#N/A,#N/A,FALSE,"dec98qtr";#N/A,#N/A,FALSE,"suppdecsep98";#N/A,#N/A,FALSE,"w-dec98"}</definedName>
    <definedName name="jkl" localSheetId="6" hidden="1">{#N/A,#N/A,FALSE,"dec98qtr";#N/A,#N/A,FALSE,"suppdecsep98";#N/A,#N/A,FALSE,"w-dec98"}</definedName>
    <definedName name="jkl" localSheetId="5" hidden="1">{#N/A,#N/A,FALSE,"dec98qtr";#N/A,#N/A,FALSE,"suppdecsep98";#N/A,#N/A,FALSE,"w-dec98"}</definedName>
    <definedName name="jkl" localSheetId="2" hidden="1">{#N/A,#N/A,FALSE,"dec98qtr";#N/A,#N/A,FALSE,"suppdecsep98";#N/A,#N/A,FALSE,"w-dec98"}</definedName>
    <definedName name="jkl" hidden="1">{#N/A,#N/A,FALSE,"dec98qtr";#N/A,#N/A,FALSE,"suppdecsep98";#N/A,#N/A,FALSE,"w-dec98"}</definedName>
    <definedName name="jqhewhqe" localSheetId="4" hidden="1">{"MSS",#N/A,FALSE,"MSS";"ProdSA",#N/A,FALSE,"ProdSA";"Sales 1",#N/A,FALSE,"SALES";"Transfer 1",#N/A,FALSE,"TRANSFERS"}</definedName>
    <definedName name="jqhewhqe" localSheetId="3" hidden="1">{"MSS",#N/A,FALSE,"MSS";"ProdSA",#N/A,FALSE,"ProdSA";"Sales 1",#N/A,FALSE,"SALES";"Transfer 1",#N/A,FALSE,"TRANSFERS"}</definedName>
    <definedName name="jqhewhqe" localSheetId="11" hidden="1">{"MSS",#N/A,FALSE,"MSS";"ProdSA",#N/A,FALSE,"ProdSA";"Sales 1",#N/A,FALSE,"SALES";"Transfer 1",#N/A,FALSE,"TRANSFERS"}</definedName>
    <definedName name="jqhewhqe" localSheetId="13" hidden="1">{"MSS",#N/A,FALSE,"MSS";"ProdSA",#N/A,FALSE,"ProdSA";"Sales 1",#N/A,FALSE,"SALES";"Transfer 1",#N/A,FALSE,"TRANSFERS"}</definedName>
    <definedName name="jqhewhqe" localSheetId="6" hidden="1">{"MSS",#N/A,FALSE,"MSS";"ProdSA",#N/A,FALSE,"ProdSA";"Sales 1",#N/A,FALSE,"SALES";"Transfer 1",#N/A,FALSE,"TRANSFERS"}</definedName>
    <definedName name="jqhewhqe" localSheetId="5" hidden="1">{"MSS",#N/A,FALSE,"MSS";"ProdSA",#N/A,FALSE,"ProdSA";"Sales 1",#N/A,FALSE,"SALES";"Transfer 1",#N/A,FALSE,"TRANSFERS"}</definedName>
    <definedName name="jqhewhqe" localSheetId="2" hidden="1">{"MSS",#N/A,FALSE,"MSS";"ProdSA",#N/A,FALSE,"ProdSA";"Sales 1",#N/A,FALSE,"SALES";"Transfer 1",#N/A,FALSE,"TRANSFERS"}</definedName>
    <definedName name="jqhewhqe" hidden="1">{"MSS",#N/A,FALSE,"MSS";"ProdSA",#N/A,FALSE,"ProdSA";"Sales 1",#N/A,FALSE,"SALES";"Transfer 1",#N/A,FALSE,"TRANSFERS"}</definedName>
    <definedName name="K">#REF!</definedName>
    <definedName name="kjjk" localSheetId="4" hidden="1">{#N/A,#N/A,FALSE,"dec98qtr";#N/A,#N/A,FALSE,"suppdecsep98";#N/A,#N/A,FALSE,"w-dec98"}</definedName>
    <definedName name="kjjk" localSheetId="3" hidden="1">{#N/A,#N/A,FALSE,"dec98qtr";#N/A,#N/A,FALSE,"suppdecsep98";#N/A,#N/A,FALSE,"w-dec98"}</definedName>
    <definedName name="kjjk" localSheetId="11" hidden="1">{#N/A,#N/A,FALSE,"dec98qtr";#N/A,#N/A,FALSE,"suppdecsep98";#N/A,#N/A,FALSE,"w-dec98"}</definedName>
    <definedName name="kjjk" localSheetId="13" hidden="1">{#N/A,#N/A,FALSE,"dec98qtr";#N/A,#N/A,FALSE,"suppdecsep98";#N/A,#N/A,FALSE,"w-dec98"}</definedName>
    <definedName name="kjjk" localSheetId="6" hidden="1">{#N/A,#N/A,FALSE,"dec98qtr";#N/A,#N/A,FALSE,"suppdecsep98";#N/A,#N/A,FALSE,"w-dec98"}</definedName>
    <definedName name="kjjk" localSheetId="5" hidden="1">{#N/A,#N/A,FALSE,"dec98qtr";#N/A,#N/A,FALSE,"suppdecsep98";#N/A,#N/A,FALSE,"w-dec98"}</definedName>
    <definedName name="kjjk" localSheetId="2" hidden="1">{#N/A,#N/A,FALSE,"dec98qtr";#N/A,#N/A,FALSE,"suppdecsep98";#N/A,#N/A,FALSE,"w-dec98"}</definedName>
    <definedName name="kjjk" hidden="1">{#N/A,#N/A,FALSE,"dec98qtr";#N/A,#N/A,FALSE,"suppdecsep98";#N/A,#N/A,FALSE,"w-dec98"}</definedName>
    <definedName name="kk" localSheetId="4" hidden="1">{"'CALL MONEY'!$K$53"}</definedName>
    <definedName name="kk" localSheetId="3" hidden="1">{"'CALL MONEY'!$K$53"}</definedName>
    <definedName name="kk" localSheetId="11" hidden="1">{"'CALL MONEY'!$K$53"}</definedName>
    <definedName name="kk" localSheetId="13" hidden="1">{"'CALL MONEY'!$K$53"}</definedName>
    <definedName name="kk" localSheetId="6" hidden="1">{"'CALL MONEY'!$K$53"}</definedName>
    <definedName name="kk" localSheetId="5" hidden="1">{"'CALL MONEY'!$K$53"}</definedName>
    <definedName name="kk" localSheetId="2" hidden="1">{"'CALL MONEY'!$K$53"}</definedName>
    <definedName name="kk" hidden="1">{"'CALL MONEY'!$K$53"}</definedName>
    <definedName name="kl" localSheetId="4" hidden="1">{"MSS",#N/A,FALSE,"MSS";"ProdSA",#N/A,FALSE,"ProdSA";"Sales 1",#N/A,FALSE,"SALES";"Transfer 1",#N/A,FALSE,"TRANSFERS"}</definedName>
    <definedName name="kl" localSheetId="3" hidden="1">{"MSS",#N/A,FALSE,"MSS";"ProdSA",#N/A,FALSE,"ProdSA";"Sales 1",#N/A,FALSE,"SALES";"Transfer 1",#N/A,FALSE,"TRANSFERS"}</definedName>
    <definedName name="kl" localSheetId="11" hidden="1">{"MSS",#N/A,FALSE,"MSS";"ProdSA",#N/A,FALSE,"ProdSA";"Sales 1",#N/A,FALSE,"SALES";"Transfer 1",#N/A,FALSE,"TRANSFERS"}</definedName>
    <definedName name="kl" localSheetId="13" hidden="1">{"MSS",#N/A,FALSE,"MSS";"ProdSA",#N/A,FALSE,"ProdSA";"Sales 1",#N/A,FALSE,"SALES";"Transfer 1",#N/A,FALSE,"TRANSFERS"}</definedName>
    <definedName name="kl" localSheetId="6" hidden="1">{"MSS",#N/A,FALSE,"MSS";"ProdSA",#N/A,FALSE,"ProdSA";"Sales 1",#N/A,FALSE,"SALES";"Transfer 1",#N/A,FALSE,"TRANSFERS"}</definedName>
    <definedName name="kl" localSheetId="5" hidden="1">{"MSS",#N/A,FALSE,"MSS";"ProdSA",#N/A,FALSE,"ProdSA";"Sales 1",#N/A,FALSE,"SALES";"Transfer 1",#N/A,FALSE,"TRANSFERS"}</definedName>
    <definedName name="kl" localSheetId="2" hidden="1">{"MSS",#N/A,FALSE,"MSS";"ProdSA",#N/A,FALSE,"ProdSA";"Sales 1",#N/A,FALSE,"SALES";"Transfer 1",#N/A,FALSE,"TRANSFERS"}</definedName>
    <definedName name="kl" hidden="1">{"MSS",#N/A,FALSE,"MSS";"ProdSA",#N/A,FALSE,"ProdSA";"Sales 1",#N/A,FALSE,"SALES";"Transfer 1",#N/A,FALSE,"TRANSFERS"}</definedName>
    <definedName name="kn" localSheetId="4" hidden="1">{"'CALL MONEY'!$K$53"}</definedName>
    <definedName name="kn" localSheetId="3" hidden="1">{"'CALL MONEY'!$K$53"}</definedName>
    <definedName name="kn" localSheetId="11" hidden="1">{"'CALL MONEY'!$K$53"}</definedName>
    <definedName name="kn" localSheetId="13" hidden="1">{"'CALL MONEY'!$K$53"}</definedName>
    <definedName name="kn" localSheetId="6" hidden="1">{"'CALL MONEY'!$K$53"}</definedName>
    <definedName name="kn" localSheetId="5" hidden="1">{"'CALL MONEY'!$K$53"}</definedName>
    <definedName name="kn" localSheetId="2" hidden="1">{"'CALL MONEY'!$K$53"}</definedName>
    <definedName name="kn" hidden="1">{"'CALL MONEY'!$K$53"}</definedName>
    <definedName name="L">#REF!</definedName>
    <definedName name="LAHORE">#REF!</definedName>
    <definedName name="LastRow">#REF!</definedName>
    <definedName name="LCUR10">#REF!</definedName>
    <definedName name="LCUR16">#REF!</definedName>
    <definedName name="LCUR17">#REF!</definedName>
    <definedName name="M">#REF!</definedName>
    <definedName name="ManCF">#REF!</definedName>
    <definedName name="MaturityDate">#REF!</definedName>
    <definedName name="MLT">#REF!</definedName>
    <definedName name="mm">#REF!</definedName>
    <definedName name="MONTH">#REF!</definedName>
    <definedName name="MTMFIB">'[37]F-HL'!#REF!</definedName>
    <definedName name="MTMPIB">#REF!</definedName>
    <definedName name="MTMYTM">#REF!</definedName>
    <definedName name="N">#REF!</definedName>
    <definedName name="nbh" localSheetId="4" hidden="1">{"'CALL MONEY'!$K$53"}</definedName>
    <definedName name="nbh" localSheetId="3" hidden="1">{"'CALL MONEY'!$K$53"}</definedName>
    <definedName name="nbh" localSheetId="11" hidden="1">{"'CALL MONEY'!$K$53"}</definedName>
    <definedName name="nbh" localSheetId="13" hidden="1">{"'CALL MONEY'!$K$53"}</definedName>
    <definedName name="nbh" localSheetId="6" hidden="1">{"'CALL MONEY'!$K$53"}</definedName>
    <definedName name="nbh" localSheetId="5" hidden="1">{"'CALL MONEY'!$K$53"}</definedName>
    <definedName name="nbh" localSheetId="2" hidden="1">{"'CALL MONEY'!$K$53"}</definedName>
    <definedName name="nbh" hidden="1">{"'CALL MONEY'!$K$53"}</definedName>
    <definedName name="NET">#REF!</definedName>
    <definedName name="NEW">#REF!</definedName>
    <definedName name="nocontrol" localSheetId="4" hidden="1">{"'CALL MONEY'!$K$53"}</definedName>
    <definedName name="nocontrol" localSheetId="3" hidden="1">{"'CALL MONEY'!$K$53"}</definedName>
    <definedName name="nocontrol" localSheetId="11" hidden="1">{"'CALL MONEY'!$K$53"}</definedName>
    <definedName name="nocontrol" localSheetId="13" hidden="1">{"'CALL MONEY'!$K$53"}</definedName>
    <definedName name="nocontrol" localSheetId="6" hidden="1">{"'CALL MONEY'!$K$53"}</definedName>
    <definedName name="nocontrol" localSheetId="5" hidden="1">{"'CALL MONEY'!$K$53"}</definedName>
    <definedName name="nocontrol" localSheetId="2" hidden="1">{"'CALL MONEY'!$K$53"}</definedName>
    <definedName name="nocontrol" hidden="1">{"'CALL MONEY'!$K$53"}</definedName>
    <definedName name="NOP">#REF!</definedName>
    <definedName name="normal" localSheetId="4" hidden="1">{#N/A,#N/A,FALSE,"dec98qtr";#N/A,#N/A,FALSE,"suppdecsep98";#N/A,#N/A,FALSE,"w-dec98"}</definedName>
    <definedName name="normal" localSheetId="3" hidden="1">{#N/A,#N/A,FALSE,"dec98qtr";#N/A,#N/A,FALSE,"suppdecsep98";#N/A,#N/A,FALSE,"w-dec98"}</definedName>
    <definedName name="normal" localSheetId="11" hidden="1">{#N/A,#N/A,FALSE,"dec98qtr";#N/A,#N/A,FALSE,"suppdecsep98";#N/A,#N/A,FALSE,"w-dec98"}</definedName>
    <definedName name="normal" localSheetId="13" hidden="1">{#N/A,#N/A,FALSE,"dec98qtr";#N/A,#N/A,FALSE,"suppdecsep98";#N/A,#N/A,FALSE,"w-dec98"}</definedName>
    <definedName name="normal" localSheetId="6" hidden="1">{#N/A,#N/A,FALSE,"dec98qtr";#N/A,#N/A,FALSE,"suppdecsep98";#N/A,#N/A,FALSE,"w-dec98"}</definedName>
    <definedName name="normal" localSheetId="5" hidden="1">{#N/A,#N/A,FALSE,"dec98qtr";#N/A,#N/A,FALSE,"suppdecsep98";#N/A,#N/A,FALSE,"w-dec98"}</definedName>
    <definedName name="normal" localSheetId="2" hidden="1">{#N/A,#N/A,FALSE,"dec98qtr";#N/A,#N/A,FALSE,"suppdecsep98";#N/A,#N/A,FALSE,"w-dec98"}</definedName>
    <definedName name="normal" hidden="1">{#N/A,#N/A,FALSE,"dec98qtr";#N/A,#N/A,FALSE,"suppdecsep98";#N/A,#N/A,FALSE,"w-dec98"}</definedName>
    <definedName name="Note10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18">#REF!</definedName>
    <definedName name="Note19">#REF!</definedName>
    <definedName name="Note20">#REF!</definedName>
    <definedName name="Note21">#REF!</definedName>
    <definedName name="Note22">#REF!</definedName>
    <definedName name="Note23">#REF!</definedName>
    <definedName name="Note24">#REF!</definedName>
    <definedName name="Note25">#REF!</definedName>
    <definedName name="Note26">#REF!</definedName>
    <definedName name="Note27">#REF!</definedName>
    <definedName name="Note28">#REF!</definedName>
    <definedName name="Note29">#REF!</definedName>
    <definedName name="Note30">#REF!</definedName>
    <definedName name="Note31">#REF!</definedName>
    <definedName name="Note32">#REF!</definedName>
    <definedName name="Note33">#REF!</definedName>
    <definedName name="Note34">#REF!</definedName>
    <definedName name="Note35">#REF!</definedName>
    <definedName name="Note36">#REF!</definedName>
    <definedName name="Note37">#REF!</definedName>
    <definedName name="Note38">#REF!</definedName>
    <definedName name="Note39">#REF!</definedName>
    <definedName name="Note40">#REF!</definedName>
    <definedName name="Note41">#REF!</definedName>
    <definedName name="Note42">#REF!</definedName>
    <definedName name="Note43">#REF!</definedName>
    <definedName name="Note44">#REF!</definedName>
    <definedName name="Note45">#REF!</definedName>
    <definedName name="Note6">#REF!</definedName>
    <definedName name="Note7">#REF!</definedName>
    <definedName name="Note8">#REF!</definedName>
    <definedName name="Note9">#REF!</definedName>
    <definedName name="NoteStatus">#REF!</definedName>
    <definedName name="NoteStatus1">#REF!</definedName>
    <definedName name="O">#REF!</definedName>
    <definedName name="off">#REF!</definedName>
    <definedName name="OPEN">#REF!</definedName>
    <definedName name="OPEN1">#REF!</definedName>
    <definedName name="OS_Purchases" localSheetId="6" hidden="1">OFFSET([43]OS_Purchase!$F$3,0,0,COUNTA([43]OS_Purchase!$F$1:$F$65536)-SUMPRODUCT(--(LEFT([43]OS_Purchase!$F$3:$F$998)=""))-1,1)</definedName>
    <definedName name="OS_Purchases" localSheetId="5" hidden="1">OFFSET([43]OS_Purchase!$F$3,0,0,COUNTA([43]OS_Purchase!$F$1:$F$65536)-SUMPRODUCT(--(LEFT([43]OS_Purchase!$F$3:$F$998)=""))-1,1)</definedName>
    <definedName name="OS_Purchases" localSheetId="2" hidden="1">OFFSET([43]OS_Purchase!$F$3,0,0,COUNTA([43]OS_Purchase!$F$1:$F$65536)-SUMPRODUCT(--(LEFT([43]OS_Purchase!$F$3:$F$998)=""))-1,1)</definedName>
    <definedName name="OS_Purchases" hidden="1">OFFSET([44]OS_Purchase!$F$3,0,0,COUNTA([44]OS_Purchase!$F$1:$F$65536)-SUMPRODUCT(--(LEFT([44]OS_Purchase!$F$3:$F$998)=""))-1,1)</definedName>
    <definedName name="OTH">#REF!</definedName>
    <definedName name="P">#REF!</definedName>
    <definedName name="PDA">[2]A!#REF!</definedName>
    <definedName name="PDL">[2]A!#REF!</definedName>
    <definedName name="PER">#REF!</definedName>
    <definedName name="PEW">#REF!</definedName>
    <definedName name="PIB">#REF!</definedName>
    <definedName name="PIBCOUP">[37]ISSUES!#REF!</definedName>
    <definedName name="PIBLAST">[37]ISSUES!#REF!</definedName>
    <definedName name="PIBMAT">'[37]PIB-HL'!#REF!</definedName>
    <definedName name="PIBNEXT">[37]ISSUES!#REF!</definedName>
    <definedName name="PKRV" localSheetId="4" hidden="1">{"'CALL MONEY'!$K$53"}</definedName>
    <definedName name="PKRV" localSheetId="3" hidden="1">{"'CALL MONEY'!$K$53"}</definedName>
    <definedName name="PKRV" localSheetId="11" hidden="1">{"'CALL MONEY'!$K$53"}</definedName>
    <definedName name="PKRV" localSheetId="13" hidden="1">{"'CALL MONEY'!$K$53"}</definedName>
    <definedName name="PKRV" localSheetId="6" hidden="1">{"'CALL MONEY'!$K$53"}</definedName>
    <definedName name="PKRV" localSheetId="5" hidden="1">{"'CALL MONEY'!$K$53"}</definedName>
    <definedName name="PKRV" localSheetId="2" hidden="1">{"'CALL MONEY'!$K$53"}</definedName>
    <definedName name="PKRV" hidden="1">{"'CALL MONEY'!$K$53"}</definedName>
    <definedName name="PLC">#REF!</definedName>
    <definedName name="PmtFreq">#REF!</definedName>
    <definedName name="PRE">[15]SUM!$D$1:$D$65536,[15]SUM!$F$1:$F$65536</definedName>
    <definedName name="PreYear">#REF!</definedName>
    <definedName name="PRICE">#REF!</definedName>
    <definedName name="ProdDataDec09" localSheetId="6">[27]ProdDataDec08!$A$2:$E$225</definedName>
    <definedName name="ProdDataDec09" localSheetId="5">[27]ProdDataDec08!$A$2:$E$225</definedName>
    <definedName name="ProdDataDec09" localSheetId="2">[27]ProdDataDec08!$A$2:$E$225</definedName>
    <definedName name="ProdDataDec09">[28]ProdDataDec08!$A$2:$E$225</definedName>
    <definedName name="PrvAdv" localSheetId="6">[27]Bank!$AD$1:$AD$65536</definedName>
    <definedName name="PrvAdv" localSheetId="5">[27]Bank!$AD$1:$AD$65536</definedName>
    <definedName name="PrvAdv" localSheetId="2">[27]Bank!$AD$1:$AD$65536</definedName>
    <definedName name="PrvAdv">[28]Bank!$AD$1:$AD$65536</definedName>
    <definedName name="Purchase_Range" localSheetId="6" hidden="1">[43]Purchase!$A$2:$Z$1000</definedName>
    <definedName name="Purchase_Range" localSheetId="5" hidden="1">[43]Purchase!$A$2:$Z$1000</definedName>
    <definedName name="Purchase_Range" localSheetId="2" hidden="1">[43]Purchase!$A$2:$Z$1000</definedName>
    <definedName name="Purchase_Range" hidden="1">[44]Purchase!$A$2:$Z$1000</definedName>
    <definedName name="PurchaseID" localSheetId="6" hidden="1">OFFSET([43]Purchase!$A$4,0,0,COUNTA([43]Purchase!$A$1:$A$65536)-SUMPRODUCT(--(LEFT([43]Purchase!$A$3:$A$1000)=""))+1,1)</definedName>
    <definedName name="PurchaseID" localSheetId="5" hidden="1">OFFSET([43]Purchase!$A$4,0,0,COUNTA([43]Purchase!$A$1:$A$65536)-SUMPRODUCT(--(LEFT([43]Purchase!$A$3:$A$1000)=""))+1,1)</definedName>
    <definedName name="PurchaseID" localSheetId="2" hidden="1">OFFSET([43]Purchase!$A$4,0,0,COUNTA([43]Purchase!$A$1:$A$65536)-SUMPRODUCT(--(LEFT([43]Purchase!$A$3:$A$1000)=""))+1,1)</definedName>
    <definedName name="PurchaseID" hidden="1">OFFSET([44]Purchase!$A$4,0,0,COUNTA([44]Purchase!$A$1:$A$65536)-SUMPRODUCT(--(LEFT([44]Purchase!$A$3:$A$1000)=""))+1,1)</definedName>
    <definedName name="PYear3">#REF!</definedName>
    <definedName name="PYear4">#REF!</definedName>
    <definedName name="Q">#REF!</definedName>
    <definedName name="QUETTA">#REF!</definedName>
    <definedName name="QWQW" localSheetId="4" hidden="1">{#N/A,#N/A,FALSE,"dec98qtr";#N/A,#N/A,FALSE,"suppdecsep98";#N/A,#N/A,FALSE,"w-dec98"}</definedName>
    <definedName name="QWQW" localSheetId="3" hidden="1">{#N/A,#N/A,FALSE,"dec98qtr";#N/A,#N/A,FALSE,"suppdecsep98";#N/A,#N/A,FALSE,"w-dec98"}</definedName>
    <definedName name="QWQW" localSheetId="11" hidden="1">{#N/A,#N/A,FALSE,"dec98qtr";#N/A,#N/A,FALSE,"suppdecsep98";#N/A,#N/A,FALSE,"w-dec98"}</definedName>
    <definedName name="QWQW" localSheetId="13" hidden="1">{#N/A,#N/A,FALSE,"dec98qtr";#N/A,#N/A,FALSE,"suppdecsep98";#N/A,#N/A,FALSE,"w-dec98"}</definedName>
    <definedName name="QWQW" localSheetId="6" hidden="1">{#N/A,#N/A,FALSE,"dec98qtr";#N/A,#N/A,FALSE,"suppdecsep98";#N/A,#N/A,FALSE,"w-dec98"}</definedName>
    <definedName name="QWQW" localSheetId="5" hidden="1">{#N/A,#N/A,FALSE,"dec98qtr";#N/A,#N/A,FALSE,"suppdecsep98";#N/A,#N/A,FALSE,"w-dec98"}</definedName>
    <definedName name="QWQW" localSheetId="2" hidden="1">{#N/A,#N/A,FALSE,"dec98qtr";#N/A,#N/A,FALSE,"suppdecsep98";#N/A,#N/A,FALSE,"w-dec98"}</definedName>
    <definedName name="QWQW" hidden="1">{#N/A,#N/A,FALSE,"dec98qtr";#N/A,#N/A,FALSE,"suppdecsep98";#N/A,#N/A,FALSE,"w-dec98"}</definedName>
    <definedName name="R_RFIB">#REF!</definedName>
    <definedName name="R_RNIT">#REF!</definedName>
    <definedName name="R_RTB">#REF!</definedName>
    <definedName name="RanCode">#REF!</definedName>
    <definedName name="rat">#REF!</definedName>
    <definedName name="RAT00">#REF!</definedName>
    <definedName name="RAWALPINDI">#REF!</definedName>
    <definedName name="RE">'[15]F-REP'!$D$1:$D$65536,'[15]F-REP'!$G$1:$G$65536</definedName>
    <definedName name="RedFrequency">#REF!</definedName>
    <definedName name="RedStart">#REF!</definedName>
    <definedName name="REPOFIB">#REF!</definedName>
    <definedName name="REPONIT">#REF!</definedName>
    <definedName name="REPORT">#REF!</definedName>
    <definedName name="REPOTB">#REF!</definedName>
    <definedName name="REPOTFC">#REF!</definedName>
    <definedName name="RR">'[15]F-RR'!$E$1:$E$65536,'[15]F-RR'!$H$1:$H$65536</definedName>
    <definedName name="rrr" localSheetId="4" hidden="1">{"Sales 2",#N/A,FALSE,"SALES";"Transfer 2",#N/A,FALSE,"TRANSFERS";"A1460",#N/A,FALSE,"A1460"}</definedName>
    <definedName name="rrr" localSheetId="3" hidden="1">{"Sales 2",#N/A,FALSE,"SALES";"Transfer 2",#N/A,FALSE,"TRANSFERS";"A1460",#N/A,FALSE,"A1460"}</definedName>
    <definedName name="rrr" localSheetId="11" hidden="1">{"Sales 2",#N/A,FALSE,"SALES";"Transfer 2",#N/A,FALSE,"TRANSFERS";"A1460",#N/A,FALSE,"A1460"}</definedName>
    <definedName name="rrr" localSheetId="13" hidden="1">{"Sales 2",#N/A,FALSE,"SALES";"Transfer 2",#N/A,FALSE,"TRANSFERS";"A1460",#N/A,FALSE,"A1460"}</definedName>
    <definedName name="rrr" localSheetId="6" hidden="1">{"Sales 2",#N/A,FALSE,"SALES";"Transfer 2",#N/A,FALSE,"TRANSFERS";"A1460",#N/A,FALSE,"A1460"}</definedName>
    <definedName name="rrr" localSheetId="5" hidden="1">{"Sales 2",#N/A,FALSE,"SALES";"Transfer 2",#N/A,FALSE,"TRANSFERS";"A1460",#N/A,FALSE,"A1460"}</definedName>
    <definedName name="rrr" localSheetId="2" hidden="1">{"Sales 2",#N/A,FALSE,"SALES";"Transfer 2",#N/A,FALSE,"TRANSFERS";"A1460",#N/A,FALSE,"A1460"}</definedName>
    <definedName name="rrr" hidden="1">{"Sales 2",#N/A,FALSE,"SALES";"Transfer 2",#N/A,FALSE,"TRANSFERS";"A1460",#N/A,FALSE,"A1460"}</definedName>
    <definedName name="s">#REF!</definedName>
    <definedName name="sa">#REF!</definedName>
    <definedName name="sad">#REF!</definedName>
    <definedName name="SALE_RANGE" localSheetId="6" hidden="1">[43]Sale!$A$1:$Z$998</definedName>
    <definedName name="SALE_RANGE" localSheetId="5" hidden="1">[43]Sale!$A$1:$Z$998</definedName>
    <definedName name="SALE_RANGE" localSheetId="2" hidden="1">[43]Sale!$A$1:$Z$998</definedName>
    <definedName name="SALE_RANGE" hidden="1">[44]Sale!$A$1:$Z$998</definedName>
    <definedName name="SAUDI_PAK_COMM._BANK_LTD">"sum"</definedName>
    <definedName name="SBP">'[45]Notes1-5'!#REF!</definedName>
    <definedName name="sda" localSheetId="4" hidden="1">{"Sales 2",#N/A,FALSE,"SALES";"Transfer 2",#N/A,FALSE,"TRANSFERS";"A1460",#N/A,FALSE,"A1460"}</definedName>
    <definedName name="sda" localSheetId="3" hidden="1">{"Sales 2",#N/A,FALSE,"SALES";"Transfer 2",#N/A,FALSE,"TRANSFERS";"A1460",#N/A,FALSE,"A1460"}</definedName>
    <definedName name="sda" localSheetId="11" hidden="1">{"Sales 2",#N/A,FALSE,"SALES";"Transfer 2",#N/A,FALSE,"TRANSFERS";"A1460",#N/A,FALSE,"A1460"}</definedName>
    <definedName name="sda" localSheetId="13" hidden="1">{"Sales 2",#N/A,FALSE,"SALES";"Transfer 2",#N/A,FALSE,"TRANSFERS";"A1460",#N/A,FALSE,"A1460"}</definedName>
    <definedName name="sda" localSheetId="6" hidden="1">{"Sales 2",#N/A,FALSE,"SALES";"Transfer 2",#N/A,FALSE,"TRANSFERS";"A1460",#N/A,FALSE,"A1460"}</definedName>
    <definedName name="sda" localSheetId="5" hidden="1">{"Sales 2",#N/A,FALSE,"SALES";"Transfer 2",#N/A,FALSE,"TRANSFERS";"A1460",#N/A,FALSE,"A1460"}</definedName>
    <definedName name="sda" localSheetId="2" hidden="1">{"Sales 2",#N/A,FALSE,"SALES";"Transfer 2",#N/A,FALSE,"TRANSFERS";"A1460",#N/A,FALSE,"A1460"}</definedName>
    <definedName name="sda" hidden="1">{"Sales 2",#N/A,FALSE,"SALES";"Transfer 2",#N/A,FALSE,"TRANSFERS";"A1460",#N/A,FALSE,"A1460"}</definedName>
    <definedName name="sdsa">[46]A!$AX$5:$AX$129</definedName>
    <definedName name="Sectors" hidden="1">OFFSET([47]Lists!$F$3,0,0,COUNTA([47]Lists!$F$1:$F$65536)-1,1)</definedName>
    <definedName name="SETT">#REF!</definedName>
    <definedName name="sfgs" localSheetId="4" hidden="1">{#N/A,#N/A,FALSE,"dec98qtr";#N/A,#N/A,FALSE,"suppdecsep98";#N/A,#N/A,FALSE,"w-dec98"}</definedName>
    <definedName name="sfgs" localSheetId="3" hidden="1">{#N/A,#N/A,FALSE,"dec98qtr";#N/A,#N/A,FALSE,"suppdecsep98";#N/A,#N/A,FALSE,"w-dec98"}</definedName>
    <definedName name="sfgs" localSheetId="11" hidden="1">{#N/A,#N/A,FALSE,"dec98qtr";#N/A,#N/A,FALSE,"suppdecsep98";#N/A,#N/A,FALSE,"w-dec98"}</definedName>
    <definedName name="sfgs" localSheetId="13" hidden="1">{#N/A,#N/A,FALSE,"dec98qtr";#N/A,#N/A,FALSE,"suppdecsep98";#N/A,#N/A,FALSE,"w-dec98"}</definedName>
    <definedName name="sfgs" localSheetId="6" hidden="1">{#N/A,#N/A,FALSE,"dec98qtr";#N/A,#N/A,FALSE,"suppdecsep98";#N/A,#N/A,FALSE,"w-dec98"}</definedName>
    <definedName name="sfgs" localSheetId="5" hidden="1">{#N/A,#N/A,FALSE,"dec98qtr";#N/A,#N/A,FALSE,"suppdecsep98";#N/A,#N/A,FALSE,"w-dec98"}</definedName>
    <definedName name="sfgs" localSheetId="2" hidden="1">{#N/A,#N/A,FALSE,"dec98qtr";#N/A,#N/A,FALSE,"suppdecsep98";#N/A,#N/A,FALSE,"w-dec98"}</definedName>
    <definedName name="sfgs" hidden="1">{#N/A,#N/A,FALSE,"dec98qtr";#N/A,#N/A,FALSE,"suppdecsep98";#N/A,#N/A,FALSE,"w-dec98"}</definedName>
    <definedName name="SFR_ITL">#REF!</definedName>
    <definedName name="SGL">'[15]F-HL'!$K$1:$K$65536,'[15]F-HL'!$AN$1:$AN$65536</definedName>
    <definedName name="SHAMS">#REF!</definedName>
    <definedName name="SHARES">#REF!</definedName>
    <definedName name="Shoot">[2]A!#REF!</definedName>
    <definedName name="SKT">#REF!</definedName>
    <definedName name="sl" localSheetId="4" hidden="1">{#N/A,#N/A,FALSE,"dec98qtr";#N/A,#N/A,FALSE,"suppdecsep98";#N/A,#N/A,FALSE,"w-dec98"}</definedName>
    <definedName name="sl" localSheetId="3" hidden="1">{#N/A,#N/A,FALSE,"dec98qtr";#N/A,#N/A,FALSE,"suppdecsep98";#N/A,#N/A,FALSE,"w-dec98"}</definedName>
    <definedName name="sl" localSheetId="11" hidden="1">{#N/A,#N/A,FALSE,"dec98qtr";#N/A,#N/A,FALSE,"suppdecsep98";#N/A,#N/A,FALSE,"w-dec98"}</definedName>
    <definedName name="sl" localSheetId="13" hidden="1">{#N/A,#N/A,FALSE,"dec98qtr";#N/A,#N/A,FALSE,"suppdecsep98";#N/A,#N/A,FALSE,"w-dec98"}</definedName>
    <definedName name="sl" localSheetId="6" hidden="1">{#N/A,#N/A,FALSE,"dec98qtr";#N/A,#N/A,FALSE,"suppdecsep98";#N/A,#N/A,FALSE,"w-dec98"}</definedName>
    <definedName name="sl" localSheetId="5" hidden="1">{#N/A,#N/A,FALSE,"dec98qtr";#N/A,#N/A,FALSE,"suppdecsep98";#N/A,#N/A,FALSE,"w-dec98"}</definedName>
    <definedName name="sl" localSheetId="2" hidden="1">{#N/A,#N/A,FALSE,"dec98qtr";#N/A,#N/A,FALSE,"suppdecsep98";#N/A,#N/A,FALSE,"w-dec98"}</definedName>
    <definedName name="sl" hidden="1">{#N/A,#N/A,FALSE,"dec98qtr";#N/A,#N/A,FALSE,"suppdecsep98";#N/A,#N/A,FALSE,"w-dec98"}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read">#REF!</definedName>
    <definedName name="SS" localSheetId="4" hidden="1">{#N/A,#N/A,FALSE,"dec98qtr";#N/A,#N/A,FALSE,"suppdecsep98";#N/A,#N/A,FALSE,"w-dec98"}</definedName>
    <definedName name="SS" localSheetId="3" hidden="1">{#N/A,#N/A,FALSE,"dec98qtr";#N/A,#N/A,FALSE,"suppdecsep98";#N/A,#N/A,FALSE,"w-dec98"}</definedName>
    <definedName name="SS" localSheetId="11" hidden="1">{#N/A,#N/A,FALSE,"dec98qtr";#N/A,#N/A,FALSE,"suppdecsep98";#N/A,#N/A,FALSE,"w-dec98"}</definedName>
    <definedName name="SS" localSheetId="13" hidden="1">{#N/A,#N/A,FALSE,"dec98qtr";#N/A,#N/A,FALSE,"suppdecsep98";#N/A,#N/A,FALSE,"w-dec98"}</definedName>
    <definedName name="SS" localSheetId="6" hidden="1">{#N/A,#N/A,FALSE,"dec98qtr";#N/A,#N/A,FALSE,"suppdecsep98";#N/A,#N/A,FALSE,"w-dec98"}</definedName>
    <definedName name="SS" localSheetId="5" hidden="1">{#N/A,#N/A,FALSE,"dec98qtr";#N/A,#N/A,FALSE,"suppdecsep98";#N/A,#N/A,FALSE,"w-dec98"}</definedName>
    <definedName name="SS" localSheetId="2" hidden="1">{#N/A,#N/A,FALSE,"dec98qtr";#N/A,#N/A,FALSE,"suppdecsep98";#N/A,#N/A,FALSE,"w-dec98"}</definedName>
    <definedName name="SS" hidden="1">{#N/A,#N/A,FALSE,"dec98qtr";#N/A,#N/A,FALSE,"suppdecsep98";#N/A,#N/A,FALSE,"w-dec98"}</definedName>
    <definedName name="ssfsffafafa" hidden="1">[34]TBPRICE!#REF!</definedName>
    <definedName name="SSGL">'[15]F-HL'!$K$1:$K$65536,'[15]F-HL'!$AN$1:$AN$65536</definedName>
    <definedName name="sss" localSheetId="4" hidden="1">{#N/A,#N/A,FALSE,"dec98qtr";#N/A,#N/A,FALSE,"suppdecsep98";#N/A,#N/A,FALSE,"w-dec98"}</definedName>
    <definedName name="sss" localSheetId="3" hidden="1">{#N/A,#N/A,FALSE,"dec98qtr";#N/A,#N/A,FALSE,"suppdecsep98";#N/A,#N/A,FALSE,"w-dec98"}</definedName>
    <definedName name="sss" localSheetId="11" hidden="1">{#N/A,#N/A,FALSE,"dec98qtr";#N/A,#N/A,FALSE,"suppdecsep98";#N/A,#N/A,FALSE,"w-dec98"}</definedName>
    <definedName name="sss" localSheetId="13" hidden="1">{#N/A,#N/A,FALSE,"dec98qtr";#N/A,#N/A,FALSE,"suppdecsep98";#N/A,#N/A,FALSE,"w-dec98"}</definedName>
    <definedName name="sss" localSheetId="6" hidden="1">{#N/A,#N/A,FALSE,"dec98qtr";#N/A,#N/A,FALSE,"suppdecsep98";#N/A,#N/A,FALSE,"w-dec98"}</definedName>
    <definedName name="sss" localSheetId="5" hidden="1">{#N/A,#N/A,FALSE,"dec98qtr";#N/A,#N/A,FALSE,"suppdecsep98";#N/A,#N/A,FALSE,"w-dec98"}</definedName>
    <definedName name="sss" localSheetId="2" hidden="1">{#N/A,#N/A,FALSE,"dec98qtr";#N/A,#N/A,FALSE,"suppdecsep98";#N/A,#N/A,FALSE,"w-dec98"}</definedName>
    <definedName name="sss" hidden="1">{#N/A,#N/A,FALSE,"dec98qtr";#N/A,#N/A,FALSE,"suppdecsep98";#N/A,#N/A,FALSE,"w-dec98"}</definedName>
    <definedName name="Start">#REF!</definedName>
    <definedName name="start_year">#REF!</definedName>
    <definedName name="STT" hidden="1">#REF!</definedName>
    <definedName name="summ">#REF!</definedName>
    <definedName name="SUMMARY">#REF!</definedName>
    <definedName name="Symbols" localSheetId="6" hidden="1">OFFSET([43]Symbols!$H$4,0,0,COUNTA([43]Symbols!$H$1:$H$65536)-SUMPRODUCT(--(LEFT([43]Symbols!$H$3:$H$500)=""))+1,1)</definedName>
    <definedName name="Symbols" localSheetId="5" hidden="1">OFFSET([43]Symbols!$H$4,0,0,COUNTA([43]Symbols!$H$1:$H$65536)-SUMPRODUCT(--(LEFT([43]Symbols!$H$3:$H$500)=""))+1,1)</definedName>
    <definedName name="Symbols" localSheetId="2" hidden="1">OFFSET([43]Symbols!$H$4,0,0,COUNTA([43]Symbols!$H$1:$H$65536)-SUMPRODUCT(--(LEFT([43]Symbols!$H$3:$H$500)=""))+1,1)</definedName>
    <definedName name="Symbols" hidden="1">OFFSET([44]Symbols!$H$4,0,0,COUNTA([44]Symbols!$H$1:$H$65536)-SUMPRODUCT(--(LEFT([44]Symbols!$H$3:$H$500)=""))+1,1)</definedName>
    <definedName name="T.B.REV.REPO">#REF!</definedName>
    <definedName name="T.BILL.REPO">#REF!</definedName>
    <definedName name="TABLE">#REF!</definedName>
    <definedName name="taha" localSheetId="6" hidden="1">'[48]BS-OVS'!$I$126:$I$284</definedName>
    <definedName name="taha" localSheetId="5" hidden="1">'[48]BS-OVS'!$I$126:$I$284</definedName>
    <definedName name="taha" localSheetId="2" hidden="1">'[48]BS-OVS'!$I$126:$I$284</definedName>
    <definedName name="taha" hidden="1">'[49]BS-OVS'!$I$126:$I$284</definedName>
    <definedName name="Taxation" localSheetId="4" hidden="1">{"Sales 2",#N/A,FALSE,"SALES";"Transfer 2",#N/A,FALSE,"TRANSFERS";"A1460",#N/A,FALSE,"A1460"}</definedName>
    <definedName name="Taxation" localSheetId="3" hidden="1">{"Sales 2",#N/A,FALSE,"SALES";"Transfer 2",#N/A,FALSE,"TRANSFERS";"A1460",#N/A,FALSE,"A1460"}</definedName>
    <definedName name="Taxation" localSheetId="11" hidden="1">{"Sales 2",#N/A,FALSE,"SALES";"Transfer 2",#N/A,FALSE,"TRANSFERS";"A1460",#N/A,FALSE,"A1460"}</definedName>
    <definedName name="Taxation" localSheetId="13" hidden="1">{"Sales 2",#N/A,FALSE,"SALES";"Transfer 2",#N/A,FALSE,"TRANSFERS";"A1460",#N/A,FALSE,"A1460"}</definedName>
    <definedName name="Taxation" localSheetId="6" hidden="1">{"Sales 2",#N/A,FALSE,"SALES";"Transfer 2",#N/A,FALSE,"TRANSFERS";"A1460",#N/A,FALSE,"A1460"}</definedName>
    <definedName name="Taxation" localSheetId="5" hidden="1">{"Sales 2",#N/A,FALSE,"SALES";"Transfer 2",#N/A,FALSE,"TRANSFERS";"A1460",#N/A,FALSE,"A1460"}</definedName>
    <definedName name="Taxation" localSheetId="2" hidden="1">{"Sales 2",#N/A,FALSE,"SALES";"Transfer 2",#N/A,FALSE,"TRANSFERS";"A1460",#N/A,FALSE,"A1460"}</definedName>
    <definedName name="Taxation" hidden="1">{"Sales 2",#N/A,FALSE,"SALES";"Transfer 2",#N/A,FALSE,"TRANSFERS";"A1460",#N/A,FALSE,"A1460"}</definedName>
    <definedName name="TB">#REF!</definedName>
    <definedName name="TextRefCopyRangeCount" hidden="1">10</definedName>
    <definedName name="TFCLEND">#REF!</definedName>
    <definedName name="tier" localSheetId="4" hidden="1">{"'CALL MONEY'!$K$53"}</definedName>
    <definedName name="tier" localSheetId="3" hidden="1">{"'CALL MONEY'!$K$53"}</definedName>
    <definedName name="tier" localSheetId="11" hidden="1">{"'CALL MONEY'!$K$53"}</definedName>
    <definedName name="tier" localSheetId="13" hidden="1">{"'CALL MONEY'!$K$53"}</definedName>
    <definedName name="tier" localSheetId="6" hidden="1">{"'CALL MONEY'!$K$53"}</definedName>
    <definedName name="tier" localSheetId="5" hidden="1">{"'CALL MONEY'!$K$53"}</definedName>
    <definedName name="tier" localSheetId="2" hidden="1">{"'CALL MONEY'!$K$53"}</definedName>
    <definedName name="tier" hidden="1">{"'CALL MONEY'!$K$53"}</definedName>
    <definedName name="TOT_SEC">#REF!</definedName>
    <definedName name="Transit_Year" localSheetId="6">[50]Reference!$M$2:$M$7</definedName>
    <definedName name="Transit_Year" localSheetId="5">[50]Reference!$M$2:$M$7</definedName>
    <definedName name="Transit_Year" localSheetId="2">[50]Reference!$M$2:$M$7</definedName>
    <definedName name="Transit_Year">[51]Reference!$M$2:$M$7</definedName>
    <definedName name="Transit_Year_list" localSheetId="6">[50]Reference!$M$2:$N$7</definedName>
    <definedName name="Transit_Year_list" localSheetId="5">[50]Reference!$M$2:$N$7</definedName>
    <definedName name="Transit_Year_list" localSheetId="2">[50]Reference!$M$2:$N$7</definedName>
    <definedName name="Transit_Year_list">[51]Reference!$M$2:$N$7</definedName>
    <definedName name="TRD" localSheetId="4" hidden="1">{#N/A,#N/A,FALSE,"dec98qtr";#N/A,#N/A,FALSE,"suppdecsep98";#N/A,#N/A,FALSE,"w-dec98"}</definedName>
    <definedName name="TRD" localSheetId="3" hidden="1">{#N/A,#N/A,FALSE,"dec98qtr";#N/A,#N/A,FALSE,"suppdecsep98";#N/A,#N/A,FALSE,"w-dec98"}</definedName>
    <definedName name="TRD" localSheetId="11" hidden="1">{#N/A,#N/A,FALSE,"dec98qtr";#N/A,#N/A,FALSE,"suppdecsep98";#N/A,#N/A,FALSE,"w-dec98"}</definedName>
    <definedName name="TRD" localSheetId="13" hidden="1">{#N/A,#N/A,FALSE,"dec98qtr";#N/A,#N/A,FALSE,"suppdecsep98";#N/A,#N/A,FALSE,"w-dec98"}</definedName>
    <definedName name="TRD" localSheetId="6" hidden="1">{#N/A,#N/A,FALSE,"dec98qtr";#N/A,#N/A,FALSE,"suppdecsep98";#N/A,#N/A,FALSE,"w-dec98"}</definedName>
    <definedName name="TRD" localSheetId="5" hidden="1">{#N/A,#N/A,FALSE,"dec98qtr";#N/A,#N/A,FALSE,"suppdecsep98";#N/A,#N/A,FALSE,"w-dec98"}</definedName>
    <definedName name="TRD" localSheetId="2" hidden="1">{#N/A,#N/A,FALSE,"dec98qtr";#N/A,#N/A,FALSE,"suppdecsep98";#N/A,#N/A,FALSE,"w-dec98"}</definedName>
    <definedName name="TRD" hidden="1">{#N/A,#N/A,FALSE,"dec98qtr";#N/A,#N/A,FALSE,"suppdecsep98";#N/A,#N/A,FALSE,"w-dec98"}</definedName>
    <definedName name="TRF">'[1]last qrt2001'!#REF!</definedName>
    <definedName name="TRY.BILL.HOLD.">#REF!</definedName>
    <definedName name="ttt" hidden="1">#REF!</definedName>
    <definedName name="USD" localSheetId="6">'[52]w-1.1'!#REF!</definedName>
    <definedName name="USD" localSheetId="5">'[52]w-1.1'!#REF!</definedName>
    <definedName name="USD" localSheetId="2">'[52]w-1.1'!#REF!</definedName>
    <definedName name="USD_GBP">#REF!</definedName>
    <definedName name="VAR">'[53]SUMM-2'!$A$1:$A$65536,'[53]SUMM-2'!$B$1:$B$65536,'[53]SUMM-2'!$C$1:$C$65536,'[53]SUMM-2'!$D$1:$D$65536</definedName>
    <definedName name="voila" localSheetId="4" hidden="1">{#N/A,#N/A,FALSE,"Wyniki"}</definedName>
    <definedName name="voila" localSheetId="3" hidden="1">{#N/A,#N/A,FALSE,"Wyniki"}</definedName>
    <definedName name="voila" localSheetId="11" hidden="1">{#N/A,#N/A,FALSE,"Wyniki"}</definedName>
    <definedName name="voila" localSheetId="13" hidden="1">{#N/A,#N/A,FALSE,"Wyniki"}</definedName>
    <definedName name="voila" localSheetId="6" hidden="1">{#N/A,#N/A,FALSE,"Wyniki"}</definedName>
    <definedName name="voila" localSheetId="5" hidden="1">{#N/A,#N/A,FALSE,"Wyniki"}</definedName>
    <definedName name="voila" localSheetId="2" hidden="1">{#N/A,#N/A,FALSE,"Wyniki"}</definedName>
    <definedName name="voila" hidden="1">{#N/A,#N/A,FALSE,"Wyniki"}</definedName>
    <definedName name="voila2" localSheetId="4" hidden="1">{#N/A,#N/A,FALSE,"Wyniki"}</definedName>
    <definedName name="voila2" localSheetId="3" hidden="1">{#N/A,#N/A,FALSE,"Wyniki"}</definedName>
    <definedName name="voila2" localSheetId="11" hidden="1">{#N/A,#N/A,FALSE,"Wyniki"}</definedName>
    <definedName name="voila2" localSheetId="13" hidden="1">{#N/A,#N/A,FALSE,"Wyniki"}</definedName>
    <definedName name="voila2" localSheetId="6" hidden="1">{#N/A,#N/A,FALSE,"Wyniki"}</definedName>
    <definedName name="voila2" localSheetId="5" hidden="1">{#N/A,#N/A,FALSE,"Wyniki"}</definedName>
    <definedName name="voila2" localSheetId="2" hidden="1">{#N/A,#N/A,FALSE,"Wyniki"}</definedName>
    <definedName name="voila2" hidden="1">{#N/A,#N/A,FALSE,"Wyniki"}</definedName>
    <definedName name="W">#REF!</definedName>
    <definedName name="W4W4" localSheetId="4" hidden="1">{"Sales 2",#N/A,FALSE,"SALES";"Transfer 2",#N/A,FALSE,"TRANSFERS";"A1460",#N/A,FALSE,"A1460"}</definedName>
    <definedName name="W4W4" localSheetId="3" hidden="1">{"Sales 2",#N/A,FALSE,"SALES";"Transfer 2",#N/A,FALSE,"TRANSFERS";"A1460",#N/A,FALSE,"A1460"}</definedName>
    <definedName name="W4W4" localSheetId="11" hidden="1">{"Sales 2",#N/A,FALSE,"SALES";"Transfer 2",#N/A,FALSE,"TRANSFERS";"A1460",#N/A,FALSE,"A1460"}</definedName>
    <definedName name="W4W4" localSheetId="13" hidden="1">{"Sales 2",#N/A,FALSE,"SALES";"Transfer 2",#N/A,FALSE,"TRANSFERS";"A1460",#N/A,FALSE,"A1460"}</definedName>
    <definedName name="W4W4" localSheetId="6" hidden="1">{"Sales 2",#N/A,FALSE,"SALES";"Transfer 2",#N/A,FALSE,"TRANSFERS";"A1460",#N/A,FALSE,"A1460"}</definedName>
    <definedName name="W4W4" localSheetId="5" hidden="1">{"Sales 2",#N/A,FALSE,"SALES";"Transfer 2",#N/A,FALSE,"TRANSFERS";"A1460",#N/A,FALSE,"A1460"}</definedName>
    <definedName name="W4W4" localSheetId="2" hidden="1">{"Sales 2",#N/A,FALSE,"SALES";"Transfer 2",#N/A,FALSE,"TRANSFERS";"A1460",#N/A,FALSE,"A1460"}</definedName>
    <definedName name="W4W4" hidden="1">{"Sales 2",#N/A,FALSE,"SALES";"Transfer 2",#N/A,FALSE,"TRANSFERS";"A1460",#N/A,FALSE,"A1460"}</definedName>
    <definedName name="wer" localSheetId="4" hidden="1">{#N/A,#N/A,FALSE,"LIQUIDITY GAPS";#N/A,#N/A,FALSE,"GAP Mapping "}</definedName>
    <definedName name="wer" localSheetId="3" hidden="1">{#N/A,#N/A,FALSE,"LIQUIDITY GAPS";#N/A,#N/A,FALSE,"GAP Mapping "}</definedName>
    <definedName name="wer" localSheetId="11" hidden="1">{#N/A,#N/A,FALSE,"LIQUIDITY GAPS";#N/A,#N/A,FALSE,"GAP Mapping "}</definedName>
    <definedName name="wer" localSheetId="13" hidden="1">{#N/A,#N/A,FALSE,"LIQUIDITY GAPS";#N/A,#N/A,FALSE,"GAP Mapping "}</definedName>
    <definedName name="wer" localSheetId="6" hidden="1">{#N/A,#N/A,FALSE,"LIQUIDITY GAPS";#N/A,#N/A,FALSE,"GAP Mapping "}</definedName>
    <definedName name="wer" localSheetId="5" hidden="1">{#N/A,#N/A,FALSE,"LIQUIDITY GAPS";#N/A,#N/A,FALSE,"GAP Mapping "}</definedName>
    <definedName name="wer" localSheetId="2" hidden="1">{#N/A,#N/A,FALSE,"LIQUIDITY GAPS";#N/A,#N/A,FALSE,"GAP Mapping "}</definedName>
    <definedName name="wer" hidden="1">{#N/A,#N/A,FALSE,"LIQUIDITY GAPS";#N/A,#N/A,FALSE,"GAP Mapping "}</definedName>
    <definedName name="wer_1" localSheetId="4" hidden="1">{#N/A,#N/A,FALSE,"LIQUIDITY GAPS";#N/A,#N/A,FALSE,"GAP Mapping "}</definedName>
    <definedName name="wer_1" localSheetId="3" hidden="1">{#N/A,#N/A,FALSE,"LIQUIDITY GAPS";#N/A,#N/A,FALSE,"GAP Mapping "}</definedName>
    <definedName name="wer_1" localSheetId="11" hidden="1">{#N/A,#N/A,FALSE,"LIQUIDITY GAPS";#N/A,#N/A,FALSE,"GAP Mapping "}</definedName>
    <definedName name="wer_1" localSheetId="13" hidden="1">{#N/A,#N/A,FALSE,"LIQUIDITY GAPS";#N/A,#N/A,FALSE,"GAP Mapping "}</definedName>
    <definedName name="wer_1" localSheetId="6" hidden="1">{#N/A,#N/A,FALSE,"LIQUIDITY GAPS";#N/A,#N/A,FALSE,"GAP Mapping "}</definedName>
    <definedName name="wer_1" localSheetId="5" hidden="1">{#N/A,#N/A,FALSE,"LIQUIDITY GAPS";#N/A,#N/A,FALSE,"GAP Mapping "}</definedName>
    <definedName name="wer_1" localSheetId="2" hidden="1">{#N/A,#N/A,FALSE,"LIQUIDITY GAPS";#N/A,#N/A,FALSE,"GAP Mapping "}</definedName>
    <definedName name="wer_1" hidden="1">{#N/A,#N/A,FALSE,"LIQUIDITY GAPS";#N/A,#N/A,FALSE,"GAP Mapping "}</definedName>
    <definedName name="wer_2" localSheetId="4" hidden="1">{#N/A,#N/A,FALSE,"LIQUIDITY GAPS";#N/A,#N/A,FALSE,"GAP Mapping "}</definedName>
    <definedName name="wer_2" localSheetId="3" hidden="1">{#N/A,#N/A,FALSE,"LIQUIDITY GAPS";#N/A,#N/A,FALSE,"GAP Mapping "}</definedName>
    <definedName name="wer_2" localSheetId="11" hidden="1">{#N/A,#N/A,FALSE,"LIQUIDITY GAPS";#N/A,#N/A,FALSE,"GAP Mapping "}</definedName>
    <definedName name="wer_2" localSheetId="13" hidden="1">{#N/A,#N/A,FALSE,"LIQUIDITY GAPS";#N/A,#N/A,FALSE,"GAP Mapping "}</definedName>
    <definedName name="wer_2" localSheetId="6" hidden="1">{#N/A,#N/A,FALSE,"LIQUIDITY GAPS";#N/A,#N/A,FALSE,"GAP Mapping "}</definedName>
    <definedName name="wer_2" localSheetId="5" hidden="1">{#N/A,#N/A,FALSE,"LIQUIDITY GAPS";#N/A,#N/A,FALSE,"GAP Mapping "}</definedName>
    <definedName name="wer_2" localSheetId="2" hidden="1">{#N/A,#N/A,FALSE,"LIQUIDITY GAPS";#N/A,#N/A,FALSE,"GAP Mapping "}</definedName>
    <definedName name="wer_2" hidden="1">{#N/A,#N/A,FALSE,"LIQUIDITY GAPS";#N/A,#N/A,FALSE,"GAP Mapping "}</definedName>
    <definedName name="wer_2_1" localSheetId="4" hidden="1">{#N/A,#N/A,FALSE,"LIQUIDITY GAPS";#N/A,#N/A,FALSE,"GAP Mapping "}</definedName>
    <definedName name="wer_2_1" localSheetId="3" hidden="1">{#N/A,#N/A,FALSE,"LIQUIDITY GAPS";#N/A,#N/A,FALSE,"GAP Mapping "}</definedName>
    <definedName name="wer_2_1" localSheetId="11" hidden="1">{#N/A,#N/A,FALSE,"LIQUIDITY GAPS";#N/A,#N/A,FALSE,"GAP Mapping "}</definedName>
    <definedName name="wer_2_1" localSheetId="13" hidden="1">{#N/A,#N/A,FALSE,"LIQUIDITY GAPS";#N/A,#N/A,FALSE,"GAP Mapping "}</definedName>
    <definedName name="wer_2_1" localSheetId="6" hidden="1">{#N/A,#N/A,FALSE,"LIQUIDITY GAPS";#N/A,#N/A,FALSE,"GAP Mapping "}</definedName>
    <definedName name="wer_2_1" localSheetId="5" hidden="1">{#N/A,#N/A,FALSE,"LIQUIDITY GAPS";#N/A,#N/A,FALSE,"GAP Mapping "}</definedName>
    <definedName name="wer_2_1" localSheetId="2" hidden="1">{#N/A,#N/A,FALSE,"LIQUIDITY GAPS";#N/A,#N/A,FALSE,"GAP Mapping "}</definedName>
    <definedName name="wer_2_1" hidden="1">{#N/A,#N/A,FALSE,"LIQUIDITY GAPS";#N/A,#N/A,FALSE,"GAP Mapping "}</definedName>
    <definedName name="wer_2_2" localSheetId="4" hidden="1">{#N/A,#N/A,FALSE,"LIQUIDITY GAPS";#N/A,#N/A,FALSE,"GAP Mapping "}</definedName>
    <definedName name="wer_2_2" localSheetId="3" hidden="1">{#N/A,#N/A,FALSE,"LIQUIDITY GAPS";#N/A,#N/A,FALSE,"GAP Mapping "}</definedName>
    <definedName name="wer_2_2" localSheetId="11" hidden="1">{#N/A,#N/A,FALSE,"LIQUIDITY GAPS";#N/A,#N/A,FALSE,"GAP Mapping "}</definedName>
    <definedName name="wer_2_2" localSheetId="13" hidden="1">{#N/A,#N/A,FALSE,"LIQUIDITY GAPS";#N/A,#N/A,FALSE,"GAP Mapping "}</definedName>
    <definedName name="wer_2_2" localSheetId="6" hidden="1">{#N/A,#N/A,FALSE,"LIQUIDITY GAPS";#N/A,#N/A,FALSE,"GAP Mapping "}</definedName>
    <definedName name="wer_2_2" localSheetId="5" hidden="1">{#N/A,#N/A,FALSE,"LIQUIDITY GAPS";#N/A,#N/A,FALSE,"GAP Mapping "}</definedName>
    <definedName name="wer_2_2" localSheetId="2" hidden="1">{#N/A,#N/A,FALSE,"LIQUIDITY GAPS";#N/A,#N/A,FALSE,"GAP Mapping "}</definedName>
    <definedName name="wer_2_2" hidden="1">{#N/A,#N/A,FALSE,"LIQUIDITY GAPS";#N/A,#N/A,FALSE,"GAP Mapping "}</definedName>
    <definedName name="wer_2_3" localSheetId="4" hidden="1">{#N/A,#N/A,FALSE,"LIQUIDITY GAPS";#N/A,#N/A,FALSE,"GAP Mapping "}</definedName>
    <definedName name="wer_2_3" localSheetId="3" hidden="1">{#N/A,#N/A,FALSE,"LIQUIDITY GAPS";#N/A,#N/A,FALSE,"GAP Mapping "}</definedName>
    <definedName name="wer_2_3" localSheetId="11" hidden="1">{#N/A,#N/A,FALSE,"LIQUIDITY GAPS";#N/A,#N/A,FALSE,"GAP Mapping "}</definedName>
    <definedName name="wer_2_3" localSheetId="13" hidden="1">{#N/A,#N/A,FALSE,"LIQUIDITY GAPS";#N/A,#N/A,FALSE,"GAP Mapping "}</definedName>
    <definedName name="wer_2_3" localSheetId="6" hidden="1">{#N/A,#N/A,FALSE,"LIQUIDITY GAPS";#N/A,#N/A,FALSE,"GAP Mapping "}</definedName>
    <definedName name="wer_2_3" localSheetId="5" hidden="1">{#N/A,#N/A,FALSE,"LIQUIDITY GAPS";#N/A,#N/A,FALSE,"GAP Mapping "}</definedName>
    <definedName name="wer_2_3" localSheetId="2" hidden="1">{#N/A,#N/A,FALSE,"LIQUIDITY GAPS";#N/A,#N/A,FALSE,"GAP Mapping "}</definedName>
    <definedName name="wer_2_3" hidden="1">{#N/A,#N/A,FALSE,"LIQUIDITY GAPS";#N/A,#N/A,FALSE,"GAP Mapping "}</definedName>
    <definedName name="wer_3" localSheetId="4" hidden="1">{#N/A,#N/A,FALSE,"LIQUIDITY GAPS";#N/A,#N/A,FALSE,"GAP Mapping "}</definedName>
    <definedName name="wer_3" localSheetId="3" hidden="1">{#N/A,#N/A,FALSE,"LIQUIDITY GAPS";#N/A,#N/A,FALSE,"GAP Mapping "}</definedName>
    <definedName name="wer_3" localSheetId="11" hidden="1">{#N/A,#N/A,FALSE,"LIQUIDITY GAPS";#N/A,#N/A,FALSE,"GAP Mapping "}</definedName>
    <definedName name="wer_3" localSheetId="13" hidden="1">{#N/A,#N/A,FALSE,"LIQUIDITY GAPS";#N/A,#N/A,FALSE,"GAP Mapping "}</definedName>
    <definedName name="wer_3" localSheetId="6" hidden="1">{#N/A,#N/A,FALSE,"LIQUIDITY GAPS";#N/A,#N/A,FALSE,"GAP Mapping "}</definedName>
    <definedName name="wer_3" localSheetId="5" hidden="1">{#N/A,#N/A,FALSE,"LIQUIDITY GAPS";#N/A,#N/A,FALSE,"GAP Mapping "}</definedName>
    <definedName name="wer_3" localSheetId="2" hidden="1">{#N/A,#N/A,FALSE,"LIQUIDITY GAPS";#N/A,#N/A,FALSE,"GAP Mapping "}</definedName>
    <definedName name="wer_3" hidden="1">{#N/A,#N/A,FALSE,"LIQUIDITY GAPS";#N/A,#N/A,FALSE,"GAP Mapping "}</definedName>
    <definedName name="wer_4" localSheetId="4" hidden="1">{#N/A,#N/A,FALSE,"LIQUIDITY GAPS";#N/A,#N/A,FALSE,"GAP Mapping "}</definedName>
    <definedName name="wer_4" localSheetId="3" hidden="1">{#N/A,#N/A,FALSE,"LIQUIDITY GAPS";#N/A,#N/A,FALSE,"GAP Mapping "}</definedName>
    <definedName name="wer_4" localSheetId="11" hidden="1">{#N/A,#N/A,FALSE,"LIQUIDITY GAPS";#N/A,#N/A,FALSE,"GAP Mapping "}</definedName>
    <definedName name="wer_4" localSheetId="13" hidden="1">{#N/A,#N/A,FALSE,"LIQUIDITY GAPS";#N/A,#N/A,FALSE,"GAP Mapping "}</definedName>
    <definedName name="wer_4" localSheetId="6" hidden="1">{#N/A,#N/A,FALSE,"LIQUIDITY GAPS";#N/A,#N/A,FALSE,"GAP Mapping "}</definedName>
    <definedName name="wer_4" localSheetId="5" hidden="1">{#N/A,#N/A,FALSE,"LIQUIDITY GAPS";#N/A,#N/A,FALSE,"GAP Mapping "}</definedName>
    <definedName name="wer_4" localSheetId="2" hidden="1">{#N/A,#N/A,FALSE,"LIQUIDITY GAPS";#N/A,#N/A,FALSE,"GAP Mapping "}</definedName>
    <definedName name="wer_4" hidden="1">{#N/A,#N/A,FALSE,"LIQUIDITY GAPS";#N/A,#N/A,FALSE,"GAP Mapping "}</definedName>
    <definedName name="wer_5" localSheetId="4" hidden="1">{#N/A,#N/A,FALSE,"LIQUIDITY GAPS";#N/A,#N/A,FALSE,"GAP Mapping "}</definedName>
    <definedName name="wer_5" localSheetId="3" hidden="1">{#N/A,#N/A,FALSE,"LIQUIDITY GAPS";#N/A,#N/A,FALSE,"GAP Mapping "}</definedName>
    <definedName name="wer_5" localSheetId="11" hidden="1">{#N/A,#N/A,FALSE,"LIQUIDITY GAPS";#N/A,#N/A,FALSE,"GAP Mapping "}</definedName>
    <definedName name="wer_5" localSheetId="13" hidden="1">{#N/A,#N/A,FALSE,"LIQUIDITY GAPS";#N/A,#N/A,FALSE,"GAP Mapping "}</definedName>
    <definedName name="wer_5" localSheetId="6" hidden="1">{#N/A,#N/A,FALSE,"LIQUIDITY GAPS";#N/A,#N/A,FALSE,"GAP Mapping "}</definedName>
    <definedName name="wer_5" localSheetId="5" hidden="1">{#N/A,#N/A,FALSE,"LIQUIDITY GAPS";#N/A,#N/A,FALSE,"GAP Mapping "}</definedName>
    <definedName name="wer_5" localSheetId="2" hidden="1">{#N/A,#N/A,FALSE,"LIQUIDITY GAPS";#N/A,#N/A,FALSE,"GAP Mapping "}</definedName>
    <definedName name="wer_5" hidden="1">{#N/A,#N/A,FALSE,"LIQUIDITY GAPS";#N/A,#N/A,FALSE,"GAP Mapping "}</definedName>
    <definedName name="wrn.3." localSheetId="4" hidden="1">{#N/A,#N/A,FALSE,"dec98qtr";#N/A,#N/A,FALSE,"suppdecsep98";#N/A,#N/A,FALSE,"w-dec98"}</definedName>
    <definedName name="wrn.3." localSheetId="3" hidden="1">{#N/A,#N/A,FALSE,"dec98qtr";#N/A,#N/A,FALSE,"suppdecsep98";#N/A,#N/A,FALSE,"w-dec98"}</definedName>
    <definedName name="wrn.3." localSheetId="11" hidden="1">{#N/A,#N/A,FALSE,"dec98qtr";#N/A,#N/A,FALSE,"suppdecsep98";#N/A,#N/A,FALSE,"w-dec98"}</definedName>
    <definedName name="wrn.3." localSheetId="13" hidden="1">{#N/A,#N/A,FALSE,"dec98qtr";#N/A,#N/A,FALSE,"suppdecsep98";#N/A,#N/A,FALSE,"w-dec98"}</definedName>
    <definedName name="wrn.3." localSheetId="6" hidden="1">{#N/A,#N/A,FALSE,"dec98qtr";#N/A,#N/A,FALSE,"suppdecsep98";#N/A,#N/A,FALSE,"w-dec98"}</definedName>
    <definedName name="wrn.3." localSheetId="5" hidden="1">{#N/A,#N/A,FALSE,"dec98qtr";#N/A,#N/A,FALSE,"suppdecsep98";#N/A,#N/A,FALSE,"w-dec98"}</definedName>
    <definedName name="wrn.3." localSheetId="2" hidden="1">{#N/A,#N/A,FALSE,"dec98qtr";#N/A,#N/A,FALSE,"suppdecsep98";#N/A,#N/A,FALSE,"w-dec98"}</definedName>
    <definedName name="wrn.3." hidden="1">{#N/A,#N/A,FALSE,"dec98qtr";#N/A,#N/A,FALSE,"suppdecsep98";#N/A,#N/A,FALSE,"w-dec98"}</definedName>
    <definedName name="wrn.asif" localSheetId="4" hidden="1">{"MSS",#N/A,FALSE,"MSS";"ProdSA",#N/A,FALSE,"ProdSA";"Sales 1",#N/A,FALSE,"SALES";"Transfer 1",#N/A,FALSE,"TRANSFERS"}</definedName>
    <definedName name="wrn.asif" localSheetId="3" hidden="1">{"MSS",#N/A,FALSE,"MSS";"ProdSA",#N/A,FALSE,"ProdSA";"Sales 1",#N/A,FALSE,"SALES";"Transfer 1",#N/A,FALSE,"TRANSFERS"}</definedName>
    <definedName name="wrn.asif" localSheetId="11" hidden="1">{"MSS",#N/A,FALSE,"MSS";"ProdSA",#N/A,FALSE,"ProdSA";"Sales 1",#N/A,FALSE,"SALES";"Transfer 1",#N/A,FALSE,"TRANSFERS"}</definedName>
    <definedName name="wrn.asif" localSheetId="13" hidden="1">{"MSS",#N/A,FALSE,"MSS";"ProdSA",#N/A,FALSE,"ProdSA";"Sales 1",#N/A,FALSE,"SALES";"Transfer 1",#N/A,FALSE,"TRANSFERS"}</definedName>
    <definedName name="wrn.asif" localSheetId="6" hidden="1">{"MSS",#N/A,FALSE,"MSS";"ProdSA",#N/A,FALSE,"ProdSA";"Sales 1",#N/A,FALSE,"SALES";"Transfer 1",#N/A,FALSE,"TRANSFERS"}</definedName>
    <definedName name="wrn.asif" localSheetId="5" hidden="1">{"MSS",#N/A,FALSE,"MSS";"ProdSA",#N/A,FALSE,"ProdSA";"Sales 1",#N/A,FALSE,"SALES";"Transfer 1",#N/A,FALSE,"TRANSFERS"}</definedName>
    <definedName name="wrn.asif" localSheetId="2" hidden="1">{"MSS",#N/A,FALSE,"MSS";"ProdSA",#N/A,FALSE,"ProdSA";"Sales 1",#N/A,FALSE,"SALES";"Transfer 1",#N/A,FALSE,"TRANSFERS"}</definedName>
    <definedName name="wrn.asif" hidden="1">{"MSS",#N/A,FALSE,"MSS";"ProdSA",#N/A,FALSE,"ProdSA";"Sales 1",#N/A,FALSE,"SALES";"Transfer 1",#N/A,FALSE,"TRANSFERS"}</definedName>
    <definedName name="wrn.FIXED._.ASSETS." localSheetId="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1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Hanif." localSheetId="4" hidden="1">{"MSS",#N/A,FALSE,"MSS";"ProdSA",#N/A,FALSE,"ProdSA";"Sales 1",#N/A,FALSE,"SALES";"Transfer 1",#N/A,FALSE,"TRANSFERS"}</definedName>
    <definedName name="wrn.Hanif." localSheetId="3" hidden="1">{"MSS",#N/A,FALSE,"MSS";"ProdSA",#N/A,FALSE,"ProdSA";"Sales 1",#N/A,FALSE,"SALES";"Transfer 1",#N/A,FALSE,"TRANSFERS"}</definedName>
    <definedName name="wrn.Hanif." localSheetId="11" hidden="1">{"MSS",#N/A,FALSE,"MSS";"ProdSA",#N/A,FALSE,"ProdSA";"Sales 1",#N/A,FALSE,"SALES";"Transfer 1",#N/A,FALSE,"TRANSFERS"}</definedName>
    <definedName name="wrn.Hanif." localSheetId="13" hidden="1">{"MSS",#N/A,FALSE,"MSS";"ProdSA",#N/A,FALSE,"ProdSA";"Sales 1",#N/A,FALSE,"SALES";"Transfer 1",#N/A,FALSE,"TRANSFERS"}</definedName>
    <definedName name="wrn.Hanif." localSheetId="6" hidden="1">{"MSS",#N/A,FALSE,"MSS";"ProdSA",#N/A,FALSE,"ProdSA";"Sales 1",#N/A,FALSE,"SALES";"Transfer 1",#N/A,FALSE,"TRANSFERS"}</definedName>
    <definedName name="wrn.Hanif." localSheetId="5" hidden="1">{"MSS",#N/A,FALSE,"MSS";"ProdSA",#N/A,FALSE,"ProdSA";"Sales 1",#N/A,FALSE,"SALES";"Transfer 1",#N/A,FALSE,"TRANSFERS"}</definedName>
    <definedName name="wrn.Hanif." localSheetId="2" hidden="1">{"MSS",#N/A,FALSE,"MSS";"ProdSA",#N/A,FALSE,"ProdSA";"Sales 1",#N/A,FALSE,"SALES";"Transfer 1",#N/A,FALSE,"TRANSFERS"}</definedName>
    <definedName name="wrn.Hanif." hidden="1">{"MSS",#N/A,FALSE,"MSS";"ProdSA",#N/A,FALSE,"ProdSA";"Sales 1",#N/A,FALSE,"SALES";"Transfer 1",#N/A,FALSE,"TRANSFERS"}</definedName>
    <definedName name="wrn.Liquidity._.Gap." localSheetId="4" hidden="1">{#N/A,#N/A,FALSE,"LIQUIDITY GAPS";#N/A,#N/A,FALSE,"GAP Mapping "}</definedName>
    <definedName name="wrn.Liquidity._.Gap." localSheetId="3" hidden="1">{#N/A,#N/A,FALSE,"LIQUIDITY GAPS";#N/A,#N/A,FALSE,"GAP Mapping "}</definedName>
    <definedName name="wrn.Liquidity._.Gap." localSheetId="11" hidden="1">{#N/A,#N/A,FALSE,"LIQUIDITY GAPS";#N/A,#N/A,FALSE,"GAP Mapping "}</definedName>
    <definedName name="wrn.Liquidity._.Gap." localSheetId="13" hidden="1">{#N/A,#N/A,FALSE,"LIQUIDITY GAPS";#N/A,#N/A,FALSE,"GAP Mapping "}</definedName>
    <definedName name="wrn.Liquidity._.Gap." localSheetId="6" hidden="1">{#N/A,#N/A,FALSE,"LIQUIDITY GAPS";#N/A,#N/A,FALSE,"GAP Mapping "}</definedName>
    <definedName name="wrn.Liquidity._.Gap." localSheetId="5" hidden="1">{#N/A,#N/A,FALSE,"LIQUIDITY GAPS";#N/A,#N/A,FALSE,"GAP Mapping "}</definedName>
    <definedName name="wrn.Liquidity._.Gap." localSheetId="2" hidden="1">{#N/A,#N/A,FALSE,"LIQUIDITY GAPS";#N/A,#N/A,FALSE,"GAP Mapping "}</definedName>
    <definedName name="wrn.Liquidity._.Gap." hidden="1">{#N/A,#N/A,FALSE,"LIQUIDITY GAPS";#N/A,#N/A,FALSE,"GAP Mapping "}</definedName>
    <definedName name="wrn.Liquidity._.Gap._1" localSheetId="4" hidden="1">{#N/A,#N/A,FALSE,"LIQUIDITY GAPS";#N/A,#N/A,FALSE,"GAP Mapping "}</definedName>
    <definedName name="wrn.Liquidity._.Gap._1" localSheetId="3" hidden="1">{#N/A,#N/A,FALSE,"LIQUIDITY GAPS";#N/A,#N/A,FALSE,"GAP Mapping "}</definedName>
    <definedName name="wrn.Liquidity._.Gap._1" localSheetId="11" hidden="1">{#N/A,#N/A,FALSE,"LIQUIDITY GAPS";#N/A,#N/A,FALSE,"GAP Mapping "}</definedName>
    <definedName name="wrn.Liquidity._.Gap._1" localSheetId="13" hidden="1">{#N/A,#N/A,FALSE,"LIQUIDITY GAPS";#N/A,#N/A,FALSE,"GAP Mapping "}</definedName>
    <definedName name="wrn.Liquidity._.Gap._1" localSheetId="6" hidden="1">{#N/A,#N/A,FALSE,"LIQUIDITY GAPS";#N/A,#N/A,FALSE,"GAP Mapping "}</definedName>
    <definedName name="wrn.Liquidity._.Gap._1" localSheetId="5" hidden="1">{#N/A,#N/A,FALSE,"LIQUIDITY GAPS";#N/A,#N/A,FALSE,"GAP Mapping "}</definedName>
    <definedName name="wrn.Liquidity._.Gap._1" localSheetId="2" hidden="1">{#N/A,#N/A,FALSE,"LIQUIDITY GAPS";#N/A,#N/A,FALSE,"GAP Mapping "}</definedName>
    <definedName name="wrn.Liquidity._.Gap._1" hidden="1">{#N/A,#N/A,FALSE,"LIQUIDITY GAPS";#N/A,#N/A,FALSE,"GAP Mapping "}</definedName>
    <definedName name="wrn.Liquidity._.Gap._2" localSheetId="4" hidden="1">{#N/A,#N/A,FALSE,"LIQUIDITY GAPS";#N/A,#N/A,FALSE,"GAP Mapping "}</definedName>
    <definedName name="wrn.Liquidity._.Gap._2" localSheetId="3" hidden="1">{#N/A,#N/A,FALSE,"LIQUIDITY GAPS";#N/A,#N/A,FALSE,"GAP Mapping "}</definedName>
    <definedName name="wrn.Liquidity._.Gap._2" localSheetId="11" hidden="1">{#N/A,#N/A,FALSE,"LIQUIDITY GAPS";#N/A,#N/A,FALSE,"GAP Mapping "}</definedName>
    <definedName name="wrn.Liquidity._.Gap._2" localSheetId="13" hidden="1">{#N/A,#N/A,FALSE,"LIQUIDITY GAPS";#N/A,#N/A,FALSE,"GAP Mapping "}</definedName>
    <definedName name="wrn.Liquidity._.Gap._2" localSheetId="6" hidden="1">{#N/A,#N/A,FALSE,"LIQUIDITY GAPS";#N/A,#N/A,FALSE,"GAP Mapping "}</definedName>
    <definedName name="wrn.Liquidity._.Gap._2" localSheetId="5" hidden="1">{#N/A,#N/A,FALSE,"LIQUIDITY GAPS";#N/A,#N/A,FALSE,"GAP Mapping "}</definedName>
    <definedName name="wrn.Liquidity._.Gap._2" localSheetId="2" hidden="1">{#N/A,#N/A,FALSE,"LIQUIDITY GAPS";#N/A,#N/A,FALSE,"GAP Mapping "}</definedName>
    <definedName name="wrn.Liquidity._.Gap._2" hidden="1">{#N/A,#N/A,FALSE,"LIQUIDITY GAPS";#N/A,#N/A,FALSE,"GAP Mapping "}</definedName>
    <definedName name="wrn.Liquidity._.Gap._2_1" localSheetId="4" hidden="1">{#N/A,#N/A,FALSE,"LIQUIDITY GAPS";#N/A,#N/A,FALSE,"GAP Mapping "}</definedName>
    <definedName name="wrn.Liquidity._.Gap._2_1" localSheetId="3" hidden="1">{#N/A,#N/A,FALSE,"LIQUIDITY GAPS";#N/A,#N/A,FALSE,"GAP Mapping "}</definedName>
    <definedName name="wrn.Liquidity._.Gap._2_1" localSheetId="11" hidden="1">{#N/A,#N/A,FALSE,"LIQUIDITY GAPS";#N/A,#N/A,FALSE,"GAP Mapping "}</definedName>
    <definedName name="wrn.Liquidity._.Gap._2_1" localSheetId="13" hidden="1">{#N/A,#N/A,FALSE,"LIQUIDITY GAPS";#N/A,#N/A,FALSE,"GAP Mapping "}</definedName>
    <definedName name="wrn.Liquidity._.Gap._2_1" localSheetId="6" hidden="1">{#N/A,#N/A,FALSE,"LIQUIDITY GAPS";#N/A,#N/A,FALSE,"GAP Mapping "}</definedName>
    <definedName name="wrn.Liquidity._.Gap._2_1" localSheetId="5" hidden="1">{#N/A,#N/A,FALSE,"LIQUIDITY GAPS";#N/A,#N/A,FALSE,"GAP Mapping "}</definedName>
    <definedName name="wrn.Liquidity._.Gap._2_1" localSheetId="2" hidden="1">{#N/A,#N/A,FALSE,"LIQUIDITY GAPS";#N/A,#N/A,FALSE,"GAP Mapping "}</definedName>
    <definedName name="wrn.Liquidity._.Gap._2_1" hidden="1">{#N/A,#N/A,FALSE,"LIQUIDITY GAPS";#N/A,#N/A,FALSE,"GAP Mapping "}</definedName>
    <definedName name="wrn.Liquidity._.Gap._2_2" localSheetId="4" hidden="1">{#N/A,#N/A,FALSE,"LIQUIDITY GAPS";#N/A,#N/A,FALSE,"GAP Mapping "}</definedName>
    <definedName name="wrn.Liquidity._.Gap._2_2" localSheetId="3" hidden="1">{#N/A,#N/A,FALSE,"LIQUIDITY GAPS";#N/A,#N/A,FALSE,"GAP Mapping "}</definedName>
    <definedName name="wrn.Liquidity._.Gap._2_2" localSheetId="11" hidden="1">{#N/A,#N/A,FALSE,"LIQUIDITY GAPS";#N/A,#N/A,FALSE,"GAP Mapping "}</definedName>
    <definedName name="wrn.Liquidity._.Gap._2_2" localSheetId="13" hidden="1">{#N/A,#N/A,FALSE,"LIQUIDITY GAPS";#N/A,#N/A,FALSE,"GAP Mapping "}</definedName>
    <definedName name="wrn.Liquidity._.Gap._2_2" localSheetId="6" hidden="1">{#N/A,#N/A,FALSE,"LIQUIDITY GAPS";#N/A,#N/A,FALSE,"GAP Mapping "}</definedName>
    <definedName name="wrn.Liquidity._.Gap._2_2" localSheetId="5" hidden="1">{#N/A,#N/A,FALSE,"LIQUIDITY GAPS";#N/A,#N/A,FALSE,"GAP Mapping "}</definedName>
    <definedName name="wrn.Liquidity._.Gap._2_2" localSheetId="2" hidden="1">{#N/A,#N/A,FALSE,"LIQUIDITY GAPS";#N/A,#N/A,FALSE,"GAP Mapping "}</definedName>
    <definedName name="wrn.Liquidity._.Gap._2_2" hidden="1">{#N/A,#N/A,FALSE,"LIQUIDITY GAPS";#N/A,#N/A,FALSE,"GAP Mapping "}</definedName>
    <definedName name="wrn.Liquidity._.Gap._2_3" localSheetId="4" hidden="1">{#N/A,#N/A,FALSE,"LIQUIDITY GAPS";#N/A,#N/A,FALSE,"GAP Mapping "}</definedName>
    <definedName name="wrn.Liquidity._.Gap._2_3" localSheetId="3" hidden="1">{#N/A,#N/A,FALSE,"LIQUIDITY GAPS";#N/A,#N/A,FALSE,"GAP Mapping "}</definedName>
    <definedName name="wrn.Liquidity._.Gap._2_3" localSheetId="11" hidden="1">{#N/A,#N/A,FALSE,"LIQUIDITY GAPS";#N/A,#N/A,FALSE,"GAP Mapping "}</definedName>
    <definedName name="wrn.Liquidity._.Gap._2_3" localSheetId="13" hidden="1">{#N/A,#N/A,FALSE,"LIQUIDITY GAPS";#N/A,#N/A,FALSE,"GAP Mapping "}</definedName>
    <definedName name="wrn.Liquidity._.Gap._2_3" localSheetId="6" hidden="1">{#N/A,#N/A,FALSE,"LIQUIDITY GAPS";#N/A,#N/A,FALSE,"GAP Mapping "}</definedName>
    <definedName name="wrn.Liquidity._.Gap._2_3" localSheetId="5" hidden="1">{#N/A,#N/A,FALSE,"LIQUIDITY GAPS";#N/A,#N/A,FALSE,"GAP Mapping "}</definedName>
    <definedName name="wrn.Liquidity._.Gap._2_3" localSheetId="2" hidden="1">{#N/A,#N/A,FALSE,"LIQUIDITY GAPS";#N/A,#N/A,FALSE,"GAP Mapping "}</definedName>
    <definedName name="wrn.Liquidity._.Gap._2_3" hidden="1">{#N/A,#N/A,FALSE,"LIQUIDITY GAPS";#N/A,#N/A,FALSE,"GAP Mapping "}</definedName>
    <definedName name="wrn.Liquidity._.Gap._3" localSheetId="4" hidden="1">{#N/A,#N/A,FALSE,"LIQUIDITY GAPS";#N/A,#N/A,FALSE,"GAP Mapping "}</definedName>
    <definedName name="wrn.Liquidity._.Gap._3" localSheetId="3" hidden="1">{#N/A,#N/A,FALSE,"LIQUIDITY GAPS";#N/A,#N/A,FALSE,"GAP Mapping "}</definedName>
    <definedName name="wrn.Liquidity._.Gap._3" localSheetId="11" hidden="1">{#N/A,#N/A,FALSE,"LIQUIDITY GAPS";#N/A,#N/A,FALSE,"GAP Mapping "}</definedName>
    <definedName name="wrn.Liquidity._.Gap._3" localSheetId="13" hidden="1">{#N/A,#N/A,FALSE,"LIQUIDITY GAPS";#N/A,#N/A,FALSE,"GAP Mapping "}</definedName>
    <definedName name="wrn.Liquidity._.Gap._3" localSheetId="6" hidden="1">{#N/A,#N/A,FALSE,"LIQUIDITY GAPS";#N/A,#N/A,FALSE,"GAP Mapping "}</definedName>
    <definedName name="wrn.Liquidity._.Gap._3" localSheetId="5" hidden="1">{#N/A,#N/A,FALSE,"LIQUIDITY GAPS";#N/A,#N/A,FALSE,"GAP Mapping "}</definedName>
    <definedName name="wrn.Liquidity._.Gap._3" localSheetId="2" hidden="1">{#N/A,#N/A,FALSE,"LIQUIDITY GAPS";#N/A,#N/A,FALSE,"GAP Mapping "}</definedName>
    <definedName name="wrn.Liquidity._.Gap._3" hidden="1">{#N/A,#N/A,FALSE,"LIQUIDITY GAPS";#N/A,#N/A,FALSE,"GAP Mapping "}</definedName>
    <definedName name="wrn.Liquidity._.Gap._4" localSheetId="4" hidden="1">{#N/A,#N/A,FALSE,"LIQUIDITY GAPS";#N/A,#N/A,FALSE,"GAP Mapping "}</definedName>
    <definedName name="wrn.Liquidity._.Gap._4" localSheetId="3" hidden="1">{#N/A,#N/A,FALSE,"LIQUIDITY GAPS";#N/A,#N/A,FALSE,"GAP Mapping "}</definedName>
    <definedName name="wrn.Liquidity._.Gap._4" localSheetId="11" hidden="1">{#N/A,#N/A,FALSE,"LIQUIDITY GAPS";#N/A,#N/A,FALSE,"GAP Mapping "}</definedName>
    <definedName name="wrn.Liquidity._.Gap._4" localSheetId="13" hidden="1">{#N/A,#N/A,FALSE,"LIQUIDITY GAPS";#N/A,#N/A,FALSE,"GAP Mapping "}</definedName>
    <definedName name="wrn.Liquidity._.Gap._4" localSheetId="6" hidden="1">{#N/A,#N/A,FALSE,"LIQUIDITY GAPS";#N/A,#N/A,FALSE,"GAP Mapping "}</definedName>
    <definedName name="wrn.Liquidity._.Gap._4" localSheetId="5" hidden="1">{#N/A,#N/A,FALSE,"LIQUIDITY GAPS";#N/A,#N/A,FALSE,"GAP Mapping "}</definedName>
    <definedName name="wrn.Liquidity._.Gap._4" localSheetId="2" hidden="1">{#N/A,#N/A,FALSE,"LIQUIDITY GAPS";#N/A,#N/A,FALSE,"GAP Mapping "}</definedName>
    <definedName name="wrn.Liquidity._.Gap._4" hidden="1">{#N/A,#N/A,FALSE,"LIQUIDITY GAPS";#N/A,#N/A,FALSE,"GAP Mapping "}</definedName>
    <definedName name="wrn.Liquidity._.Gap._5" localSheetId="4" hidden="1">{#N/A,#N/A,FALSE,"LIQUIDITY GAPS";#N/A,#N/A,FALSE,"GAP Mapping "}</definedName>
    <definedName name="wrn.Liquidity._.Gap._5" localSheetId="3" hidden="1">{#N/A,#N/A,FALSE,"LIQUIDITY GAPS";#N/A,#N/A,FALSE,"GAP Mapping "}</definedName>
    <definedName name="wrn.Liquidity._.Gap._5" localSheetId="11" hidden="1">{#N/A,#N/A,FALSE,"LIQUIDITY GAPS";#N/A,#N/A,FALSE,"GAP Mapping "}</definedName>
    <definedName name="wrn.Liquidity._.Gap._5" localSheetId="13" hidden="1">{#N/A,#N/A,FALSE,"LIQUIDITY GAPS";#N/A,#N/A,FALSE,"GAP Mapping "}</definedName>
    <definedName name="wrn.Liquidity._.Gap._5" localSheetId="6" hidden="1">{#N/A,#N/A,FALSE,"LIQUIDITY GAPS";#N/A,#N/A,FALSE,"GAP Mapping "}</definedName>
    <definedName name="wrn.Liquidity._.Gap._5" localSheetId="5" hidden="1">{#N/A,#N/A,FALSE,"LIQUIDITY GAPS";#N/A,#N/A,FALSE,"GAP Mapping "}</definedName>
    <definedName name="wrn.Liquidity._.Gap._5" localSheetId="2" hidden="1">{#N/A,#N/A,FALSE,"LIQUIDITY GAPS";#N/A,#N/A,FALSE,"GAP Mapping "}</definedName>
    <definedName name="wrn.Liquidity._.Gap._5" hidden="1">{#N/A,#N/A,FALSE,"LIQUIDITY GAPS";#N/A,#N/A,FALSE,"GAP Mapping "}</definedName>
    <definedName name="wrn.menadżer._.widoków." localSheetId="4" hidden="1">{#N/A,#N/A,FALSE,"Wyniki"}</definedName>
    <definedName name="wrn.menadżer._.widoków." localSheetId="3" hidden="1">{#N/A,#N/A,FALSE,"Wyniki"}</definedName>
    <definedName name="wrn.menadżer._.widoków." localSheetId="11" hidden="1">{#N/A,#N/A,FALSE,"Wyniki"}</definedName>
    <definedName name="wrn.menadżer._.widoków." localSheetId="13" hidden="1">{#N/A,#N/A,FALSE,"Wyniki"}</definedName>
    <definedName name="wrn.menadżer._.widoków." localSheetId="6" hidden="1">{#N/A,#N/A,FALSE,"Wyniki"}</definedName>
    <definedName name="wrn.menadżer._.widoków." localSheetId="5" hidden="1">{#N/A,#N/A,FALSE,"Wyniki"}</definedName>
    <definedName name="wrn.menadżer._.widoków." localSheetId="2" hidden="1">{#N/A,#N/A,FALSE,"Wyniki"}</definedName>
    <definedName name="wrn.menadżer._.widoków." hidden="1">{#N/A,#N/A,FALSE,"Wyniki"}</definedName>
    <definedName name="wrn.Mohsin." localSheetId="4" hidden="1">{"Sales 2",#N/A,FALSE,"SALES";"Transfer 2",#N/A,FALSE,"TRANSFERS";"A1460",#N/A,FALSE,"A1460"}</definedName>
    <definedName name="wrn.Mohsin." localSheetId="3" hidden="1">{"Sales 2",#N/A,FALSE,"SALES";"Transfer 2",#N/A,FALSE,"TRANSFERS";"A1460",#N/A,FALSE,"A1460"}</definedName>
    <definedName name="wrn.Mohsin." localSheetId="11" hidden="1">{"Sales 2",#N/A,FALSE,"SALES";"Transfer 2",#N/A,FALSE,"TRANSFERS";"A1460",#N/A,FALSE,"A1460"}</definedName>
    <definedName name="wrn.Mohsin." localSheetId="13" hidden="1">{"Sales 2",#N/A,FALSE,"SALES";"Transfer 2",#N/A,FALSE,"TRANSFERS";"A1460",#N/A,FALSE,"A1460"}</definedName>
    <definedName name="wrn.Mohsin." localSheetId="6" hidden="1">{"Sales 2",#N/A,FALSE,"SALES";"Transfer 2",#N/A,FALSE,"TRANSFERS";"A1460",#N/A,FALSE,"A1460"}</definedName>
    <definedName name="wrn.Mohsin." localSheetId="5" hidden="1">{"Sales 2",#N/A,FALSE,"SALES";"Transfer 2",#N/A,FALSE,"TRANSFERS";"A1460",#N/A,FALSE,"A1460"}</definedName>
    <definedName name="wrn.Mohsin." localSheetId="2" hidden="1">{"Sales 2",#N/A,FALSE,"SALES";"Transfer 2",#N/A,FALSE,"TRANSFERS";"A1460",#N/A,FALSE,"A1460"}</definedName>
    <definedName name="wrn.Mohsin." hidden="1">{"Sales 2",#N/A,FALSE,"SALES";"Transfer 2",#N/A,FALSE,"TRANSFERS";"A1460",#N/A,FALSE,"A1460"}</definedName>
    <definedName name="WWW" localSheetId="4" hidden="1">{#N/A,#N/A,FALSE,"dec98qtr";#N/A,#N/A,FALSE,"suppdecsep98";#N/A,#N/A,FALSE,"w-dec98"}</definedName>
    <definedName name="WWW" localSheetId="3" hidden="1">{#N/A,#N/A,FALSE,"dec98qtr";#N/A,#N/A,FALSE,"suppdecsep98";#N/A,#N/A,FALSE,"w-dec98"}</definedName>
    <definedName name="WWW" localSheetId="11" hidden="1">{#N/A,#N/A,FALSE,"dec98qtr";#N/A,#N/A,FALSE,"suppdecsep98";#N/A,#N/A,FALSE,"w-dec98"}</definedName>
    <definedName name="WWW" localSheetId="13" hidden="1">{#N/A,#N/A,FALSE,"dec98qtr";#N/A,#N/A,FALSE,"suppdecsep98";#N/A,#N/A,FALSE,"w-dec98"}</definedName>
    <definedName name="WWW" localSheetId="6" hidden="1">{#N/A,#N/A,FALSE,"dec98qtr";#N/A,#N/A,FALSE,"suppdecsep98";#N/A,#N/A,FALSE,"w-dec98"}</definedName>
    <definedName name="WWW" localSheetId="5" hidden="1">{#N/A,#N/A,FALSE,"dec98qtr";#N/A,#N/A,FALSE,"suppdecsep98";#N/A,#N/A,FALSE,"w-dec98"}</definedName>
    <definedName name="WWW" localSheetId="2" hidden="1">{#N/A,#N/A,FALSE,"dec98qtr";#N/A,#N/A,FALSE,"suppdecsep98";#N/A,#N/A,FALSE,"w-dec98"}</definedName>
    <definedName name="WWW" hidden="1">{#N/A,#N/A,FALSE,"dec98qtr";#N/A,#N/A,FALSE,"suppdecsep98";#N/A,#N/A,FALSE,"w-dec98"}</definedName>
    <definedName name="x">#REF!</definedName>
    <definedName name="XX">'[1]last qrt2001'!#REF!</definedName>
    <definedName name="z" localSheetId="4" hidden="1">{"'CALL MONEY'!$K$53"}</definedName>
    <definedName name="z" localSheetId="3" hidden="1">{"'CALL MONEY'!$K$53"}</definedName>
    <definedName name="z" localSheetId="11" hidden="1">{"'CALL MONEY'!$K$53"}</definedName>
    <definedName name="z" localSheetId="13" hidden="1">{"'CALL MONEY'!$K$53"}</definedName>
    <definedName name="z" localSheetId="6" hidden="1">{"'CALL MONEY'!$K$53"}</definedName>
    <definedName name="z" localSheetId="5" hidden="1">{"'CALL MONEY'!$K$53"}</definedName>
    <definedName name="z" localSheetId="2" hidden="1">{"'CALL MONEY'!$K$53"}</definedName>
    <definedName name="z" hidden="1">{"'CALL MONEY'!$K$53"}</definedName>
    <definedName name="Z_2F0BD9A2_457D_11D2_8EE8_0060971217D4_.wvu.PrintArea" localSheetId="6" hidden="1">'[54]34-38.2'!#REF!</definedName>
    <definedName name="Z_2F0BD9A2_457D_11D2_8EE8_0060971217D4_.wvu.PrintArea" localSheetId="5" hidden="1">'[54]34-38.2'!#REF!</definedName>
    <definedName name="Z_2F0BD9A2_457D_11D2_8EE8_0060971217D4_.wvu.PrintArea" localSheetId="2" hidden="1">'[54]34-38.2'!#REF!</definedName>
    <definedName name="Z_2F0BD9A2_457D_11D2_8EE8_0060971217D4_.wvu.PrintArea" hidden="1">'[55]34-38.2'!#REF!</definedName>
    <definedName name="Z_2F0BD9A2_457D_11D2_8EE8_0060971217D4_.wvu.PrintTitles" localSheetId="6" hidden="1">'[54]34-38.2'!#REF!</definedName>
    <definedName name="Z_2F0BD9A2_457D_11D2_8EE8_0060971217D4_.wvu.PrintTitles" localSheetId="5" hidden="1">'[54]34-38.2'!#REF!</definedName>
    <definedName name="Z_2F0BD9A2_457D_11D2_8EE8_0060971217D4_.wvu.PrintTitles" localSheetId="2" hidden="1">'[54]34-38.2'!#REF!</definedName>
    <definedName name="Z_2F0BD9A2_457D_11D2_8EE8_0060971217D4_.wvu.PrintTitles" hidden="1">'[55]34-38.2'!#REF!</definedName>
    <definedName name="Z_3AB84060_44C7_11D2_8EE8_0060971217D4_.wvu.PrintArea" localSheetId="6" hidden="1">'[54]34-38.2'!#REF!</definedName>
    <definedName name="Z_3AB84060_44C7_11D2_8EE8_0060971217D4_.wvu.PrintArea" localSheetId="5" hidden="1">'[54]34-38.2'!#REF!</definedName>
    <definedName name="Z_3AB84060_44C7_11D2_8EE8_0060971217D4_.wvu.PrintArea" localSheetId="2" hidden="1">'[54]34-38.2'!#REF!</definedName>
    <definedName name="Z_3AB84060_44C7_11D2_8EE8_0060971217D4_.wvu.PrintArea" hidden="1">'[55]34-38.2'!#REF!</definedName>
    <definedName name="Z_3AB84060_44C7_11D2_8EE8_0060971217D4_.wvu.PrintTitles" localSheetId="6" hidden="1">'[54]34-38.2'!#REF!</definedName>
    <definedName name="Z_3AB84060_44C7_11D2_8EE8_0060971217D4_.wvu.PrintTitles" localSheetId="5" hidden="1">'[54]34-38.2'!#REF!</definedName>
    <definedName name="Z_3AB84060_44C7_11D2_8EE8_0060971217D4_.wvu.PrintTitles" localSheetId="2" hidden="1">'[54]34-38.2'!#REF!</definedName>
    <definedName name="Z_3AB84060_44C7_11D2_8EE8_0060971217D4_.wvu.PrintTitles" hidden="1">'[55]34-38.2'!#REF!</definedName>
    <definedName name="Z_C2C0FF43_603F_11D2_A368_00001C3AD7D3_.wvu.PrintArea" localSheetId="6" hidden="1">'[54]34-38.2'!#REF!</definedName>
    <definedName name="Z_C2C0FF43_603F_11D2_A368_00001C3AD7D3_.wvu.PrintArea" localSheetId="5" hidden="1">'[54]34-38.2'!#REF!</definedName>
    <definedName name="Z_C2C0FF43_603F_11D2_A368_00001C3AD7D3_.wvu.PrintArea" localSheetId="2" hidden="1">'[54]34-38.2'!#REF!</definedName>
    <definedName name="Z_C2C0FF43_603F_11D2_A368_00001C3AD7D3_.wvu.PrintArea" hidden="1">'[55]34-38.2'!#REF!</definedName>
    <definedName name="Z_C2C0FF43_603F_11D2_A368_00001C3AD7D3_.wvu.PrintTitles" localSheetId="6" hidden="1">'[54]34-38.2'!#REF!</definedName>
    <definedName name="Z_C2C0FF43_603F_11D2_A368_00001C3AD7D3_.wvu.PrintTitles" localSheetId="5" hidden="1">'[54]34-38.2'!#REF!</definedName>
    <definedName name="Z_C2C0FF43_603F_11D2_A368_00001C3AD7D3_.wvu.PrintTitles" localSheetId="2" hidden="1">'[54]34-38.2'!#REF!</definedName>
    <definedName name="Z_C2C0FF43_603F_11D2_A368_00001C3AD7D3_.wvu.PrintTitles" hidden="1">'[55]34-38.2'!#REF!</definedName>
    <definedName name="Z_D068BBA0_44C0_11D2_8EE8_0060971217D4_.wvu.Cols" localSheetId="6" hidden="1">'[54]34-38.2'!#REF!,'[54]34-38.2'!#REF!,'[54]34-38.2'!#REF!,'[54]34-38.2'!#REF!</definedName>
    <definedName name="Z_D068BBA0_44C0_11D2_8EE8_0060971217D4_.wvu.Cols" localSheetId="5" hidden="1">'[54]34-38.2'!#REF!,'[54]34-38.2'!#REF!,'[54]34-38.2'!#REF!,'[54]34-38.2'!#REF!</definedName>
    <definedName name="Z_D068BBA0_44C0_11D2_8EE8_0060971217D4_.wvu.Cols" localSheetId="2" hidden="1">'[54]34-38.2'!#REF!,'[54]34-38.2'!#REF!,'[54]34-38.2'!#REF!,'[54]34-38.2'!#REF!</definedName>
    <definedName name="Z_D068BBA0_44C0_11D2_8EE8_0060971217D4_.wvu.Cols" hidden="1">'[55]34-38.2'!#REF!,'[55]34-38.2'!#REF!,'[55]34-38.2'!#REF!,'[55]34-38.2'!#REF!</definedName>
    <definedName name="Z_D068BBA0_44C0_11D2_8EE8_0060971217D4_.wvu.PrintArea" localSheetId="6" hidden="1">'[54]34-38.2'!#REF!</definedName>
    <definedName name="Z_D068BBA0_44C0_11D2_8EE8_0060971217D4_.wvu.PrintArea" localSheetId="5" hidden="1">'[54]34-38.2'!#REF!</definedName>
    <definedName name="Z_D068BBA0_44C0_11D2_8EE8_0060971217D4_.wvu.PrintArea" localSheetId="2" hidden="1">'[54]34-38.2'!#REF!</definedName>
    <definedName name="Z_D068BBA0_44C0_11D2_8EE8_0060971217D4_.wvu.PrintArea" hidden="1">'[55]34-38.2'!#REF!</definedName>
    <definedName name="zz" localSheetId="4" hidden="1">{#N/A,#N/A,FALSE,"Wyniki"}</definedName>
    <definedName name="zz" localSheetId="3" hidden="1">{#N/A,#N/A,FALSE,"Wyniki"}</definedName>
    <definedName name="zz" localSheetId="11" hidden="1">{#N/A,#N/A,FALSE,"Wyniki"}</definedName>
    <definedName name="zz" localSheetId="13" hidden="1">{#N/A,#N/A,FALSE,"Wyniki"}</definedName>
    <definedName name="zz" localSheetId="6" hidden="1">{#N/A,#N/A,FALSE,"Wyniki"}</definedName>
    <definedName name="zz" localSheetId="5" hidden="1">{#N/A,#N/A,FALSE,"Wyniki"}</definedName>
    <definedName name="zz" localSheetId="2" hidden="1">{#N/A,#N/A,FALSE,"Wyniki"}</definedName>
    <definedName name="zz" hidden="1">{#N/A,#N/A,FALSE,"Wyniki"}</definedName>
    <definedName name="zzz" hidden="1">'[56]Adv to vendor'!#REF!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7" l="1"/>
  <c r="C24" i="19"/>
  <c r="C25" i="19" s="1"/>
  <c r="C17" i="19"/>
  <c r="C18" i="19" s="1"/>
  <c r="C7" i="19"/>
  <c r="C6" i="19"/>
  <c r="C5" i="19"/>
  <c r="C9" i="19"/>
  <c r="C10" i="19"/>
  <c r="G10" i="19" s="1"/>
  <c r="G10" i="11"/>
  <c r="H9" i="12"/>
  <c r="H8" i="12"/>
  <c r="H7" i="12"/>
  <c r="F24" i="19"/>
  <c r="F25" i="19" s="1"/>
  <c r="E24" i="19"/>
  <c r="F17" i="19"/>
  <c r="F18" i="19" s="1"/>
  <c r="E17" i="19"/>
  <c r="E18" i="19" s="1"/>
  <c r="D18" i="19"/>
  <c r="D25" i="19"/>
  <c r="E11" i="19"/>
  <c r="G8" i="19"/>
  <c r="G59" i="14"/>
  <c r="H59" i="14"/>
  <c r="I59" i="14"/>
  <c r="J59" i="14"/>
  <c r="K59" i="14"/>
  <c r="L59" i="14"/>
  <c r="M59" i="14"/>
  <c r="N59" i="14"/>
  <c r="O59" i="14"/>
  <c r="P59" i="14"/>
  <c r="Q59" i="14"/>
  <c r="F59" i="14"/>
  <c r="C7" i="4" s="1"/>
  <c r="C6" i="4"/>
  <c r="C5" i="4"/>
  <c r="K12" i="17"/>
  <c r="L12" i="17"/>
  <c r="M12" i="17"/>
  <c r="N12" i="17"/>
  <c r="D12" i="17"/>
  <c r="E12" i="17"/>
  <c r="F12" i="17"/>
  <c r="G12" i="17"/>
  <c r="H12" i="17"/>
  <c r="I12" i="17"/>
  <c r="J12" i="17"/>
  <c r="C12" i="17"/>
  <c r="G9" i="19" l="1"/>
  <c r="F11" i="19"/>
  <c r="D11" i="19"/>
  <c r="G24" i="19"/>
  <c r="E25" i="19"/>
  <c r="G6" i="19"/>
  <c r="G5" i="19"/>
  <c r="G7" i="19"/>
  <c r="G17" i="19"/>
  <c r="G25" i="19"/>
  <c r="C11" i="19"/>
  <c r="G18" i="19"/>
  <c r="P60" i="14"/>
  <c r="M60" i="14"/>
  <c r="J60" i="14"/>
  <c r="G60" i="14"/>
  <c r="G49" i="14"/>
  <c r="Q48" i="14"/>
  <c r="P49" i="14" s="1"/>
  <c r="P48" i="14"/>
  <c r="O48" i="14"/>
  <c r="N48" i="14"/>
  <c r="M48" i="14"/>
  <c r="L48" i="14"/>
  <c r="M49" i="14" s="1"/>
  <c r="K48" i="14"/>
  <c r="J48" i="14"/>
  <c r="I48" i="14"/>
  <c r="J49" i="14" s="1"/>
  <c r="H48" i="14"/>
  <c r="G48" i="14"/>
  <c r="F48" i="14"/>
  <c r="G39" i="14"/>
  <c r="Q38" i="14"/>
  <c r="P39" i="14" s="1"/>
  <c r="P38" i="14"/>
  <c r="O38" i="14"/>
  <c r="N38" i="14"/>
  <c r="M38" i="14"/>
  <c r="L38" i="14"/>
  <c r="M39" i="14" s="1"/>
  <c r="K38" i="14"/>
  <c r="J38" i="14"/>
  <c r="I38" i="14"/>
  <c r="J39" i="14" s="1"/>
  <c r="H38" i="14"/>
  <c r="G38" i="14"/>
  <c r="F38" i="14"/>
  <c r="G31" i="14"/>
  <c r="Q30" i="14"/>
  <c r="P31" i="14" s="1"/>
  <c r="P30" i="14"/>
  <c r="O30" i="14"/>
  <c r="N30" i="14"/>
  <c r="M30" i="14"/>
  <c r="L30" i="14"/>
  <c r="M31" i="14" s="1"/>
  <c r="K30" i="14"/>
  <c r="J30" i="14"/>
  <c r="I30" i="14"/>
  <c r="J31" i="14" s="1"/>
  <c r="H30" i="14"/>
  <c r="G30" i="14"/>
  <c r="F30" i="14"/>
  <c r="A26" i="14"/>
  <c r="A25" i="14"/>
  <c r="Q20" i="14"/>
  <c r="P20" i="14"/>
  <c r="O20" i="14"/>
  <c r="P21" i="14" s="1"/>
  <c r="N20" i="14"/>
  <c r="M20" i="14"/>
  <c r="L20" i="14"/>
  <c r="M21" i="14" s="1"/>
  <c r="K20" i="14"/>
  <c r="J20" i="14"/>
  <c r="J21" i="14" s="1"/>
  <c r="I20" i="14"/>
  <c r="H20" i="14"/>
  <c r="G20" i="14"/>
  <c r="G21" i="14" s="1"/>
  <c r="F20" i="14"/>
  <c r="J6" i="11"/>
  <c r="J5" i="11"/>
  <c r="D4" i="11"/>
  <c r="K4" i="11" s="1"/>
  <c r="L4" i="11" s="1"/>
  <c r="D5" i="11"/>
  <c r="K5" i="11" s="1"/>
  <c r="D6" i="11"/>
  <c r="K6" i="11" s="1"/>
  <c r="J4" i="11"/>
  <c r="Q35" i="13"/>
  <c r="Q36" i="13"/>
  <c r="Q34" i="13"/>
  <c r="P35" i="13"/>
  <c r="N35" i="13"/>
  <c r="O35" i="13"/>
  <c r="O38" i="13" s="1"/>
  <c r="O34" i="13"/>
  <c r="N34" i="13"/>
  <c r="N36" i="13"/>
  <c r="M36" i="13"/>
  <c r="J36" i="13"/>
  <c r="G36" i="13"/>
  <c r="J35" i="13"/>
  <c r="G35" i="13"/>
  <c r="J34" i="13"/>
  <c r="G34" i="13"/>
  <c r="K32" i="13"/>
  <c r="J32" i="13"/>
  <c r="G32" i="13"/>
  <c r="K31" i="13"/>
  <c r="J31" i="13" s="1"/>
  <c r="G31" i="13"/>
  <c r="K30" i="13"/>
  <c r="K29" i="13"/>
  <c r="G8" i="13"/>
  <c r="D3" i="11"/>
  <c r="K3" i="11" s="1"/>
  <c r="J3" i="11"/>
  <c r="G11" i="19" l="1"/>
  <c r="L5" i="11"/>
  <c r="L6" i="11"/>
  <c r="N38" i="13"/>
  <c r="M38" i="13"/>
  <c r="L3" i="11"/>
  <c r="G9" i="12" l="1"/>
  <c r="F9" i="12"/>
  <c r="G8" i="12"/>
  <c r="F8" i="12"/>
  <c r="G7" i="12"/>
  <c r="F7" i="12"/>
  <c r="J8" i="13" l="1"/>
  <c r="J7" i="13"/>
  <c r="J6" i="13"/>
  <c r="G6" i="13"/>
  <c r="G7" i="13"/>
  <c r="J2" i="11"/>
  <c r="D2" i="11"/>
  <c r="K2" i="11" s="1"/>
  <c r="J10" i="11" l="1"/>
  <c r="L2" i="11"/>
  <c r="F11" i="4"/>
  <c r="E11" i="4"/>
  <c r="D11" i="4"/>
  <c r="C27" i="4"/>
  <c r="O26" i="4"/>
  <c r="O9" i="4" l="1"/>
  <c r="O8" i="4"/>
  <c r="O10" i="4"/>
  <c r="K2" i="13" l="1"/>
  <c r="K3" i="13"/>
  <c r="K4" i="13"/>
  <c r="J4" i="13" s="1"/>
  <c r="K5" i="13"/>
  <c r="J5" i="13" s="1"/>
  <c r="G5" i="13"/>
  <c r="G4" i="13"/>
  <c r="K15" i="13" l="1"/>
  <c r="Z29" i="6"/>
  <c r="AJ18" i="6" l="1"/>
  <c r="AK18" i="6" s="1"/>
  <c r="AJ17" i="6"/>
  <c r="AK17" i="6" s="1"/>
  <c r="M6" i="10"/>
  <c r="AJ22" i="6" l="1"/>
  <c r="AK22" i="6" s="1"/>
  <c r="L22" i="6"/>
  <c r="AJ21" i="6"/>
  <c r="L21" i="6"/>
  <c r="W26" i="6"/>
  <c r="AJ20" i="6"/>
  <c r="L20" i="6"/>
  <c r="AK21" i="6" l="1"/>
  <c r="AK20" i="6"/>
  <c r="L20" i="4" l="1"/>
  <c r="K20" i="4"/>
  <c r="J20" i="4"/>
  <c r="I20" i="4"/>
  <c r="H20" i="4"/>
  <c r="G20" i="4"/>
  <c r="F20" i="4"/>
  <c r="E20" i="4"/>
  <c r="D20" i="4"/>
  <c r="C20" i="4"/>
  <c r="X26" i="6" l="1"/>
  <c r="AJ19" i="6"/>
  <c r="Y26" i="6" l="1"/>
  <c r="L19" i="6"/>
  <c r="N19" i="4"/>
  <c r="N20" i="4" s="1"/>
  <c r="M19" i="4"/>
  <c r="N27" i="4"/>
  <c r="M27" i="4"/>
  <c r="K27" i="4"/>
  <c r="J27" i="4"/>
  <c r="I27" i="4"/>
  <c r="H27" i="4"/>
  <c r="G27" i="4"/>
  <c r="E27" i="4"/>
  <c r="D27" i="4"/>
  <c r="Q29" i="8"/>
  <c r="P29" i="8"/>
  <c r="O29" i="8"/>
  <c r="N29" i="8"/>
  <c r="L27" i="4" l="1"/>
  <c r="O19" i="4"/>
  <c r="M20" i="4"/>
  <c r="O20" i="4" s="1"/>
  <c r="Z26" i="6"/>
  <c r="M11" i="4"/>
  <c r="N11" i="4"/>
  <c r="L11" i="4"/>
  <c r="AK19" i="6"/>
  <c r="W27" i="6"/>
  <c r="O7" i="4"/>
  <c r="V26" i="6"/>
  <c r="K11" i="4" s="1"/>
  <c r="U26" i="6"/>
  <c r="T26" i="6"/>
  <c r="S26" i="6"/>
  <c r="R26" i="6"/>
  <c r="Q26" i="6"/>
  <c r="P26" i="6"/>
  <c r="O26" i="6"/>
  <c r="N26" i="6"/>
  <c r="C11" i="4" l="1"/>
  <c r="O6" i="4"/>
  <c r="O25" i="4"/>
  <c r="T27" i="6"/>
  <c r="N27" i="6"/>
  <c r="Q27" i="6"/>
  <c r="M17" i="8"/>
  <c r="M16" i="8"/>
  <c r="R16" i="8" s="1"/>
  <c r="Q21" i="8"/>
  <c r="P21" i="8"/>
  <c r="O21" i="8"/>
  <c r="N21" i="8"/>
  <c r="AA20" i="3"/>
  <c r="AB20" i="3" s="1"/>
  <c r="L20" i="3"/>
  <c r="AA19" i="3"/>
  <c r="AB19" i="3" s="1"/>
  <c r="L19" i="3"/>
  <c r="AA18" i="3"/>
  <c r="AB18" i="3" s="1"/>
  <c r="L18" i="3"/>
  <c r="AB17" i="3"/>
  <c r="AA17" i="3"/>
  <c r="L17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N1" i="3"/>
  <c r="H11" i="4"/>
  <c r="Q54" i="1"/>
  <c r="P54" i="1"/>
  <c r="O54" i="1"/>
  <c r="N54" i="1"/>
  <c r="M54" i="1"/>
  <c r="L54" i="1"/>
  <c r="K54" i="1"/>
  <c r="J54" i="1"/>
  <c r="I54" i="1"/>
  <c r="H54" i="1"/>
  <c r="G54" i="1"/>
  <c r="G55" i="1" s="1"/>
  <c r="F54" i="1"/>
  <c r="R53" i="1"/>
  <c r="R52" i="1"/>
  <c r="R51" i="1"/>
  <c r="Q45" i="1"/>
  <c r="P45" i="1"/>
  <c r="O45" i="1"/>
  <c r="N45" i="1"/>
  <c r="M45" i="1"/>
  <c r="L45" i="1"/>
  <c r="K45" i="1"/>
  <c r="J45" i="1"/>
  <c r="H45" i="1"/>
  <c r="G45" i="1"/>
  <c r="R44" i="1"/>
  <c r="F43" i="1"/>
  <c r="F45" i="1" s="1"/>
  <c r="G46" i="1" s="1"/>
  <c r="R42" i="1"/>
  <c r="R41" i="1"/>
  <c r="R40" i="1"/>
  <c r="R39" i="1"/>
  <c r="I39" i="1"/>
  <c r="I45" i="1" s="1"/>
  <c r="Q35" i="1"/>
  <c r="P35" i="1"/>
  <c r="O35" i="1"/>
  <c r="N35" i="1"/>
  <c r="M35" i="1"/>
  <c r="L35" i="1"/>
  <c r="K35" i="1"/>
  <c r="J35" i="1"/>
  <c r="I35" i="1"/>
  <c r="J36" i="1" s="1"/>
  <c r="H35" i="1"/>
  <c r="G35" i="1"/>
  <c r="F35" i="1"/>
  <c r="G36" i="1" s="1"/>
  <c r="R34" i="1"/>
  <c r="S34" i="1" s="1"/>
  <c r="R33" i="1"/>
  <c r="R32" i="1"/>
  <c r="Q28" i="1"/>
  <c r="P28" i="1"/>
  <c r="O28" i="1"/>
  <c r="N28" i="1"/>
  <c r="M28" i="1"/>
  <c r="L28" i="1"/>
  <c r="K28" i="1"/>
  <c r="J28" i="1"/>
  <c r="I28" i="1"/>
  <c r="H28" i="1"/>
  <c r="G28" i="1"/>
  <c r="F28" i="1"/>
  <c r="G29" i="1" s="1"/>
  <c r="R27" i="1"/>
  <c r="R26" i="1"/>
  <c r="R25" i="1"/>
  <c r="A25" i="1"/>
  <c r="A26" i="1" s="1"/>
  <c r="I24" i="1"/>
  <c r="R24" i="1" s="1"/>
  <c r="Q20" i="1"/>
  <c r="P20" i="1"/>
  <c r="O20" i="1"/>
  <c r="N20" i="1"/>
  <c r="M20" i="1"/>
  <c r="L20" i="1"/>
  <c r="J20" i="1"/>
  <c r="H20" i="1"/>
  <c r="G19" i="1"/>
  <c r="G20" i="1" s="1"/>
  <c r="F19" i="1"/>
  <c r="R19" i="1" s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I6" i="1"/>
  <c r="I20" i="1" s="1"/>
  <c r="R5" i="1"/>
  <c r="K4" i="1"/>
  <c r="K20" i="1" s="1"/>
  <c r="R3" i="1"/>
  <c r="G61" i="8"/>
  <c r="Q56" i="8"/>
  <c r="P56" i="8"/>
  <c r="O56" i="8"/>
  <c r="N56" i="8"/>
  <c r="M56" i="8"/>
  <c r="L56" i="8"/>
  <c r="K56" i="8"/>
  <c r="J56" i="8"/>
  <c r="I56" i="8"/>
  <c r="H56" i="8"/>
  <c r="G56" i="8"/>
  <c r="F56" i="8"/>
  <c r="G57" i="8" s="1"/>
  <c r="R54" i="8"/>
  <c r="R53" i="8"/>
  <c r="R52" i="8"/>
  <c r="Q46" i="8"/>
  <c r="P46" i="8"/>
  <c r="O46" i="8"/>
  <c r="N46" i="8"/>
  <c r="M46" i="8"/>
  <c r="L46" i="8"/>
  <c r="K46" i="8"/>
  <c r="J46" i="8"/>
  <c r="H46" i="8"/>
  <c r="G46" i="8"/>
  <c r="F46" i="8"/>
  <c r="G47" i="8" s="1"/>
  <c r="R45" i="8"/>
  <c r="R44" i="8"/>
  <c r="R43" i="8"/>
  <c r="R42" i="8"/>
  <c r="R41" i="8"/>
  <c r="I40" i="8"/>
  <c r="R40" i="8" s="1"/>
  <c r="Q36" i="8"/>
  <c r="P36" i="8"/>
  <c r="O36" i="8"/>
  <c r="N36" i="8"/>
  <c r="M36" i="8"/>
  <c r="L36" i="8"/>
  <c r="K36" i="8"/>
  <c r="J36" i="8"/>
  <c r="I36" i="8"/>
  <c r="J37" i="8" s="1"/>
  <c r="H36" i="8"/>
  <c r="G36" i="8"/>
  <c r="G37" i="8" s="1"/>
  <c r="F36" i="8"/>
  <c r="R35" i="8"/>
  <c r="R34" i="8"/>
  <c r="R33" i="8"/>
  <c r="M29" i="8"/>
  <c r="L29" i="8"/>
  <c r="M30" i="8" s="1"/>
  <c r="K29" i="8"/>
  <c r="J29" i="8"/>
  <c r="H29" i="8"/>
  <c r="G29" i="8"/>
  <c r="F29" i="8"/>
  <c r="R28" i="8"/>
  <c r="R27" i="8"/>
  <c r="R26" i="8"/>
  <c r="A26" i="8"/>
  <c r="A27" i="8" s="1"/>
  <c r="I25" i="8"/>
  <c r="I29" i="8" s="1"/>
  <c r="J30" i="8" s="1"/>
  <c r="H21" i="8"/>
  <c r="G21" i="8"/>
  <c r="R20" i="8"/>
  <c r="K19" i="8"/>
  <c r="G19" i="8"/>
  <c r="F19" i="8"/>
  <c r="F21" i="8" s="1"/>
  <c r="R18" i="8"/>
  <c r="J17" i="8"/>
  <c r="R17" i="8" s="1"/>
  <c r="J16" i="8"/>
  <c r="J21" i="8" s="1"/>
  <c r="R15" i="8"/>
  <c r="R14" i="8"/>
  <c r="R13" i="8"/>
  <c r="R12" i="8"/>
  <c r="R11" i="8"/>
  <c r="R10" i="8"/>
  <c r="R9" i="8"/>
  <c r="R8" i="8"/>
  <c r="R7" i="8"/>
  <c r="U6" i="8"/>
  <c r="I6" i="8"/>
  <c r="R6" i="8" s="1"/>
  <c r="L5" i="8"/>
  <c r="L21" i="8" s="1"/>
  <c r="K4" i="8"/>
  <c r="R4" i="8" s="1"/>
  <c r="R3" i="8"/>
  <c r="O5" i="4" l="1"/>
  <c r="J11" i="4"/>
  <c r="R28" i="1"/>
  <c r="S53" i="1"/>
  <c r="N2" i="3"/>
  <c r="I21" i="8"/>
  <c r="J22" i="8" s="1"/>
  <c r="G30" i="8"/>
  <c r="J21" i="1"/>
  <c r="S26" i="1"/>
  <c r="T28" i="1" s="1"/>
  <c r="R43" i="1"/>
  <c r="S44" i="1" s="1"/>
  <c r="R54" i="1"/>
  <c r="T54" i="1" s="1"/>
  <c r="K21" i="8"/>
  <c r="J29" i="1"/>
  <c r="G22" i="8"/>
  <c r="I46" i="8"/>
  <c r="J47" i="8" s="1"/>
  <c r="J46" i="1"/>
  <c r="R25" i="8"/>
  <c r="S27" i="8" s="1"/>
  <c r="J55" i="1"/>
  <c r="I11" i="4"/>
  <c r="S35" i="8"/>
  <c r="R35" i="1"/>
  <c r="T35" i="1" s="1"/>
  <c r="F20" i="1"/>
  <c r="R5" i="8"/>
  <c r="R45" i="1"/>
  <c r="K11" i="3"/>
  <c r="F27" i="4"/>
  <c r="O27" i="4" s="1"/>
  <c r="R19" i="8"/>
  <c r="M47" i="8"/>
  <c r="R29" i="8"/>
  <c r="R4" i="1"/>
  <c r="S19" i="1" s="1"/>
  <c r="M37" i="8"/>
  <c r="R36" i="8"/>
  <c r="T36" i="8" s="1"/>
  <c r="N3" i="3"/>
  <c r="M57" i="8"/>
  <c r="R56" i="8"/>
  <c r="S54" i="8"/>
  <c r="V50" i="8" s="1"/>
  <c r="V52" i="8" s="1"/>
  <c r="M21" i="8"/>
  <c r="M22" i="8" s="1"/>
  <c r="J57" i="8"/>
  <c r="S45" i="8"/>
  <c r="V38" i="8" s="1"/>
  <c r="V40" i="8" s="1"/>
  <c r="R46" i="8"/>
  <c r="S37" i="1" l="1"/>
  <c r="T45" i="1"/>
  <c r="R21" i="8"/>
  <c r="T29" i="8"/>
  <c r="S19" i="8"/>
  <c r="V1" i="8" s="1"/>
  <c r="V3" i="8" s="1"/>
  <c r="G11" i="4"/>
  <c r="O11" i="4" s="1"/>
  <c r="R20" i="1"/>
  <c r="T20" i="1" s="1"/>
  <c r="G21" i="1"/>
  <c r="T56" i="8"/>
  <c r="T46" i="8"/>
  <c r="S38" i="8" l="1"/>
  <c r="T21" i="8"/>
  <c r="V30" i="6"/>
  <c r="V32" i="6" s="1"/>
  <c r="K17" i="13"/>
  <c r="K18" i="13" s="1"/>
  <c r="V3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Babar</author>
  </authors>
  <commentList>
    <comment ref="G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Account Closed in August
</t>
        </r>
      </text>
    </comment>
    <comment ref="F4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Profit Reduced by Bank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Babar</author>
  </authors>
  <commentList>
    <comment ref="G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Account Closed in August
</t>
        </r>
      </text>
    </comment>
    <comment ref="F4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Mohammad Babar:</t>
        </r>
        <r>
          <rPr>
            <sz val="9"/>
            <color indexed="81"/>
            <rFont val="Tahoma"/>
            <family val="2"/>
          </rPr>
          <t xml:space="preserve">
Profit Reduced by Bank
</t>
        </r>
      </text>
    </comment>
  </commentList>
</comments>
</file>

<file path=xl/sharedStrings.xml><?xml version="1.0" encoding="utf-8"?>
<sst xmlns="http://schemas.openxmlformats.org/spreadsheetml/2006/main" count="1151" uniqueCount="203">
  <si>
    <t>Karandaaz Pakistan</t>
  </si>
  <si>
    <t>Matched with TB as of 31st October</t>
  </si>
  <si>
    <t>Sr.no</t>
  </si>
  <si>
    <t>SEED</t>
  </si>
  <si>
    <t>Account Title</t>
  </si>
  <si>
    <t>Bank A/c</t>
  </si>
  <si>
    <t>Bank Name</t>
  </si>
  <si>
    <t>July'25</t>
  </si>
  <si>
    <t>Aug</t>
  </si>
  <si>
    <t>Sept</t>
  </si>
  <si>
    <t>October</t>
  </si>
  <si>
    <t>November</t>
  </si>
  <si>
    <t>December</t>
  </si>
  <si>
    <t>Jan</t>
  </si>
  <si>
    <t>Feb</t>
  </si>
  <si>
    <t>March</t>
  </si>
  <si>
    <t>April</t>
  </si>
  <si>
    <t>May</t>
  </si>
  <si>
    <t>June</t>
  </si>
  <si>
    <t>Total</t>
  </si>
  <si>
    <t>Our working</t>
  </si>
  <si>
    <t>EAGR</t>
  </si>
  <si>
    <t>Karandaaz Pakistan DFID</t>
  </si>
  <si>
    <t>UBL</t>
  </si>
  <si>
    <t>Closed</t>
  </si>
  <si>
    <t>Karandaaz Pakistan Investments</t>
  </si>
  <si>
    <t>Karandaaz Pakistan OWN SOURCE REVENUE</t>
  </si>
  <si>
    <t>BAFL</t>
  </si>
  <si>
    <t>Karandaaz Pakistan ORIX CAPITAL</t>
  </si>
  <si>
    <t>Karandaaz Pakistan TPPL</t>
  </si>
  <si>
    <t>Karandaaz Pakistan OWN SOURCE REVENUE*</t>
  </si>
  <si>
    <t>Karandaaz Pakistan CiC</t>
  </si>
  <si>
    <t>Karandaaz Pakistan Reserve*</t>
  </si>
  <si>
    <t>0874-79009966-01</t>
  </si>
  <si>
    <t>HBL</t>
  </si>
  <si>
    <t>06-02-37-20614-714-146790</t>
  </si>
  <si>
    <t>HMB</t>
  </si>
  <si>
    <t>Karandaaz Pakistan Operational</t>
  </si>
  <si>
    <t>0002253139</t>
  </si>
  <si>
    <t>JSBL</t>
  </si>
  <si>
    <t>3238390000003107</t>
  </si>
  <si>
    <t>Faysal</t>
  </si>
  <si>
    <t>WV GCF</t>
  </si>
  <si>
    <t>Karandaaz Pakistan WV Greenfin</t>
  </si>
  <si>
    <t>3238390000003722</t>
  </si>
  <si>
    <t>Karandaaz Pakistan Own Source Revenue</t>
  </si>
  <si>
    <t>0010137809770010</t>
  </si>
  <si>
    <t>ABL</t>
  </si>
  <si>
    <t>Karandaaz Pakistan-Own Source Revenue</t>
  </si>
  <si>
    <t>SAMBA</t>
  </si>
  <si>
    <t>BMGF</t>
  </si>
  <si>
    <t>Karandaaz Pakistan BMGF</t>
  </si>
  <si>
    <t>Karandaaz Pakistan (BMGF - Ehsaas)</t>
  </si>
  <si>
    <t>Karandaaz Pakistan (BMGF CT)</t>
  </si>
  <si>
    <t>FIP</t>
  </si>
  <si>
    <t>Karandaaz Pakistan FIP</t>
  </si>
  <si>
    <t>Karandaaz Pakistan-FIP*</t>
  </si>
  <si>
    <t>KARANDAAZ PAKISTAN FIP</t>
  </si>
  <si>
    <t>6-2-37-20614-714-153581</t>
  </si>
  <si>
    <t>RPA</t>
  </si>
  <si>
    <t>Karandaaz Pakistan BAFL</t>
  </si>
  <si>
    <t>9616-0001268157</t>
  </si>
  <si>
    <t>0154-0101898629</t>
  </si>
  <si>
    <t xml:space="preserve">Meezan </t>
  </si>
  <si>
    <t>006-1002792880001</t>
  </si>
  <si>
    <t>MIB</t>
  </si>
  <si>
    <t>Soneri</t>
  </si>
  <si>
    <t>Karandaaz Pakistan REON</t>
  </si>
  <si>
    <t>0001931470</t>
  </si>
  <si>
    <t>Escrow</t>
  </si>
  <si>
    <t>Escrow Accounts</t>
  </si>
  <si>
    <t>Account Number</t>
  </si>
  <si>
    <t>National Bank of Pakistan Women Ventures Escrow - Karandaaz Pakistan</t>
  </si>
  <si>
    <t>NBP</t>
  </si>
  <si>
    <t>BAFL ICF-3 Escrow</t>
  </si>
  <si>
    <t>00351007935778</t>
  </si>
  <si>
    <t>KARANDAAZ PAKISTAN &amp; BANK OF PUNJAB - ESCROW ACCOUNT</t>
  </si>
  <si>
    <t>6510357085300010</t>
  </si>
  <si>
    <t>BOP</t>
  </si>
  <si>
    <t>OSR</t>
  </si>
  <si>
    <t>1-Month</t>
  </si>
  <si>
    <t>PKR</t>
  </si>
  <si>
    <t>OSR Funds</t>
  </si>
  <si>
    <t>HMBL</t>
  </si>
  <si>
    <t>Primary</t>
  </si>
  <si>
    <t>3-Months</t>
  </si>
  <si>
    <t>LR</t>
  </si>
  <si>
    <t>6-Months</t>
  </si>
  <si>
    <t>Liquidity Reserve Funds</t>
  </si>
  <si>
    <t>Sr. No</t>
  </si>
  <si>
    <t>Bank</t>
  </si>
  <si>
    <t>Program</t>
  </si>
  <si>
    <t>Auction/Secondary</t>
  </si>
  <si>
    <t>T-Bill Tenure</t>
  </si>
  <si>
    <t>Issue Date</t>
  </si>
  <si>
    <t>Purchase Date</t>
  </si>
  <si>
    <t>Maturity Date</t>
  </si>
  <si>
    <t>Profit Rate (p.a)</t>
  </si>
  <si>
    <t>Currency</t>
  </si>
  <si>
    <t>No of Days</t>
  </si>
  <si>
    <t>Cheque Value</t>
  </si>
  <si>
    <t>Face Value</t>
  </si>
  <si>
    <t>Profit amount</t>
  </si>
  <si>
    <t>Difference</t>
  </si>
  <si>
    <t>Funds Movement date</t>
  </si>
  <si>
    <t>Comments</t>
  </si>
  <si>
    <t>Profit on T-bill BAL AS OF October</t>
  </si>
  <si>
    <t xml:space="preserve">UBL </t>
  </si>
  <si>
    <t>Unrealized T BILL</t>
  </si>
  <si>
    <t>         179,205.48</t>
  </si>
  <si>
    <t>Savings</t>
  </si>
  <si>
    <t>Tbills</t>
  </si>
  <si>
    <t>GF</t>
  </si>
  <si>
    <t>Jul-Sept</t>
  </si>
  <si>
    <t>OSR Total</t>
  </si>
  <si>
    <t>Oct-Dec</t>
  </si>
  <si>
    <t>Purchase date</t>
  </si>
  <si>
    <t>Selling Date</t>
  </si>
  <si>
    <t>Rate</t>
  </si>
  <si>
    <t>Check Value</t>
  </si>
  <si>
    <t>Profit</t>
  </si>
  <si>
    <t>WHT Deduction</t>
  </si>
  <si>
    <t>Prin + Profit</t>
  </si>
  <si>
    <t>Gain/(Loss)</t>
  </si>
  <si>
    <t>Secondary</t>
  </si>
  <si>
    <t>OSD</t>
  </si>
  <si>
    <t>MY TOTAL</t>
  </si>
  <si>
    <t>TDR</t>
  </si>
  <si>
    <t>Tbill</t>
  </si>
  <si>
    <t>Buy Sell</t>
  </si>
  <si>
    <t>BAFL ICF3 Profits - pertain to previous year</t>
  </si>
  <si>
    <t>GL BAL AS OF Jan 31st</t>
  </si>
  <si>
    <t>Karandaaz Pakistan-KCBL II</t>
  </si>
  <si>
    <t>PO PROFIT GL AS PER Jan 31st</t>
  </si>
  <si>
    <t>ESCROW PROFIT GL AS PER Jan 31st</t>
  </si>
  <si>
    <t>Matched with TB as of 31st Jan</t>
  </si>
  <si>
    <t>12-Months</t>
  </si>
  <si>
    <t>total BUYSELL</t>
  </si>
  <si>
    <t>Jan-Mar</t>
  </si>
  <si>
    <t>-</t>
  </si>
  <si>
    <t>Karandaaz Pakistan (BMGF Raast)</t>
  </si>
  <si>
    <t>Savings OSR</t>
  </si>
  <si>
    <t>Savings RPA</t>
  </si>
  <si>
    <t>Savings Escrow</t>
  </si>
  <si>
    <t>Amount in PKR</t>
  </si>
  <si>
    <t>Savings FIP</t>
  </si>
  <si>
    <t>APR-JUNE</t>
  </si>
  <si>
    <t>Matched with TB as of May 31</t>
  </si>
  <si>
    <t>Profit on T-Bills</t>
  </si>
  <si>
    <t>Total Tbill+BuySell</t>
  </si>
  <si>
    <t>Tbills Total</t>
  </si>
  <si>
    <t>June 30th TB</t>
  </si>
  <si>
    <t xml:space="preserve">Profit </t>
  </si>
  <si>
    <t>BIPL</t>
  </si>
  <si>
    <t>Amount</t>
  </si>
  <si>
    <t>OI70108</t>
  </si>
  <si>
    <t>Days</t>
  </si>
  <si>
    <t>OI70108 - Profit on Tbills</t>
  </si>
  <si>
    <t>Total Tbills + Buy Sell</t>
  </si>
  <si>
    <t>TotalBuy Sell</t>
  </si>
  <si>
    <t>Accural Amount June 26</t>
  </si>
  <si>
    <t>Currently Booked TDRs</t>
  </si>
  <si>
    <t>Booked On</t>
  </si>
  <si>
    <t>Profit Rate</t>
  </si>
  <si>
    <t>Inflow Date</t>
  </si>
  <si>
    <t>Totals</t>
  </si>
  <si>
    <t>Samba KCBL</t>
  </si>
  <si>
    <t>Samba</t>
  </si>
  <si>
    <t>Apr-Jun</t>
  </si>
  <si>
    <t>Profit By Krn</t>
  </si>
  <si>
    <t xml:space="preserve"> BAL AS PER TB </t>
  </si>
  <si>
    <t xml:space="preserve">Total Tbills Realized </t>
  </si>
  <si>
    <t>Karandaaz Pakistan (BMGF FBR)</t>
  </si>
  <si>
    <t>Monthly BreakDown</t>
  </si>
  <si>
    <t>July</t>
  </si>
  <si>
    <t>August</t>
  </si>
  <si>
    <t>Total Profit old tbills</t>
  </si>
  <si>
    <t>Profit Pertains to this year</t>
  </si>
  <si>
    <t>Difference Monthly total vs Actual Profit</t>
  </si>
  <si>
    <t>Profit rates</t>
  </si>
  <si>
    <t xml:space="preserve">July </t>
  </si>
  <si>
    <t>September</t>
  </si>
  <si>
    <t>January</t>
  </si>
  <si>
    <t>February</t>
  </si>
  <si>
    <t>1. Samba 11.30%
2. UBL 11%
3. BAFL 11%</t>
  </si>
  <si>
    <t>1. Samba 11.30%
2. UBL 11%
3. BAFL/Faysal 10.75%%</t>
  </si>
  <si>
    <t>MPC Meeting Date</t>
  </si>
  <si>
    <t>MPC Rate</t>
  </si>
  <si>
    <t>TREASURY POOL</t>
  </si>
  <si>
    <t>LR Funds</t>
  </si>
  <si>
    <t>Investment/CDEL Funds</t>
  </si>
  <si>
    <t>RPA A/c</t>
  </si>
  <si>
    <t>WVGreenfin</t>
  </si>
  <si>
    <t>Operational Funds</t>
  </si>
  <si>
    <t>Total Pool</t>
  </si>
  <si>
    <t>Q1</t>
  </si>
  <si>
    <t xml:space="preserve">Annual </t>
  </si>
  <si>
    <t>Avg Rate</t>
  </si>
  <si>
    <t>Q2</t>
  </si>
  <si>
    <t>Q3</t>
  </si>
  <si>
    <t>Q4</t>
  </si>
  <si>
    <t>1. Samba 11.30%
2. Faysal 11.25%
3. UBL 11%</t>
  </si>
  <si>
    <t xml:space="preserve">Average Treasury pool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</si>
</sst>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_-;\-* #,##0_-;_-* &quot;-&quot;??_-;_-@_-"/>
    <numFmt numFmtId="167" formatCode="[$-409]mmm\-yy;@"/>
    <numFmt numFmtId="168" formatCode="[$-409]d\-mmm\-yy;@"/>
    <numFmt numFmtId="169" formatCode="[$-409]d\-mmm\-yyyy;@"/>
    <numFmt numFmtId="170" formatCode="dd\ mmm\ yyyy\ h:mm\ AM/PM"/>
    <numFmt numFmtId="171" formatCode="dd\ mmm\ yyyy\ h:mm:ss\ AM/PM"/>
    <numFmt numFmtId="172" formatCode="_-* #,##0.00_-;\-* #,##0.00_-;_-* &quot;-&quot;??_-;_-@_-"/>
    <numFmt numFmtId="173" formatCode="[$-F800]dddd\,\ mmmm\ dd\,\ yyyy"/>
    <numFmt numFmtId="174" formatCode="#,##0;\(#,##0\);\-"/>
    <numFmt numFmtId="175" formatCode="_-* #,##0_-;\-* #,##0_-;_-* &quot;-&quot;_-;_-@_-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Tahoma"/>
      <family val="2"/>
    </font>
    <font>
      <sz val="10"/>
      <name val="Arial"/>
      <family val="2"/>
    </font>
    <font>
      <b/>
      <sz val="10"/>
      <color theme="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6"/>
      <color rgb="FF000000"/>
      <name val="Tahoma"/>
      <family val="2"/>
    </font>
    <font>
      <b/>
      <sz val="12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rgb="FF9933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Arial"/>
      <family val="2"/>
    </font>
    <font>
      <sz val="8"/>
      <name val="Webdings"/>
      <family val="1"/>
      <charset val="2"/>
    </font>
    <font>
      <b/>
      <sz val="8"/>
      <color indexed="10"/>
      <name val="Tahoma"/>
      <family val="2"/>
    </font>
    <font>
      <sz val="10"/>
      <color rgb="FF4DAFFF"/>
      <name val="Tahoma"/>
      <family val="2"/>
    </font>
    <font>
      <sz val="10"/>
      <color rgb="FF333333"/>
      <name val="Tahoma"/>
      <family val="2"/>
    </font>
    <font>
      <b/>
      <sz val="10"/>
      <color rgb="FF003D5B"/>
      <name val="Tahoma"/>
      <family val="2"/>
    </font>
    <font>
      <sz val="9"/>
      <color rgb="FF333333"/>
      <name val="Helvetica"/>
    </font>
    <font>
      <b/>
      <sz val="9"/>
      <color rgb="FF4F4F4F"/>
      <name val="Helvetica"/>
    </font>
    <font>
      <sz val="9"/>
      <color rgb="FF000000"/>
      <name val="Helvetica"/>
    </font>
    <font>
      <b/>
      <sz val="10"/>
      <color rgb="FF000000"/>
      <name val="Helvetica"/>
    </font>
    <font>
      <sz val="9"/>
      <color rgb="FF63AEEE"/>
      <name val="Helvetica"/>
    </font>
    <font>
      <b/>
      <sz val="11"/>
      <color rgb="FF454545"/>
      <name val="Helvetica"/>
    </font>
    <font>
      <b/>
      <sz val="14"/>
      <color rgb="FF252525"/>
      <name val="Helvetica"/>
    </font>
    <font>
      <b/>
      <sz val="12"/>
      <color rgb="FF252525"/>
      <name val="Helvetica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rgb="FF000000"/>
      <name val="Tahoma"/>
      <family val="2"/>
    </font>
    <font>
      <sz val="12"/>
      <color theme="1"/>
      <name val="Calibri"/>
      <family val="2"/>
      <scheme val="minor"/>
    </font>
    <font>
      <b/>
      <sz val="12"/>
      <color theme="0"/>
      <name val="Aptos"/>
      <family val="2"/>
    </font>
    <font>
      <sz val="8"/>
      <color rgb="FF222222"/>
      <name val="Tahoma"/>
      <family val="2"/>
    </font>
    <font>
      <sz val="9"/>
      <color theme="1"/>
      <name val="Arial"/>
      <family val="2"/>
    </font>
    <font>
      <b/>
      <u val="singleAccounting"/>
      <sz val="10"/>
      <color theme="1"/>
      <name val="Aptos"/>
      <family val="2"/>
    </font>
    <font>
      <sz val="7"/>
      <color rgb="FF403E5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Aptos"/>
      <family val="2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charset val="1"/>
    </font>
    <font>
      <sz val="22"/>
      <color rgb="FF00000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6"/>
      <color rgb="FF1F1F1F"/>
      <name val="Arial"/>
      <family val="2"/>
    </font>
    <font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rgb="FF4A4A4A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i/>
      <sz val="2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8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E9E7D1"/>
        <bgColor indexed="64"/>
      </patternFill>
    </fill>
    <fill>
      <patternFill patternType="solid">
        <fgColor theme="8" tint="0.59996337778862885"/>
        <bgColor indexed="64"/>
      </patternFill>
    </fill>
    <fill>
      <gradientFill degree="90">
        <stop position="0">
          <color rgb="FFE8EBF0"/>
        </stop>
        <stop position="1">
          <color rgb="FFFFFFFF"/>
        </stop>
      </gradientFill>
    </fill>
    <fill>
      <gradientFill degree="90">
        <stop position="0">
          <color rgb="FFFFFFFF"/>
        </stop>
        <stop position="1">
          <color rgb="FFB2C1DC"/>
        </stop>
      </gradientFill>
    </fill>
    <fill>
      <gradientFill>
        <stop position="0">
          <color rgb="FFE8EBF0"/>
        </stop>
        <stop position="1">
          <color rgb="FFFFFFFF"/>
        </stop>
      </gradientFill>
    </fill>
    <fill>
      <gradientFill degree="90">
        <stop position="0">
          <color rgb="FFFFFFFF"/>
        </stop>
        <stop position="1">
          <color rgb="FFEBEFF5"/>
        </stop>
      </gradientFill>
    </fill>
    <fill>
      <gradientFill degree="90">
        <stop position="0">
          <color rgb="FFEBEFF5"/>
        </stop>
        <stop position="1">
          <color rgb="FFC9D2E0"/>
        </stop>
      </gradientFill>
    </fill>
    <fill>
      <patternFill patternType="solid">
        <fgColor rgb="FFEBEFF5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236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A7A9AE"/>
      </left>
      <right style="thin">
        <color rgb="FFA7A9AE"/>
      </right>
      <top style="thin">
        <color rgb="FFA7A9AE"/>
      </top>
      <bottom style="thin">
        <color rgb="FFA7A9AE"/>
      </bottom>
      <diagonal/>
    </border>
    <border>
      <left style="thin">
        <color rgb="FF737D87"/>
      </left>
      <right style="thin">
        <color rgb="FF737D87"/>
      </right>
      <top style="double">
        <color rgb="FF737D87"/>
      </top>
      <bottom style="double">
        <color rgb="FF737D87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rgb="FFE6E8EC"/>
      </left>
      <right style="thin">
        <color rgb="FF8694A1"/>
      </right>
      <top style="thin">
        <color rgb="FFE6E8EC"/>
      </top>
      <bottom style="thin">
        <color rgb="FF8694A1"/>
      </bottom>
      <diagonal/>
    </border>
    <border>
      <left style="thin">
        <color rgb="FFDFE4E7"/>
      </left>
      <right style="thin">
        <color rgb="FFDFE4E7"/>
      </right>
      <top style="thin">
        <color rgb="FFDFE4E7"/>
      </top>
      <bottom style="thin">
        <color rgb="FFDFE4E7"/>
      </bottom>
      <diagonal/>
    </border>
    <border>
      <left style="thin">
        <color rgb="FFD6DFE6"/>
      </left>
      <right style="thin">
        <color rgb="FFD6DFE6"/>
      </right>
      <top style="thin">
        <color rgb="FFD6DFE6"/>
      </top>
      <bottom style="thin">
        <color rgb="FFD6DFE6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DBDBDB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medium">
        <color indexed="64"/>
      </right>
      <top/>
      <bottom style="thin">
        <color rgb="FFDDDDDD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medium">
        <color rgb="FFE9EDF5"/>
      </left>
      <right style="medium">
        <color rgb="FF000000"/>
      </right>
      <top style="medium">
        <color rgb="FFE9EDF5"/>
      </top>
      <bottom/>
      <diagonal/>
    </border>
    <border>
      <left style="medium">
        <color rgb="FFE9EDF5"/>
      </left>
      <right style="medium">
        <color rgb="FF000000"/>
      </right>
      <top/>
      <bottom/>
      <diagonal/>
    </border>
    <border>
      <left style="medium">
        <color rgb="FFE9EDF5"/>
      </left>
      <right style="medium">
        <color rgb="FF000000"/>
      </right>
      <top/>
      <bottom style="medium">
        <color rgb="FFE9EDF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5" fillId="12" borderId="10"/>
    <xf numFmtId="0" fontId="6" fillId="0" borderId="8">
      <alignment wrapText="1"/>
    </xf>
    <xf numFmtId="0" fontId="12" fillId="0" borderId="0" applyNumberFormat="0" applyFill="0" applyBorder="0" applyAlignment="0" applyProtection="0"/>
    <xf numFmtId="0" fontId="13" fillId="0" borderId="28" applyNumberFormat="0" applyFill="0" applyAlignment="0" applyProtection="0"/>
    <xf numFmtId="0" fontId="14" fillId="0" borderId="29" applyNumberFormat="0" applyFill="0" applyAlignment="0" applyProtection="0"/>
    <xf numFmtId="0" fontId="15" fillId="0" borderId="30" applyNumberFormat="0" applyFill="0" applyAlignment="0" applyProtection="0"/>
    <xf numFmtId="0" fontId="15" fillId="0" borderId="0" applyNumberFormat="0" applyFill="0" applyBorder="0" applyAlignment="0" applyProtection="0"/>
    <xf numFmtId="0" fontId="16" fillId="19" borderId="0" applyNumberFormat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31" applyNumberFormat="0" applyAlignment="0" applyProtection="0"/>
    <xf numFmtId="0" fontId="20" fillId="23" borderId="32" applyNumberFormat="0" applyAlignment="0" applyProtection="0"/>
    <xf numFmtId="0" fontId="21" fillId="23" borderId="31" applyNumberFormat="0" applyAlignment="0" applyProtection="0"/>
    <xf numFmtId="0" fontId="22" fillId="0" borderId="33" applyNumberFormat="0" applyFill="0" applyAlignment="0" applyProtection="0"/>
    <xf numFmtId="0" fontId="23" fillId="24" borderId="34" applyNumberFormat="0" applyAlignment="0" applyProtection="0"/>
    <xf numFmtId="0" fontId="24" fillId="0" borderId="0" applyNumberFormat="0" applyFill="0" applyBorder="0" applyAlignment="0" applyProtection="0"/>
    <xf numFmtId="0" fontId="1" fillId="25" borderId="35" applyNumberFormat="0" applyFont="0" applyAlignment="0" applyProtection="0"/>
    <xf numFmtId="0" fontId="25" fillId="0" borderId="0" applyNumberFormat="0" applyFill="0" applyBorder="0" applyAlignment="0" applyProtection="0"/>
    <xf numFmtId="0" fontId="2" fillId="0" borderId="36" applyNumberFormat="0" applyFill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6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26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28" fillId="50" borderId="0"/>
    <xf numFmtId="0" fontId="29" fillId="51" borderId="0"/>
    <xf numFmtId="0" fontId="29" fillId="50" borderId="0">
      <protection locked="0"/>
    </xf>
    <xf numFmtId="0" fontId="29" fillId="52" borderId="0"/>
    <xf numFmtId="0" fontId="29" fillId="50" borderId="0"/>
    <xf numFmtId="0" fontId="29" fillId="50" borderId="8">
      <alignment wrapText="1"/>
      <protection locked="0"/>
    </xf>
    <xf numFmtId="0" fontId="30" fillId="50" borderId="10">
      <protection locked="0"/>
    </xf>
    <xf numFmtId="4" fontId="30" fillId="50" borderId="10">
      <protection locked="0"/>
    </xf>
    <xf numFmtId="3" fontId="30" fillId="50" borderId="10">
      <protection locked="0"/>
    </xf>
    <xf numFmtId="14" fontId="29" fillId="50" borderId="0">
      <protection locked="0"/>
    </xf>
    <xf numFmtId="0" fontId="30" fillId="53" borderId="0">
      <alignment horizontal="left"/>
    </xf>
    <xf numFmtId="0" fontId="30" fillId="53" borderId="0">
      <alignment horizontal="left"/>
    </xf>
    <xf numFmtId="0" fontId="33" fillId="53" borderId="0">
      <alignment horizontal="right"/>
    </xf>
    <xf numFmtId="170" fontId="30" fillId="53" borderId="0">
      <alignment horizontal="left"/>
    </xf>
    <xf numFmtId="0" fontId="30" fillId="12" borderId="0">
      <alignment horizontal="left"/>
    </xf>
    <xf numFmtId="0" fontId="30" fillId="0" borderId="8">
      <alignment horizontal="left"/>
    </xf>
    <xf numFmtId="169" fontId="30" fillId="12" borderId="8">
      <alignment horizontal="left" wrapText="1"/>
    </xf>
    <xf numFmtId="171" fontId="30" fillId="12" borderId="8">
      <alignment horizontal="left" wrapText="1"/>
    </xf>
    <xf numFmtId="0" fontId="30" fillId="12" borderId="8">
      <alignment horizontal="left" wrapText="1"/>
    </xf>
    <xf numFmtId="0" fontId="33" fillId="0" borderId="0">
      <alignment horizontal="left"/>
    </xf>
    <xf numFmtId="0" fontId="33" fillId="0" borderId="8">
      <alignment horizontal="left"/>
    </xf>
    <xf numFmtId="0" fontId="33" fillId="0" borderId="0">
      <alignment horizontal="left" wrapText="1"/>
    </xf>
    <xf numFmtId="0" fontId="33" fillId="54" borderId="8">
      <alignment wrapText="1"/>
    </xf>
    <xf numFmtId="0" fontId="33" fillId="0" borderId="0">
      <alignment horizontal="left" wrapText="1"/>
    </xf>
    <xf numFmtId="169" fontId="30" fillId="12" borderId="0"/>
    <xf numFmtId="0" fontId="30" fillId="12" borderId="0">
      <alignment horizontal="left" wrapText="1"/>
    </xf>
    <xf numFmtId="0" fontId="30" fillId="0" borderId="0">
      <alignment horizontal="right"/>
    </xf>
    <xf numFmtId="0" fontId="30" fillId="0" borderId="8">
      <alignment horizontal="right"/>
    </xf>
    <xf numFmtId="0" fontId="30" fillId="12" borderId="8">
      <alignment horizontal="right"/>
    </xf>
    <xf numFmtId="0" fontId="30" fillId="0" borderId="8">
      <alignment horizontal="right" wrapText="1"/>
    </xf>
    <xf numFmtId="2" fontId="33" fillId="0" borderId="0">
      <alignment horizontal="right"/>
    </xf>
    <xf numFmtId="1" fontId="33" fillId="0" borderId="8">
      <alignment horizontal="right"/>
    </xf>
    <xf numFmtId="1" fontId="33" fillId="0" borderId="8">
      <alignment horizontal="right" wrapText="1"/>
    </xf>
    <xf numFmtId="2" fontId="33" fillId="0" borderId="0">
      <alignment horizontal="right" wrapText="1"/>
    </xf>
    <xf numFmtId="169" fontId="30" fillId="12" borderId="0">
      <alignment horizontal="right"/>
    </xf>
    <xf numFmtId="0" fontId="30" fillId="0" borderId="0">
      <alignment horizontal="right" wrapText="1"/>
    </xf>
    <xf numFmtId="0" fontId="30" fillId="12" borderId="8"/>
    <xf numFmtId="4" fontId="30" fillId="12" borderId="8"/>
    <xf numFmtId="0" fontId="30" fillId="12" borderId="8">
      <alignment horizontal="left"/>
    </xf>
    <xf numFmtId="0" fontId="30" fillId="12" borderId="8">
      <alignment wrapText="1"/>
    </xf>
    <xf numFmtId="0" fontId="33" fillId="12" borderId="24">
      <alignment horizontal="right"/>
    </xf>
    <xf numFmtId="0" fontId="33" fillId="54" borderId="10"/>
    <xf numFmtId="0" fontId="33" fillId="54" borderId="8"/>
    <xf numFmtId="0" fontId="33" fillId="54" borderId="10">
      <alignment horizontal="left" wrapText="1"/>
    </xf>
    <xf numFmtId="0" fontId="33" fillId="54" borderId="8">
      <alignment horizontal="left" wrapText="1"/>
    </xf>
    <xf numFmtId="2" fontId="33" fillId="12" borderId="0" applyNumberFormat="0">
      <alignment horizontal="right"/>
    </xf>
    <xf numFmtId="0" fontId="33" fillId="53" borderId="0">
      <alignment horizontal="right"/>
    </xf>
    <xf numFmtId="0" fontId="30" fillId="55" borderId="8"/>
    <xf numFmtId="0" fontId="30" fillId="55" borderId="8">
      <alignment wrapText="1"/>
    </xf>
    <xf numFmtId="0" fontId="30" fillId="56" borderId="8"/>
    <xf numFmtId="0" fontId="30" fillId="56" borderId="8">
      <alignment wrapText="1"/>
    </xf>
    <xf numFmtId="0" fontId="34" fillId="56" borderId="8"/>
    <xf numFmtId="0" fontId="32" fillId="53" borderId="0"/>
    <xf numFmtId="0" fontId="30" fillId="57" borderId="8"/>
    <xf numFmtId="0" fontId="30" fillId="58" borderId="8"/>
    <xf numFmtId="4" fontId="30" fillId="57" borderId="8"/>
    <xf numFmtId="1" fontId="30" fillId="57" borderId="8"/>
    <xf numFmtId="1" fontId="30" fillId="57" borderId="8">
      <alignment horizontal="left"/>
    </xf>
    <xf numFmtId="0" fontId="30" fillId="57" borderId="10">
      <alignment horizontal="center"/>
    </xf>
    <xf numFmtId="0" fontId="30" fillId="57" borderId="8">
      <alignment horizontal="center"/>
    </xf>
    <xf numFmtId="0" fontId="30" fillId="57" borderId="8">
      <alignment horizontal="center" wrapText="1"/>
    </xf>
    <xf numFmtId="0" fontId="35" fillId="57" borderId="8">
      <alignment horizontal="center"/>
    </xf>
    <xf numFmtId="0" fontId="30" fillId="57" borderId="8">
      <alignment horizontal="center"/>
    </xf>
    <xf numFmtId="169" fontId="30" fillId="57" borderId="8"/>
    <xf numFmtId="0" fontId="30" fillId="57" borderId="8">
      <alignment horizontal="left"/>
    </xf>
    <xf numFmtId="167" fontId="30" fillId="57" borderId="8">
      <alignment horizontal="left"/>
    </xf>
    <xf numFmtId="0" fontId="36" fillId="57" borderId="8"/>
    <xf numFmtId="0" fontId="36" fillId="57" borderId="8">
      <alignment wrapText="1"/>
    </xf>
    <xf numFmtId="0" fontId="30" fillId="57" borderId="8">
      <alignment wrapText="1"/>
    </xf>
    <xf numFmtId="0" fontId="30" fillId="59" borderId="8"/>
    <xf numFmtId="0" fontId="30" fillId="59" borderId="8">
      <alignment wrapText="1"/>
    </xf>
    <xf numFmtId="0" fontId="31" fillId="53" borderId="0"/>
    <xf numFmtId="0" fontId="33" fillId="53" borderId="0">
      <alignment horizontal="left"/>
    </xf>
    <xf numFmtId="0" fontId="33" fillId="60" borderId="8"/>
    <xf numFmtId="169" fontId="33" fillId="60" borderId="8">
      <alignment wrapText="1"/>
    </xf>
    <xf numFmtId="0" fontId="30" fillId="0" borderId="8">
      <alignment horizontal="left"/>
    </xf>
    <xf numFmtId="0" fontId="5" fillId="61" borderId="38" applyNumberFormat="0">
      <alignment wrapText="1"/>
    </xf>
    <xf numFmtId="49" fontId="29" fillId="62" borderId="0">
      <protection locked="0"/>
    </xf>
    <xf numFmtId="0" fontId="37" fillId="63" borderId="39" applyNumberFormat="0">
      <alignment horizontal="center" vertical="center"/>
    </xf>
    <xf numFmtId="0" fontId="38" fillId="64" borderId="40" applyNumberFormat="0">
      <alignment horizontal="center" vertical="center" wrapText="1"/>
    </xf>
    <xf numFmtId="0" fontId="37" fillId="65" borderId="39" applyNumberFormat="0">
      <alignment horizontal="center" vertical="center" wrapText="1"/>
      <protection locked="0"/>
    </xf>
    <xf numFmtId="0" fontId="37" fillId="0" borderId="39" applyNumberFormat="0">
      <alignment horizontal="center" vertical="center" wrapText="1"/>
      <protection locked="0"/>
    </xf>
    <xf numFmtId="0" fontId="39" fillId="66" borderId="41" applyNumberFormat="0">
      <alignment horizontal="left" indent="1"/>
    </xf>
    <xf numFmtId="0" fontId="5" fillId="67" borderId="42" applyNumberFormat="0">
      <alignment wrapText="1"/>
    </xf>
    <xf numFmtId="0" fontId="38" fillId="64" borderId="43" applyNumberFormat="0">
      <alignment horizontal="center" vertical="center" wrapText="1"/>
    </xf>
    <xf numFmtId="0" fontId="38" fillId="68" borderId="39" applyNumberFormat="0">
      <alignment shrinkToFit="1"/>
    </xf>
    <xf numFmtId="0" fontId="41" fillId="50" borderId="8" applyNumberFormat="0" applyFill="0" applyBorder="0">
      <alignment horizontal="right" vertical="center" wrapText="1" indent="1"/>
    </xf>
    <xf numFmtId="0" fontId="40" fillId="50" borderId="8" applyNumberFormat="0" applyFill="0" applyBorder="0">
      <alignment horizontal="left" vertical="center" wrapText="1"/>
    </xf>
    <xf numFmtId="0" fontId="40" fillId="69" borderId="44" applyNumberFormat="0">
      <alignment horizontal="left" vertical="center" wrapText="1"/>
      <protection locked="0"/>
    </xf>
    <xf numFmtId="0" fontId="43" fillId="70" borderId="45" applyNumberFormat="0">
      <alignment vertical="center" wrapText="1"/>
    </xf>
    <xf numFmtId="0" fontId="44" fillId="71" borderId="46" applyNumberFormat="0">
      <alignment horizontal="center" vertical="center" wrapText="1"/>
    </xf>
    <xf numFmtId="0" fontId="40" fillId="72" borderId="46" applyNumberFormat="0">
      <alignment vertical="center" wrapText="1"/>
    </xf>
    <xf numFmtId="0" fontId="40" fillId="50" borderId="46" applyNumberFormat="0">
      <alignment vertical="center" wrapText="1"/>
      <protection locked="0"/>
    </xf>
    <xf numFmtId="0" fontId="42" fillId="71" borderId="46" applyNumberFormat="0">
      <alignment vertical="center" shrinkToFit="1"/>
    </xf>
    <xf numFmtId="0" fontId="42" fillId="71" borderId="46" applyNumberFormat="0">
      <alignment horizontal="center" vertical="center" wrapText="1"/>
    </xf>
    <xf numFmtId="0" fontId="45" fillId="73" borderId="47" applyNumberFormat="0">
      <alignment vertical="center"/>
    </xf>
    <xf numFmtId="0" fontId="46" fillId="50" borderId="8" applyNumberFormat="0" applyFill="0" applyBorder="0">
      <alignment horizontal="left" wrapText="1" indent="1"/>
    </xf>
    <xf numFmtId="0" fontId="47" fillId="50" borderId="8" applyNumberFormat="0" applyFill="0" applyBorder="0">
      <alignment horizontal="left" wrapText="1" indent="1"/>
    </xf>
    <xf numFmtId="43" fontId="6" fillId="0" borderId="0" applyFont="0" applyFill="0" applyBorder="0" applyAlignment="0" applyProtection="0"/>
    <xf numFmtId="0" fontId="6" fillId="0" borderId="8">
      <alignment wrapText="1"/>
    </xf>
    <xf numFmtId="17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7" fillId="0" borderId="0"/>
    <xf numFmtId="43" fontId="6" fillId="0" borderId="0" applyFont="0" applyFill="0" applyBorder="0" applyAlignment="0" applyProtection="0"/>
    <xf numFmtId="175" fontId="1" fillId="0" borderId="0" applyFont="0" applyFill="0" applyBorder="0" applyAlignment="0" applyProtection="0"/>
  </cellStyleXfs>
  <cellXfs count="647">
    <xf numFmtId="0" fontId="0" fillId="0" borderId="0" xfId="0"/>
    <xf numFmtId="164" fontId="3" fillId="0" borderId="1" xfId="1" applyNumberFormat="1" applyFont="1" applyBorder="1" applyAlignment="1">
      <alignment horizontal="center"/>
    </xf>
    <xf numFmtId="0" fontId="2" fillId="0" borderId="2" xfId="0" applyFont="1" applyBorder="1"/>
    <xf numFmtId="164" fontId="4" fillId="0" borderId="3" xfId="1" applyNumberFormat="1" applyFont="1" applyBorder="1"/>
    <xf numFmtId="164" fontId="4" fillId="0" borderId="0" xfId="1" applyNumberFormat="1" applyFont="1"/>
    <xf numFmtId="0" fontId="4" fillId="0" borderId="0" xfId="1" applyNumberFormat="1" applyFont="1"/>
    <xf numFmtId="164" fontId="4" fillId="0" borderId="0" xfId="1" applyNumberFormat="1" applyFont="1" applyFill="1"/>
    <xf numFmtId="0" fontId="2" fillId="0" borderId="1" xfId="0" applyFont="1" applyBorder="1"/>
    <xf numFmtId="43" fontId="2" fillId="0" borderId="1" xfId="1" applyFont="1" applyBorder="1"/>
    <xf numFmtId="43" fontId="0" fillId="0" borderId="0" xfId="1" applyFont="1"/>
    <xf numFmtId="164" fontId="3" fillId="0" borderId="4" xfId="1" applyNumberFormat="1" applyFont="1" applyFill="1" applyBorder="1" applyAlignment="1">
      <alignment horizontal="center" vertical="center"/>
    </xf>
    <xf numFmtId="164" fontId="3" fillId="0" borderId="5" xfId="1" applyNumberFormat="1" applyFont="1" applyFill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/>
    <xf numFmtId="0" fontId="4" fillId="2" borderId="6" xfId="1" applyNumberFormat="1" applyFont="1" applyFill="1" applyBorder="1" applyAlignment="1">
      <alignment horizontal="left"/>
    </xf>
    <xf numFmtId="164" fontId="4" fillId="2" borderId="6" xfId="1" applyNumberFormat="1" applyFont="1" applyFill="1" applyBorder="1" applyAlignment="1">
      <alignment horizontal="left"/>
    </xf>
    <xf numFmtId="164" fontId="4" fillId="3" borderId="6" xfId="1" applyNumberFormat="1" applyFont="1" applyFill="1" applyBorder="1"/>
    <xf numFmtId="43" fontId="0" fillId="0" borderId="0" xfId="0" applyNumberFormat="1"/>
    <xf numFmtId="165" fontId="4" fillId="2" borderId="6" xfId="1" applyNumberFormat="1" applyFont="1" applyFill="1" applyBorder="1"/>
    <xf numFmtId="165" fontId="4" fillId="5" borderId="6" xfId="1" applyNumberFormat="1" applyFont="1" applyFill="1" applyBorder="1" applyAlignment="1">
      <alignment horizontal="center" vertical="center"/>
    </xf>
    <xf numFmtId="164" fontId="4" fillId="5" borderId="6" xfId="1" applyNumberFormat="1" applyFont="1" applyFill="1" applyBorder="1"/>
    <xf numFmtId="0" fontId="4" fillId="5" borderId="6" xfId="1" applyNumberFormat="1" applyFont="1" applyFill="1" applyBorder="1" applyAlignment="1">
      <alignment horizontal="left"/>
    </xf>
    <xf numFmtId="164" fontId="4" fillId="5" borderId="6" xfId="1" applyNumberFormat="1" applyFont="1" applyFill="1" applyBorder="1" applyAlignment="1">
      <alignment horizontal="left"/>
    </xf>
    <xf numFmtId="165" fontId="4" fillId="5" borderId="6" xfId="1" applyNumberFormat="1" applyFont="1" applyFill="1" applyBorder="1"/>
    <xf numFmtId="165" fontId="4" fillId="4" borderId="6" xfId="1" applyNumberFormat="1" applyFont="1" applyFill="1" applyBorder="1" applyAlignment="1">
      <alignment horizontal="center" vertical="center"/>
    </xf>
    <xf numFmtId="164" fontId="4" fillId="4" borderId="6" xfId="1" applyNumberFormat="1" applyFont="1" applyFill="1" applyBorder="1"/>
    <xf numFmtId="0" fontId="4" fillId="4" borderId="6" xfId="1" applyNumberFormat="1" applyFont="1" applyFill="1" applyBorder="1" applyAlignment="1">
      <alignment horizontal="left"/>
    </xf>
    <xf numFmtId="164" fontId="4" fillId="4" borderId="6" xfId="1" applyNumberFormat="1" applyFont="1" applyFill="1" applyBorder="1" applyAlignment="1">
      <alignment horizontal="left"/>
    </xf>
    <xf numFmtId="165" fontId="4" fillId="4" borderId="6" xfId="1" applyNumberFormat="1" applyFont="1" applyFill="1" applyBorder="1"/>
    <xf numFmtId="165" fontId="4" fillId="6" borderId="6" xfId="1" applyNumberFormat="1" applyFont="1" applyFill="1" applyBorder="1" applyAlignment="1">
      <alignment horizontal="center" vertical="center"/>
    </xf>
    <xf numFmtId="164" fontId="4" fillId="6" borderId="6" xfId="1" applyNumberFormat="1" applyFont="1" applyFill="1" applyBorder="1"/>
    <xf numFmtId="0" fontId="4" fillId="6" borderId="6" xfId="1" applyNumberFormat="1" applyFont="1" applyFill="1" applyBorder="1" applyAlignment="1">
      <alignment horizontal="left"/>
    </xf>
    <xf numFmtId="164" fontId="4" fillId="6" borderId="6" xfId="1" applyNumberFormat="1" applyFont="1" applyFill="1" applyBorder="1" applyAlignment="1">
      <alignment horizontal="left"/>
    </xf>
    <xf numFmtId="165" fontId="4" fillId="6" borderId="6" xfId="1" applyNumberFormat="1" applyFont="1" applyFill="1" applyBorder="1"/>
    <xf numFmtId="165" fontId="4" fillId="7" borderId="6" xfId="1" applyNumberFormat="1" applyFont="1" applyFill="1" applyBorder="1" applyAlignment="1">
      <alignment horizontal="center" vertical="center"/>
    </xf>
    <xf numFmtId="164" fontId="4" fillId="7" borderId="6" xfId="1" applyNumberFormat="1" applyFont="1" applyFill="1" applyBorder="1"/>
    <xf numFmtId="0" fontId="4" fillId="7" borderId="6" xfId="1" applyNumberFormat="1" applyFont="1" applyFill="1" applyBorder="1" applyAlignment="1">
      <alignment horizontal="left"/>
    </xf>
    <xf numFmtId="164" fontId="4" fillId="7" borderId="6" xfId="1" applyNumberFormat="1" applyFont="1" applyFill="1" applyBorder="1" applyAlignment="1">
      <alignment horizontal="left"/>
    </xf>
    <xf numFmtId="165" fontId="4" fillId="7" borderId="6" xfId="1" applyNumberFormat="1" applyFont="1" applyFill="1" applyBorder="1"/>
    <xf numFmtId="165" fontId="4" fillId="8" borderId="6" xfId="1" applyNumberFormat="1" applyFont="1" applyFill="1" applyBorder="1" applyAlignment="1">
      <alignment horizontal="center" vertical="center"/>
    </xf>
    <xf numFmtId="164" fontId="4" fillId="8" borderId="6" xfId="1" applyNumberFormat="1" applyFont="1" applyFill="1" applyBorder="1"/>
    <xf numFmtId="0" fontId="4" fillId="8" borderId="6" xfId="1" applyNumberFormat="1" applyFont="1" applyFill="1" applyBorder="1" applyAlignment="1">
      <alignment horizontal="left"/>
    </xf>
    <xf numFmtId="164" fontId="4" fillId="8" borderId="6" xfId="1" applyNumberFormat="1" applyFont="1" applyFill="1" applyBorder="1" applyAlignment="1">
      <alignment horizontal="left"/>
    </xf>
    <xf numFmtId="165" fontId="4" fillId="8" borderId="6" xfId="1" applyNumberFormat="1" applyFont="1" applyFill="1" applyBorder="1"/>
    <xf numFmtId="165" fontId="4" fillId="9" borderId="6" xfId="1" applyNumberFormat="1" applyFont="1" applyFill="1" applyBorder="1" applyAlignment="1">
      <alignment horizontal="center" vertical="center"/>
    </xf>
    <xf numFmtId="164" fontId="4" fillId="9" borderId="6" xfId="1" applyNumberFormat="1" applyFont="1" applyFill="1" applyBorder="1"/>
    <xf numFmtId="0" fontId="4" fillId="9" borderId="6" xfId="1" applyNumberFormat="1" applyFont="1" applyFill="1" applyBorder="1" applyAlignment="1">
      <alignment horizontal="left"/>
    </xf>
    <xf numFmtId="164" fontId="4" fillId="9" borderId="6" xfId="1" applyNumberFormat="1" applyFont="1" applyFill="1" applyBorder="1" applyAlignment="1">
      <alignment horizontal="left"/>
    </xf>
    <xf numFmtId="165" fontId="4" fillId="9" borderId="6" xfId="1" applyNumberFormat="1" applyFont="1" applyFill="1" applyBorder="1"/>
    <xf numFmtId="165" fontId="4" fillId="10" borderId="6" xfId="1" applyNumberFormat="1" applyFont="1" applyFill="1" applyBorder="1" applyAlignment="1">
      <alignment horizontal="center" vertical="center"/>
    </xf>
    <xf numFmtId="164" fontId="4" fillId="10" borderId="6" xfId="1" applyNumberFormat="1" applyFont="1" applyFill="1" applyBorder="1"/>
    <xf numFmtId="0" fontId="4" fillId="10" borderId="6" xfId="1" applyNumberFormat="1" applyFont="1" applyFill="1" applyBorder="1" applyAlignment="1">
      <alignment horizontal="left"/>
    </xf>
    <xf numFmtId="164" fontId="4" fillId="10" borderId="6" xfId="1" applyNumberFormat="1" applyFont="1" applyFill="1" applyBorder="1" applyAlignment="1">
      <alignment horizontal="left"/>
    </xf>
    <xf numFmtId="165" fontId="4" fillId="10" borderId="6" xfId="1" applyNumberFormat="1" applyFont="1" applyFill="1" applyBorder="1"/>
    <xf numFmtId="164" fontId="4" fillId="10" borderId="7" xfId="1" applyNumberFormat="1" applyFont="1" applyFill="1" applyBorder="1"/>
    <xf numFmtId="4" fontId="2" fillId="0" borderId="1" xfId="0" applyNumberFormat="1" applyFont="1" applyBorder="1"/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/>
    <xf numFmtId="0" fontId="3" fillId="0" borderId="0" xfId="1" applyNumberFormat="1" applyFont="1" applyFill="1" applyBorder="1" applyAlignment="1">
      <alignment horizontal="left"/>
    </xf>
    <xf numFmtId="164" fontId="3" fillId="0" borderId="0" xfId="1" applyNumberFormat="1" applyFont="1" applyFill="1" applyBorder="1" applyAlignment="1">
      <alignment horizontal="left"/>
    </xf>
    <xf numFmtId="164" fontId="3" fillId="0" borderId="1" xfId="1" applyNumberFormat="1" applyFont="1" applyBorder="1"/>
    <xf numFmtId="164" fontId="3" fillId="0" borderId="1" xfId="1" applyNumberFormat="1" applyFont="1" applyFill="1" applyBorder="1"/>
    <xf numFmtId="164" fontId="3" fillId="0" borderId="1" xfId="1" applyNumberFormat="1" applyFont="1" applyFill="1" applyBorder="1" applyAlignment="1">
      <alignment horizontal="center"/>
    </xf>
    <xf numFmtId="4" fontId="0" fillId="0" borderId="1" xfId="0" applyNumberFormat="1" applyBorder="1"/>
    <xf numFmtId="0" fontId="4" fillId="5" borderId="8" xfId="1" applyNumberFormat="1" applyFont="1" applyFill="1" applyBorder="1" applyAlignment="1">
      <alignment horizontal="center"/>
    </xf>
    <xf numFmtId="164" fontId="4" fillId="5" borderId="8" xfId="1" applyNumberFormat="1" applyFont="1" applyFill="1" applyBorder="1"/>
    <xf numFmtId="0" fontId="4" fillId="5" borderId="8" xfId="1" applyNumberFormat="1" applyFont="1" applyFill="1" applyBorder="1" applyAlignment="1">
      <alignment horizontal="left"/>
    </xf>
    <xf numFmtId="164" fontId="4" fillId="5" borderId="5" xfId="1" applyNumberFormat="1" applyFont="1" applyFill="1" applyBorder="1"/>
    <xf numFmtId="4" fontId="2" fillId="0" borderId="3" xfId="0" applyNumberFormat="1" applyFont="1" applyBorder="1"/>
    <xf numFmtId="0" fontId="4" fillId="2" borderId="8" xfId="1" applyNumberFormat="1" applyFont="1" applyFill="1" applyBorder="1" applyAlignment="1">
      <alignment horizontal="center"/>
    </xf>
    <xf numFmtId="164" fontId="4" fillId="2" borderId="8" xfId="1" applyNumberFormat="1" applyFont="1" applyFill="1" applyBorder="1"/>
    <xf numFmtId="0" fontId="4" fillId="2" borderId="8" xfId="1" applyNumberFormat="1" applyFont="1" applyFill="1" applyBorder="1" applyAlignment="1">
      <alignment horizontal="left"/>
    </xf>
    <xf numFmtId="0" fontId="4" fillId="11" borderId="8" xfId="1" applyNumberFormat="1" applyFont="1" applyFill="1" applyBorder="1" applyAlignment="1">
      <alignment horizontal="center"/>
    </xf>
    <xf numFmtId="164" fontId="4" fillId="11" borderId="8" xfId="1" applyNumberFormat="1" applyFont="1" applyFill="1" applyBorder="1"/>
    <xf numFmtId="0" fontId="4" fillId="11" borderId="8" xfId="1" applyNumberFormat="1" applyFont="1" applyFill="1" applyBorder="1"/>
    <xf numFmtId="0" fontId="4" fillId="0" borderId="0" xfId="1" applyNumberFormat="1" applyFont="1" applyFill="1" applyBorder="1" applyAlignment="1">
      <alignment horizontal="center"/>
    </xf>
    <xf numFmtId="164" fontId="4" fillId="0" borderId="0" xfId="1" applyNumberFormat="1" applyFont="1" applyBorder="1"/>
    <xf numFmtId="164" fontId="4" fillId="0" borderId="0" xfId="1" applyNumberFormat="1" applyFont="1" applyFill="1" applyBorder="1"/>
    <xf numFmtId="0" fontId="4" fillId="0" borderId="0" xfId="1" applyNumberFormat="1" applyFont="1" applyFill="1" applyBorder="1"/>
    <xf numFmtId="164" fontId="3" fillId="0" borderId="0" xfId="1" applyNumberFormat="1" applyFont="1" applyBorder="1"/>
    <xf numFmtId="4" fontId="2" fillId="0" borderId="0" xfId="0" applyNumberFormat="1" applyFont="1"/>
    <xf numFmtId="164" fontId="3" fillId="0" borderId="0" xfId="1" applyNumberFormat="1" applyFont="1" applyFill="1" applyBorder="1" applyAlignment="1">
      <alignment horizontal="center"/>
    </xf>
    <xf numFmtId="4" fontId="0" fillId="0" borderId="0" xfId="0" applyNumberFormat="1"/>
    <xf numFmtId="164" fontId="4" fillId="5" borderId="9" xfId="1" applyNumberFormat="1" applyFont="1" applyFill="1" applyBorder="1"/>
    <xf numFmtId="165" fontId="4" fillId="0" borderId="6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/>
    <xf numFmtId="0" fontId="4" fillId="0" borderId="6" xfId="1" applyNumberFormat="1" applyFont="1" applyFill="1" applyBorder="1" applyAlignment="1">
      <alignment horizontal="left"/>
    </xf>
    <xf numFmtId="164" fontId="4" fillId="0" borderId="6" xfId="1" applyNumberFormat="1" applyFont="1" applyFill="1" applyBorder="1" applyAlignment="1">
      <alignment horizontal="left"/>
    </xf>
    <xf numFmtId="4" fontId="5" fillId="12" borderId="10" xfId="3" applyProtection="1">
      <protection locked="0"/>
    </xf>
    <xf numFmtId="165" fontId="4" fillId="0" borderId="6" xfId="1" applyNumberFormat="1" applyFont="1" applyFill="1" applyBorder="1"/>
    <xf numFmtId="43" fontId="6" fillId="0" borderId="8" xfId="4" applyNumberFormat="1" applyAlignment="1"/>
    <xf numFmtId="164" fontId="7" fillId="13" borderId="0" xfId="1" applyNumberFormat="1" applyFont="1" applyFill="1" applyAlignment="1">
      <alignment horizontal="center"/>
    </xf>
    <xf numFmtId="164" fontId="7" fillId="13" borderId="5" xfId="1" applyNumberFormat="1" applyFont="1" applyFill="1" applyBorder="1" applyAlignment="1">
      <alignment horizontal="center" vertical="center"/>
    </xf>
    <xf numFmtId="0" fontId="7" fillId="13" borderId="5" xfId="1" applyNumberFormat="1" applyFont="1" applyFill="1" applyBorder="1" applyAlignment="1">
      <alignment horizontal="center" vertical="center"/>
    </xf>
    <xf numFmtId="167" fontId="7" fillId="13" borderId="5" xfId="1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left"/>
    </xf>
    <xf numFmtId="164" fontId="4" fillId="0" borderId="0" xfId="1" applyNumberFormat="1" applyFont="1" applyAlignment="1">
      <alignment horizontal="center"/>
    </xf>
    <xf numFmtId="164" fontId="3" fillId="0" borderId="12" xfId="1" applyNumberFormat="1" applyFont="1" applyFill="1" applyBorder="1"/>
    <xf numFmtId="4" fontId="10" fillId="0" borderId="0" xfId="0" applyNumberFormat="1" applyFont="1"/>
    <xf numFmtId="0" fontId="0" fillId="0" borderId="8" xfId="0" applyBorder="1" applyAlignment="1">
      <alignment horizontal="center"/>
    </xf>
    <xf numFmtId="0" fontId="0" fillId="14" borderId="8" xfId="0" applyFill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165" fontId="0" fillId="0" borderId="8" xfId="1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0" borderId="0" xfId="0" applyNumberFormat="1"/>
    <xf numFmtId="0" fontId="11" fillId="15" borderId="0" xfId="0" applyFont="1" applyFill="1" applyAlignment="1">
      <alignment horizontal="center" vertical="center" wrapText="1"/>
    </xf>
    <xf numFmtId="167" fontId="11" fillId="15" borderId="0" xfId="0" applyNumberFormat="1" applyFont="1" applyFill="1" applyAlignment="1">
      <alignment horizontal="center" vertical="center" wrapText="1"/>
    </xf>
    <xf numFmtId="165" fontId="0" fillId="16" borderId="8" xfId="1" applyNumberFormat="1" applyFont="1" applyFill="1" applyBorder="1" applyAlignment="1">
      <alignment horizontal="center"/>
    </xf>
    <xf numFmtId="0" fontId="11" fillId="15" borderId="0" xfId="0" applyFont="1" applyFill="1" applyAlignment="1">
      <alignment horizontal="center" vertical="center"/>
    </xf>
    <xf numFmtId="164" fontId="2" fillId="0" borderId="1" xfId="0" applyNumberFormat="1" applyFont="1" applyBorder="1"/>
    <xf numFmtId="0" fontId="0" fillId="17" borderId="8" xfId="0" applyFill="1" applyBorder="1" applyAlignment="1">
      <alignment horizontal="center"/>
    </xf>
    <xf numFmtId="164" fontId="4" fillId="18" borderId="6" xfId="1" applyNumberFormat="1" applyFont="1" applyFill="1" applyBorder="1"/>
    <xf numFmtId="166" fontId="0" fillId="18" borderId="8" xfId="1" applyNumberFormat="1" applyFont="1" applyFill="1" applyBorder="1"/>
    <xf numFmtId="164" fontId="4" fillId="0" borderId="13" xfId="1" applyNumberFormat="1" applyFont="1" applyFill="1" applyBorder="1"/>
    <xf numFmtId="3" fontId="0" fillId="0" borderId="0" xfId="0" applyNumberFormat="1"/>
    <xf numFmtId="164" fontId="7" fillId="13" borderId="18" xfId="1" applyNumberFormat="1" applyFont="1" applyFill="1" applyBorder="1" applyAlignment="1">
      <alignment horizontal="center" vertical="center"/>
    </xf>
    <xf numFmtId="0" fontId="2" fillId="0" borderId="0" xfId="0" applyFont="1"/>
    <xf numFmtId="43" fontId="2" fillId="0" borderId="0" xfId="0" applyNumberFormat="1" applyFont="1"/>
    <xf numFmtId="164" fontId="3" fillId="0" borderId="25" xfId="1" applyNumberFormat="1" applyFont="1" applyFill="1" applyBorder="1"/>
    <xf numFmtId="164" fontId="4" fillId="16" borderId="3" xfId="1" applyNumberFormat="1" applyFont="1" applyFill="1" applyBorder="1"/>
    <xf numFmtId="164" fontId="3" fillId="16" borderId="3" xfId="1" applyNumberFormat="1" applyFont="1" applyFill="1" applyBorder="1"/>
    <xf numFmtId="164" fontId="3" fillId="16" borderId="20" xfId="1" applyNumberFormat="1" applyFont="1" applyFill="1" applyBorder="1" applyAlignment="1">
      <alignment horizontal="center"/>
    </xf>
    <xf numFmtId="164" fontId="3" fillId="16" borderId="21" xfId="1" applyNumberFormat="1" applyFont="1" applyFill="1" applyBorder="1" applyAlignment="1">
      <alignment horizontal="center"/>
    </xf>
    <xf numFmtId="164" fontId="3" fillId="16" borderId="27" xfId="1" applyNumberFormat="1" applyFont="1" applyFill="1" applyBorder="1"/>
    <xf numFmtId="164" fontId="3" fillId="16" borderId="2" xfId="1" applyNumberFormat="1" applyFont="1" applyFill="1" applyBorder="1" applyAlignment="1"/>
    <xf numFmtId="164" fontId="3" fillId="16" borderId="26" xfId="1" applyNumberFormat="1" applyFont="1" applyFill="1" applyBorder="1" applyAlignment="1"/>
    <xf numFmtId="4" fontId="27" fillId="0" borderId="37" xfId="0" applyNumberFormat="1" applyFont="1" applyBorder="1" applyAlignment="1">
      <alignment wrapText="1"/>
    </xf>
    <xf numFmtId="0" fontId="4" fillId="5" borderId="0" xfId="1" applyNumberFormat="1" applyFont="1" applyFill="1" applyBorder="1" applyAlignment="1">
      <alignment horizontal="center"/>
    </xf>
    <xf numFmtId="164" fontId="48" fillId="0" borderId="1" xfId="1" applyNumberFormat="1" applyFont="1" applyBorder="1" applyAlignment="1">
      <alignment horizontal="center"/>
    </xf>
    <xf numFmtId="0" fontId="49" fillId="0" borderId="2" xfId="0" applyFont="1" applyBorder="1"/>
    <xf numFmtId="164" fontId="50" fillId="0" borderId="3" xfId="1" applyNumberFormat="1" applyFont="1" applyBorder="1"/>
    <xf numFmtId="164" fontId="50" fillId="0" borderId="0" xfId="1" applyNumberFormat="1" applyFont="1"/>
    <xf numFmtId="0" fontId="50" fillId="0" borderId="0" xfId="1" applyNumberFormat="1" applyFont="1"/>
    <xf numFmtId="4" fontId="51" fillId="0" borderId="0" xfId="0" applyNumberFormat="1" applyFont="1"/>
    <xf numFmtId="4" fontId="52" fillId="0" borderId="37" xfId="0" applyNumberFormat="1" applyFont="1" applyBorder="1" applyAlignment="1">
      <alignment wrapText="1"/>
    </xf>
    <xf numFmtId="164" fontId="50" fillId="0" borderId="0" xfId="1" applyNumberFormat="1" applyFont="1" applyFill="1"/>
    <xf numFmtId="43" fontId="52" fillId="0" borderId="0" xfId="1" applyFont="1"/>
    <xf numFmtId="0" fontId="49" fillId="0" borderId="0" xfId="0" applyFont="1"/>
    <xf numFmtId="43" fontId="49" fillId="0" borderId="1" xfId="1" applyFont="1" applyBorder="1" applyAlignment="1">
      <alignment horizontal="center"/>
    </xf>
    <xf numFmtId="43" fontId="49" fillId="0" borderId="3" xfId="1" applyFont="1" applyBorder="1" applyAlignment="1">
      <alignment horizontal="center"/>
    </xf>
    <xf numFmtId="164" fontId="48" fillId="0" borderId="4" xfId="1" applyNumberFormat="1" applyFont="1" applyFill="1" applyBorder="1" applyAlignment="1">
      <alignment horizontal="center" vertical="center"/>
    </xf>
    <xf numFmtId="164" fontId="48" fillId="0" borderId="5" xfId="1" applyNumberFormat="1" applyFont="1" applyFill="1" applyBorder="1" applyAlignment="1">
      <alignment horizontal="center" vertical="center"/>
    </xf>
    <xf numFmtId="0" fontId="48" fillId="0" borderId="5" xfId="1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43" fontId="49" fillId="0" borderId="49" xfId="1" applyFont="1" applyBorder="1" applyAlignment="1">
      <alignment horizontal="center" vertical="center"/>
    </xf>
    <xf numFmtId="165" fontId="50" fillId="2" borderId="6" xfId="1" applyNumberFormat="1" applyFont="1" applyFill="1" applyBorder="1" applyAlignment="1">
      <alignment horizontal="center" vertical="center"/>
    </xf>
    <xf numFmtId="164" fontId="50" fillId="2" borderId="6" xfId="1" applyNumberFormat="1" applyFont="1" applyFill="1" applyBorder="1"/>
    <xf numFmtId="0" fontId="52" fillId="0" borderId="0" xfId="0" applyFont="1"/>
    <xf numFmtId="0" fontId="49" fillId="0" borderId="49" xfId="0" applyFont="1" applyBorder="1" applyAlignment="1">
      <alignment horizontal="center"/>
    </xf>
    <xf numFmtId="43" fontId="49" fillId="0" borderId="27" xfId="0" applyNumberFormat="1" applyFont="1" applyBorder="1" applyAlignment="1">
      <alignment horizontal="center"/>
    </xf>
    <xf numFmtId="165" fontId="50" fillId="5" borderId="6" xfId="1" applyNumberFormat="1" applyFont="1" applyFill="1" applyBorder="1" applyAlignment="1">
      <alignment horizontal="center" vertical="center"/>
    </xf>
    <xf numFmtId="164" fontId="50" fillId="5" borderId="6" xfId="1" applyNumberFormat="1" applyFont="1" applyFill="1" applyBorder="1"/>
    <xf numFmtId="0" fontId="50" fillId="5" borderId="6" xfId="1" applyNumberFormat="1" applyFont="1" applyFill="1" applyBorder="1" applyAlignment="1">
      <alignment horizontal="left"/>
    </xf>
    <xf numFmtId="164" fontId="50" fillId="5" borderId="6" xfId="1" applyNumberFormat="1" applyFont="1" applyFill="1" applyBorder="1" applyAlignment="1">
      <alignment horizontal="left"/>
    </xf>
    <xf numFmtId="165" fontId="50" fillId="5" borderId="6" xfId="1" applyNumberFormat="1" applyFont="1" applyFill="1" applyBorder="1"/>
    <xf numFmtId="165" fontId="50" fillId="4" borderId="6" xfId="1" applyNumberFormat="1" applyFont="1" applyFill="1" applyBorder="1" applyAlignment="1">
      <alignment horizontal="center" vertical="center"/>
    </xf>
    <xf numFmtId="164" fontId="50" fillId="4" borderId="6" xfId="1" applyNumberFormat="1" applyFont="1" applyFill="1" applyBorder="1"/>
    <xf numFmtId="165" fontId="50" fillId="6" borderId="6" xfId="1" applyNumberFormat="1" applyFont="1" applyFill="1" applyBorder="1" applyAlignment="1">
      <alignment horizontal="center" vertical="center"/>
    </xf>
    <xf numFmtId="164" fontId="50" fillId="6" borderId="6" xfId="1" applyNumberFormat="1" applyFont="1" applyFill="1" applyBorder="1"/>
    <xf numFmtId="43" fontId="52" fillId="0" borderId="0" xfId="0" applyNumberFormat="1" applyFont="1"/>
    <xf numFmtId="165" fontId="50" fillId="7" borderId="6" xfId="1" applyNumberFormat="1" applyFont="1" applyFill="1" applyBorder="1" applyAlignment="1">
      <alignment horizontal="center" vertical="center"/>
    </xf>
    <xf numFmtId="164" fontId="50" fillId="7" borderId="6" xfId="1" applyNumberFormat="1" applyFont="1" applyFill="1" applyBorder="1"/>
    <xf numFmtId="165" fontId="50" fillId="8" borderId="6" xfId="1" applyNumberFormat="1" applyFont="1" applyFill="1" applyBorder="1" applyAlignment="1">
      <alignment horizontal="center" vertical="center"/>
    </xf>
    <xf numFmtId="164" fontId="50" fillId="8" borderId="6" xfId="1" applyNumberFormat="1" applyFont="1" applyFill="1" applyBorder="1"/>
    <xf numFmtId="165" fontId="50" fillId="9" borderId="6" xfId="1" applyNumberFormat="1" applyFont="1" applyFill="1" applyBorder="1" applyAlignment="1">
      <alignment horizontal="center" vertical="center"/>
    </xf>
    <xf numFmtId="164" fontId="50" fillId="9" borderId="6" xfId="1" applyNumberFormat="1" applyFont="1" applyFill="1" applyBorder="1"/>
    <xf numFmtId="165" fontId="50" fillId="10" borderId="6" xfId="1" applyNumberFormat="1" applyFont="1" applyFill="1" applyBorder="1" applyAlignment="1">
      <alignment horizontal="center" vertical="center"/>
    </xf>
    <xf numFmtId="164" fontId="50" fillId="10" borderId="6" xfId="1" applyNumberFormat="1" applyFont="1" applyFill="1" applyBorder="1"/>
    <xf numFmtId="164" fontId="50" fillId="10" borderId="7" xfId="1" applyNumberFormat="1" applyFont="1" applyFill="1" applyBorder="1"/>
    <xf numFmtId="4" fontId="49" fillId="0" borderId="1" xfId="0" applyNumberFormat="1" applyFont="1" applyBorder="1"/>
    <xf numFmtId="164" fontId="48" fillId="0" borderId="0" xfId="1" applyNumberFormat="1" applyFont="1" applyFill="1" applyBorder="1" applyAlignment="1">
      <alignment horizontal="center" vertical="center"/>
    </xf>
    <xf numFmtId="164" fontId="48" fillId="0" borderId="0" xfId="1" applyNumberFormat="1" applyFont="1" applyFill="1" applyBorder="1"/>
    <xf numFmtId="0" fontId="48" fillId="0" borderId="0" xfId="1" applyNumberFormat="1" applyFont="1" applyFill="1" applyBorder="1" applyAlignment="1">
      <alignment horizontal="left"/>
    </xf>
    <xf numFmtId="164" fontId="48" fillId="0" borderId="0" xfId="1" applyNumberFormat="1" applyFont="1" applyFill="1" applyBorder="1" applyAlignment="1">
      <alignment horizontal="left"/>
    </xf>
    <xf numFmtId="164" fontId="48" fillId="0" borderId="1" xfId="1" applyNumberFormat="1" applyFont="1" applyBorder="1"/>
    <xf numFmtId="164" fontId="48" fillId="0" borderId="1" xfId="1" applyNumberFormat="1" applyFont="1" applyFill="1" applyBorder="1"/>
    <xf numFmtId="164" fontId="48" fillId="0" borderId="1" xfId="1" applyNumberFormat="1" applyFont="1" applyFill="1" applyBorder="1" applyAlignment="1">
      <alignment horizontal="center"/>
    </xf>
    <xf numFmtId="164" fontId="48" fillId="16" borderId="2" xfId="1" applyNumberFormat="1" applyFont="1" applyFill="1" applyBorder="1" applyAlignment="1"/>
    <xf numFmtId="164" fontId="48" fillId="16" borderId="3" xfId="1" applyNumberFormat="1" applyFont="1" applyFill="1" applyBorder="1"/>
    <xf numFmtId="164" fontId="48" fillId="0" borderId="0" xfId="1" applyNumberFormat="1" applyFont="1" applyBorder="1"/>
    <xf numFmtId="164" fontId="48" fillId="0" borderId="0" xfId="1" applyNumberFormat="1" applyFont="1" applyFill="1" applyBorder="1" applyAlignment="1">
      <alignment horizontal="center"/>
    </xf>
    <xf numFmtId="4" fontId="49" fillId="0" borderId="0" xfId="0" applyNumberFormat="1" applyFont="1"/>
    <xf numFmtId="164" fontId="48" fillId="16" borderId="20" xfId="1" applyNumberFormat="1" applyFont="1" applyFill="1" applyBorder="1" applyAlignment="1">
      <alignment horizontal="center"/>
    </xf>
    <xf numFmtId="164" fontId="48" fillId="16" borderId="21" xfId="1" applyNumberFormat="1" applyFont="1" applyFill="1" applyBorder="1" applyAlignment="1">
      <alignment horizontal="center"/>
    </xf>
    <xf numFmtId="164" fontId="48" fillId="16" borderId="27" xfId="1" applyNumberFormat="1" applyFont="1" applyFill="1" applyBorder="1"/>
    <xf numFmtId="0" fontId="50" fillId="5" borderId="8" xfId="1" applyNumberFormat="1" applyFont="1" applyFill="1" applyBorder="1" applyAlignment="1">
      <alignment horizontal="center"/>
    </xf>
    <xf numFmtId="164" fontId="50" fillId="5" borderId="8" xfId="1" applyNumberFormat="1" applyFont="1" applyFill="1" applyBorder="1"/>
    <xf numFmtId="0" fontId="50" fillId="5" borderId="8" xfId="1" applyNumberFormat="1" applyFont="1" applyFill="1" applyBorder="1" applyAlignment="1">
      <alignment horizontal="left"/>
    </xf>
    <xf numFmtId="164" fontId="50" fillId="5" borderId="5" xfId="1" applyNumberFormat="1" applyFont="1" applyFill="1" applyBorder="1"/>
    <xf numFmtId="0" fontId="50" fillId="5" borderId="0" xfId="1" applyNumberFormat="1" applyFont="1" applyFill="1" applyBorder="1" applyAlignment="1">
      <alignment horizontal="center"/>
    </xf>
    <xf numFmtId="164" fontId="50" fillId="2" borderId="8" xfId="1" applyNumberFormat="1" applyFont="1" applyFill="1" applyBorder="1"/>
    <xf numFmtId="0" fontId="50" fillId="2" borderId="8" xfId="1" applyNumberFormat="1" applyFont="1" applyFill="1" applyBorder="1" applyAlignment="1">
      <alignment horizontal="left"/>
    </xf>
    <xf numFmtId="4" fontId="49" fillId="0" borderId="3" xfId="0" applyNumberFormat="1" applyFont="1" applyBorder="1"/>
    <xf numFmtId="164" fontId="48" fillId="16" borderId="26" xfId="1" applyNumberFormat="1" applyFont="1" applyFill="1" applyBorder="1" applyAlignment="1"/>
    <xf numFmtId="0" fontId="50" fillId="2" borderId="8" xfId="1" applyNumberFormat="1" applyFont="1" applyFill="1" applyBorder="1" applyAlignment="1">
      <alignment horizontal="center"/>
    </xf>
    <xf numFmtId="0" fontId="50" fillId="11" borderId="8" xfId="1" applyNumberFormat="1" applyFont="1" applyFill="1" applyBorder="1" applyAlignment="1">
      <alignment horizontal="center"/>
    </xf>
    <xf numFmtId="164" fontId="50" fillId="11" borderId="8" xfId="1" applyNumberFormat="1" applyFont="1" applyFill="1" applyBorder="1"/>
    <xf numFmtId="0" fontId="50" fillId="11" borderId="8" xfId="1" applyNumberFormat="1" applyFont="1" applyFill="1" applyBorder="1"/>
    <xf numFmtId="0" fontId="50" fillId="0" borderId="0" xfId="1" applyNumberFormat="1" applyFont="1" applyFill="1" applyBorder="1" applyAlignment="1">
      <alignment horizontal="center"/>
    </xf>
    <xf numFmtId="164" fontId="50" fillId="0" borderId="0" xfId="1" applyNumberFormat="1" applyFont="1" applyBorder="1"/>
    <xf numFmtId="164" fontId="50" fillId="0" borderId="0" xfId="1" applyNumberFormat="1" applyFont="1" applyFill="1" applyBorder="1"/>
    <xf numFmtId="0" fontId="50" fillId="0" borderId="0" xfId="1" applyNumberFormat="1" applyFont="1" applyFill="1" applyBorder="1"/>
    <xf numFmtId="43" fontId="49" fillId="0" borderId="0" xfId="1" applyFont="1"/>
    <xf numFmtId="43" fontId="49" fillId="0" borderId="3" xfId="1" applyFont="1" applyBorder="1"/>
    <xf numFmtId="164" fontId="50" fillId="5" borderId="9" xfId="1" applyNumberFormat="1" applyFont="1" applyFill="1" applyBorder="1"/>
    <xf numFmtId="0" fontId="49" fillId="0" borderId="1" xfId="0" applyFont="1" applyBorder="1" applyAlignment="1">
      <alignment horizontal="center"/>
    </xf>
    <xf numFmtId="43" fontId="49" fillId="0" borderId="1" xfId="0" applyNumberFormat="1" applyFont="1" applyBorder="1"/>
    <xf numFmtId="165" fontId="50" fillId="0" borderId="6" xfId="1" applyNumberFormat="1" applyFont="1" applyFill="1" applyBorder="1" applyAlignment="1">
      <alignment horizontal="center" vertical="center"/>
    </xf>
    <xf numFmtId="164" fontId="50" fillId="0" borderId="6" xfId="1" applyNumberFormat="1" applyFont="1" applyFill="1" applyBorder="1"/>
    <xf numFmtId="0" fontId="50" fillId="0" borderId="6" xfId="1" applyNumberFormat="1" applyFont="1" applyFill="1" applyBorder="1" applyAlignment="1">
      <alignment horizontal="left"/>
    </xf>
    <xf numFmtId="164" fontId="50" fillId="0" borderId="6" xfId="1" applyNumberFormat="1" applyFont="1" applyFill="1" applyBorder="1" applyAlignment="1">
      <alignment horizontal="left"/>
    </xf>
    <xf numFmtId="165" fontId="50" fillId="0" borderId="6" xfId="1" applyNumberFormat="1" applyFont="1" applyFill="1" applyBorder="1"/>
    <xf numFmtId="4" fontId="52" fillId="0" borderId="0" xfId="0" applyNumberFormat="1" applyFont="1"/>
    <xf numFmtId="164" fontId="50" fillId="16" borderId="3" xfId="1" applyNumberFormat="1" applyFont="1" applyFill="1" applyBorder="1"/>
    <xf numFmtId="43" fontId="49" fillId="0" borderId="0" xfId="0" applyNumberFormat="1" applyFont="1"/>
    <xf numFmtId="164" fontId="53" fillId="13" borderId="0" xfId="1" applyNumberFormat="1" applyFont="1" applyFill="1" applyAlignment="1">
      <alignment horizontal="center"/>
    </xf>
    <xf numFmtId="164" fontId="53" fillId="13" borderId="5" xfId="1" applyNumberFormat="1" applyFont="1" applyFill="1" applyBorder="1" applyAlignment="1">
      <alignment horizontal="center" vertical="center"/>
    </xf>
    <xf numFmtId="0" fontId="53" fillId="13" borderId="5" xfId="1" applyNumberFormat="1" applyFont="1" applyFill="1" applyBorder="1" applyAlignment="1">
      <alignment horizontal="center" vertical="center"/>
    </xf>
    <xf numFmtId="167" fontId="53" fillId="13" borderId="5" xfId="1" applyNumberFormat="1" applyFont="1" applyFill="1" applyBorder="1" applyAlignment="1">
      <alignment horizontal="center" vertical="center"/>
    </xf>
    <xf numFmtId="164" fontId="50" fillId="0" borderId="6" xfId="1" applyNumberFormat="1" applyFont="1" applyFill="1" applyBorder="1" applyAlignment="1">
      <alignment horizontal="center"/>
    </xf>
    <xf numFmtId="0" fontId="50" fillId="0" borderId="11" xfId="1" applyNumberFormat="1" applyFont="1" applyFill="1" applyBorder="1" applyAlignment="1">
      <alignment horizontal="left"/>
    </xf>
    <xf numFmtId="164" fontId="50" fillId="0" borderId="13" xfId="1" applyNumberFormat="1" applyFont="1" applyFill="1" applyBorder="1"/>
    <xf numFmtId="164" fontId="50" fillId="0" borderId="0" xfId="1" applyNumberFormat="1" applyFont="1" applyAlignment="1">
      <alignment horizontal="center"/>
    </xf>
    <xf numFmtId="164" fontId="48" fillId="0" borderId="25" xfId="1" applyNumberFormat="1" applyFont="1" applyFill="1" applyBorder="1"/>
    <xf numFmtId="164" fontId="48" fillId="0" borderId="12" xfId="1" applyNumberFormat="1" applyFont="1" applyFill="1" applyBorder="1"/>
    <xf numFmtId="4" fontId="49" fillId="0" borderId="2" xfId="0" applyNumberFormat="1" applyFont="1" applyBorder="1"/>
    <xf numFmtId="0" fontId="52" fillId="0" borderId="19" xfId="0" applyFont="1" applyBorder="1"/>
    <xf numFmtId="0" fontId="52" fillId="0" borderId="48" xfId="0" applyFont="1" applyBorder="1"/>
    <xf numFmtId="3" fontId="52" fillId="0" borderId="48" xfId="0" applyNumberFormat="1" applyFont="1" applyBorder="1"/>
    <xf numFmtId="0" fontId="0" fillId="0" borderId="1" xfId="0" applyBorder="1"/>
    <xf numFmtId="165" fontId="50" fillId="16" borderId="6" xfId="1" applyNumberFormat="1" applyFont="1" applyFill="1" applyBorder="1"/>
    <xf numFmtId="3" fontId="52" fillId="0" borderId="0" xfId="0" applyNumberFormat="1" applyFont="1"/>
    <xf numFmtId="10" fontId="0" fillId="0" borderId="0" xfId="0" applyNumberFormat="1"/>
    <xf numFmtId="4" fontId="54" fillId="0" borderId="0" xfId="0" applyNumberFormat="1" applyFont="1"/>
    <xf numFmtId="165" fontId="50" fillId="10" borderId="0" xfId="1" applyNumberFormat="1" applyFont="1" applyFill="1" applyBorder="1" applyAlignment="1">
      <alignment horizontal="center" vertical="center"/>
    </xf>
    <xf numFmtId="164" fontId="50" fillId="10" borderId="0" xfId="1" applyNumberFormat="1" applyFont="1" applyFill="1" applyBorder="1"/>
    <xf numFmtId="0" fontId="50" fillId="10" borderId="0" xfId="1" applyNumberFormat="1" applyFont="1" applyFill="1" applyBorder="1" applyAlignment="1">
      <alignment horizontal="left"/>
    </xf>
    <xf numFmtId="164" fontId="50" fillId="10" borderId="0" xfId="1" applyNumberFormat="1" applyFont="1" applyFill="1" applyBorder="1" applyAlignment="1">
      <alignment horizontal="left"/>
    </xf>
    <xf numFmtId="165" fontId="50" fillId="10" borderId="0" xfId="1" applyNumberFormat="1" applyFont="1" applyFill="1" applyBorder="1"/>
    <xf numFmtId="165" fontId="4" fillId="10" borderId="0" xfId="1" applyNumberFormat="1" applyFont="1" applyFill="1" applyBorder="1"/>
    <xf numFmtId="3" fontId="52" fillId="0" borderId="19" xfId="0" applyNumberFormat="1" applyFont="1" applyBorder="1"/>
    <xf numFmtId="4" fontId="52" fillId="0" borderId="48" xfId="0" applyNumberFormat="1" applyFont="1" applyBorder="1"/>
    <xf numFmtId="43" fontId="52" fillId="0" borderId="23" xfId="0" applyNumberFormat="1" applyFont="1" applyBorder="1"/>
    <xf numFmtId="43" fontId="0" fillId="0" borderId="48" xfId="1" applyFont="1" applyBorder="1"/>
    <xf numFmtId="164" fontId="4" fillId="0" borderId="19" xfId="1" applyNumberFormat="1" applyFont="1" applyBorder="1"/>
    <xf numFmtId="164" fontId="4" fillId="0" borderId="20" xfId="1" applyNumberFormat="1" applyFont="1" applyBorder="1"/>
    <xf numFmtId="0" fontId="4" fillId="0" borderId="21" xfId="1" applyNumberFormat="1" applyFont="1" applyBorder="1"/>
    <xf numFmtId="164" fontId="4" fillId="0" borderId="27" xfId="1" applyNumberFormat="1" applyFont="1" applyBorder="1"/>
    <xf numFmtId="3" fontId="55" fillId="74" borderId="50" xfId="0" applyNumberFormat="1" applyFont="1" applyFill="1" applyBorder="1" applyAlignment="1">
      <alignment horizontal="right" vertical="center" wrapText="1"/>
    </xf>
    <xf numFmtId="3" fontId="55" fillId="74" borderId="51" xfId="0" applyNumberFormat="1" applyFont="1" applyFill="1" applyBorder="1" applyAlignment="1">
      <alignment horizontal="right" vertical="center" wrapText="1"/>
    </xf>
    <xf numFmtId="164" fontId="56" fillId="0" borderId="2" xfId="1" applyNumberFormat="1" applyFont="1" applyBorder="1"/>
    <xf numFmtId="16" fontId="3" fillId="0" borderId="26" xfId="1" applyNumberFormat="1" applyFont="1" applyBorder="1"/>
    <xf numFmtId="16" fontId="3" fillId="0" borderId="3" xfId="1" applyNumberFormat="1" applyFont="1" applyBorder="1"/>
    <xf numFmtId="43" fontId="52" fillId="0" borderId="19" xfId="1" applyFont="1" applyBorder="1"/>
    <xf numFmtId="43" fontId="52" fillId="0" borderId="48" xfId="0" applyNumberFormat="1" applyFont="1" applyBorder="1"/>
    <xf numFmtId="4" fontId="52" fillId="0" borderId="19" xfId="0" applyNumberFormat="1" applyFont="1" applyBorder="1"/>
    <xf numFmtId="43" fontId="52" fillId="0" borderId="19" xfId="0" applyNumberFormat="1" applyFont="1" applyBorder="1"/>
    <xf numFmtId="0" fontId="52" fillId="0" borderId="22" xfId="0" applyFont="1" applyBorder="1"/>
    <xf numFmtId="0" fontId="52" fillId="0" borderId="23" xfId="0" applyFont="1" applyBorder="1"/>
    <xf numFmtId="43" fontId="2" fillId="0" borderId="19" xfId="1" applyFont="1" applyBorder="1"/>
    <xf numFmtId="4" fontId="10" fillId="0" borderId="19" xfId="0" applyNumberFormat="1" applyFont="1" applyBorder="1"/>
    <xf numFmtId="164" fontId="50" fillId="2" borderId="11" xfId="1" applyNumberFormat="1" applyFont="1" applyFill="1" applyBorder="1"/>
    <xf numFmtId="164" fontId="50" fillId="5" borderId="11" xfId="1" applyNumberFormat="1" applyFont="1" applyFill="1" applyBorder="1"/>
    <xf numFmtId="164" fontId="50" fillId="4" borderId="11" xfId="1" applyNumberFormat="1" applyFont="1" applyFill="1" applyBorder="1"/>
    <xf numFmtId="164" fontId="50" fillId="6" borderId="11" xfId="1" applyNumberFormat="1" applyFont="1" applyFill="1" applyBorder="1"/>
    <xf numFmtId="164" fontId="50" fillId="7" borderId="11" xfId="1" applyNumberFormat="1" applyFont="1" applyFill="1" applyBorder="1"/>
    <xf numFmtId="164" fontId="50" fillId="8" borderId="11" xfId="1" applyNumberFormat="1" applyFont="1" applyFill="1" applyBorder="1"/>
    <xf numFmtId="164" fontId="50" fillId="9" borderId="11" xfId="1" applyNumberFormat="1" applyFont="1" applyFill="1" applyBorder="1"/>
    <xf numFmtId="164" fontId="50" fillId="10" borderId="11" xfId="1" applyNumberFormat="1" applyFont="1" applyFill="1" applyBorder="1"/>
    <xf numFmtId="164" fontId="48" fillId="0" borderId="49" xfId="1" applyNumberFormat="1" applyFont="1" applyBorder="1"/>
    <xf numFmtId="164" fontId="48" fillId="0" borderId="49" xfId="1" applyNumberFormat="1" applyFont="1" applyFill="1" applyBorder="1"/>
    <xf numFmtId="164" fontId="50" fillId="2" borderId="8" xfId="1" applyNumberFormat="1" applyFont="1" applyFill="1" applyBorder="1" applyAlignment="1">
      <alignment horizontal="left"/>
    </xf>
    <xf numFmtId="164" fontId="50" fillId="3" borderId="8" xfId="1" applyNumberFormat="1" applyFont="1" applyFill="1" applyBorder="1"/>
    <xf numFmtId="164" fontId="4" fillId="3" borderId="8" xfId="1" applyNumberFormat="1" applyFont="1" applyFill="1" applyBorder="1"/>
    <xf numFmtId="165" fontId="50" fillId="2" borderId="8" xfId="1" applyNumberFormat="1" applyFont="1" applyFill="1" applyBorder="1"/>
    <xf numFmtId="164" fontId="50" fillId="5" borderId="8" xfId="1" applyNumberFormat="1" applyFont="1" applyFill="1" applyBorder="1" applyAlignment="1">
      <alignment horizontal="left"/>
    </xf>
    <xf numFmtId="165" fontId="50" fillId="5" borderId="8" xfId="1" applyNumberFormat="1" applyFont="1" applyFill="1" applyBorder="1"/>
    <xf numFmtId="165" fontId="4" fillId="5" borderId="8" xfId="1" applyNumberFormat="1" applyFont="1" applyFill="1" applyBorder="1"/>
    <xf numFmtId="0" fontId="50" fillId="4" borderId="8" xfId="1" applyNumberFormat="1" applyFont="1" applyFill="1" applyBorder="1" applyAlignment="1">
      <alignment horizontal="left"/>
    </xf>
    <xf numFmtId="164" fontId="50" fillId="4" borderId="8" xfId="1" applyNumberFormat="1" applyFont="1" applyFill="1" applyBorder="1" applyAlignment="1">
      <alignment horizontal="left"/>
    </xf>
    <xf numFmtId="164" fontId="50" fillId="4" borderId="8" xfId="1" applyNumberFormat="1" applyFont="1" applyFill="1" applyBorder="1"/>
    <xf numFmtId="165" fontId="50" fillId="4" borderId="8" xfId="1" applyNumberFormat="1" applyFont="1" applyFill="1" applyBorder="1"/>
    <xf numFmtId="165" fontId="4" fillId="4" borderId="8" xfId="1" applyNumberFormat="1" applyFont="1" applyFill="1" applyBorder="1"/>
    <xf numFmtId="0" fontId="50" fillId="6" borderId="8" xfId="1" applyNumberFormat="1" applyFont="1" applyFill="1" applyBorder="1" applyAlignment="1">
      <alignment horizontal="left"/>
    </xf>
    <xf numFmtId="164" fontId="50" fillId="6" borderId="8" xfId="1" applyNumberFormat="1" applyFont="1" applyFill="1" applyBorder="1" applyAlignment="1">
      <alignment horizontal="left"/>
    </xf>
    <xf numFmtId="164" fontId="50" fillId="6" borderId="8" xfId="1" applyNumberFormat="1" applyFont="1" applyFill="1" applyBorder="1"/>
    <xf numFmtId="165" fontId="50" fillId="6" borderId="8" xfId="1" applyNumberFormat="1" applyFont="1" applyFill="1" applyBorder="1"/>
    <xf numFmtId="165" fontId="4" fillId="6" borderId="8" xfId="1" applyNumberFormat="1" applyFont="1" applyFill="1" applyBorder="1"/>
    <xf numFmtId="0" fontId="50" fillId="7" borderId="8" xfId="1" applyNumberFormat="1" applyFont="1" applyFill="1" applyBorder="1" applyAlignment="1">
      <alignment horizontal="left"/>
    </xf>
    <xf numFmtId="164" fontId="50" fillId="7" borderId="8" xfId="1" applyNumberFormat="1" applyFont="1" applyFill="1" applyBorder="1" applyAlignment="1">
      <alignment horizontal="left"/>
    </xf>
    <xf numFmtId="164" fontId="50" fillId="7" borderId="8" xfId="1" applyNumberFormat="1" applyFont="1" applyFill="1" applyBorder="1"/>
    <xf numFmtId="165" fontId="50" fillId="7" borderId="8" xfId="1" applyNumberFormat="1" applyFont="1" applyFill="1" applyBorder="1"/>
    <xf numFmtId="165" fontId="4" fillId="7" borderId="8" xfId="1" applyNumberFormat="1" applyFont="1" applyFill="1" applyBorder="1"/>
    <xf numFmtId="0" fontId="50" fillId="8" borderId="8" xfId="1" applyNumberFormat="1" applyFont="1" applyFill="1" applyBorder="1" applyAlignment="1">
      <alignment horizontal="left"/>
    </xf>
    <xf numFmtId="164" fontId="50" fillId="8" borderId="8" xfId="1" applyNumberFormat="1" applyFont="1" applyFill="1" applyBorder="1" applyAlignment="1">
      <alignment horizontal="left"/>
    </xf>
    <xf numFmtId="164" fontId="50" fillId="8" borderId="8" xfId="1" applyNumberFormat="1" applyFont="1" applyFill="1" applyBorder="1"/>
    <xf numFmtId="165" fontId="50" fillId="8" borderId="8" xfId="1" applyNumberFormat="1" applyFont="1" applyFill="1" applyBorder="1"/>
    <xf numFmtId="164" fontId="4" fillId="8" borderId="8" xfId="1" applyNumberFormat="1" applyFont="1" applyFill="1" applyBorder="1"/>
    <xf numFmtId="165" fontId="4" fillId="8" borderId="8" xfId="1" applyNumberFormat="1" applyFont="1" applyFill="1" applyBorder="1"/>
    <xf numFmtId="0" fontId="50" fillId="9" borderId="8" xfId="1" applyNumberFormat="1" applyFont="1" applyFill="1" applyBorder="1" applyAlignment="1">
      <alignment horizontal="left"/>
    </xf>
    <xf numFmtId="164" fontId="50" fillId="9" borderId="8" xfId="1" applyNumberFormat="1" applyFont="1" applyFill="1" applyBorder="1" applyAlignment="1">
      <alignment horizontal="left"/>
    </xf>
    <xf numFmtId="164" fontId="50" fillId="9" borderId="8" xfId="1" applyNumberFormat="1" applyFont="1" applyFill="1" applyBorder="1"/>
    <xf numFmtId="165" fontId="50" fillId="9" borderId="8" xfId="1" applyNumberFormat="1" applyFont="1" applyFill="1" applyBorder="1"/>
    <xf numFmtId="0" fontId="50" fillId="10" borderId="8" xfId="1" applyNumberFormat="1" applyFont="1" applyFill="1" applyBorder="1" applyAlignment="1">
      <alignment horizontal="left"/>
    </xf>
    <xf numFmtId="164" fontId="50" fillId="10" borderId="8" xfId="1" applyNumberFormat="1" applyFont="1" applyFill="1" applyBorder="1" applyAlignment="1">
      <alignment horizontal="left"/>
    </xf>
    <xf numFmtId="164" fontId="50" fillId="10" borderId="8" xfId="1" applyNumberFormat="1" applyFont="1" applyFill="1" applyBorder="1"/>
    <xf numFmtId="165" fontId="50" fillId="10" borderId="8" xfId="1" applyNumberFormat="1" applyFont="1" applyFill="1" applyBorder="1"/>
    <xf numFmtId="165" fontId="4" fillId="10" borderId="8" xfId="1" applyNumberFormat="1" applyFont="1" applyFill="1" applyBorder="1"/>
    <xf numFmtId="4" fontId="57" fillId="0" borderId="0" xfId="0" applyNumberFormat="1" applyFont="1"/>
    <xf numFmtId="165" fontId="50" fillId="0" borderId="11" xfId="1" applyNumberFormat="1" applyFont="1" applyFill="1" applyBorder="1"/>
    <xf numFmtId="164" fontId="50" fillId="0" borderId="52" xfId="1" applyNumberFormat="1" applyFont="1" applyFill="1" applyBorder="1"/>
    <xf numFmtId="164" fontId="50" fillId="0" borderId="9" xfId="1" applyNumberFormat="1" applyFont="1" applyFill="1" applyBorder="1"/>
    <xf numFmtId="165" fontId="1" fillId="0" borderId="8" xfId="1" applyNumberFormat="1" applyFont="1" applyFill="1" applyBorder="1"/>
    <xf numFmtId="164" fontId="50" fillId="0" borderId="8" xfId="1" applyNumberFormat="1" applyFont="1" applyFill="1" applyBorder="1"/>
    <xf numFmtId="166" fontId="0" fillId="0" borderId="8" xfId="146" applyNumberFormat="1" applyFont="1" applyBorder="1"/>
    <xf numFmtId="164" fontId="0" fillId="0" borderId="0" xfId="1" applyNumberFormat="1" applyFont="1"/>
    <xf numFmtId="9" fontId="0" fillId="0" borderId="0" xfId="0" applyNumberFormat="1"/>
    <xf numFmtId="164" fontId="50" fillId="18" borderId="6" xfId="1" applyNumberFormat="1" applyFont="1" applyFill="1" applyBorder="1"/>
    <xf numFmtId="164" fontId="50" fillId="18" borderId="8" xfId="1" applyNumberFormat="1" applyFont="1" applyFill="1" applyBorder="1"/>
    <xf numFmtId="164" fontId="50" fillId="18" borderId="9" xfId="1" applyNumberFormat="1" applyFont="1" applyFill="1" applyBorder="1"/>
    <xf numFmtId="164" fontId="50" fillId="18" borderId="13" xfId="1" applyNumberFormat="1" applyFont="1" applyFill="1" applyBorder="1"/>
    <xf numFmtId="164" fontId="48" fillId="0" borderId="17" xfId="1" applyNumberFormat="1" applyFont="1" applyFill="1" applyBorder="1"/>
    <xf numFmtId="165" fontId="50" fillId="5" borderId="8" xfId="1" applyNumberFormat="1" applyFont="1" applyFill="1" applyBorder="1" applyAlignment="1">
      <alignment horizontal="center" vertical="center"/>
    </xf>
    <xf numFmtId="165" fontId="50" fillId="0" borderId="8" xfId="1" applyNumberFormat="1" applyFont="1" applyFill="1" applyBorder="1" applyAlignment="1">
      <alignment horizontal="center" vertical="center"/>
    </xf>
    <xf numFmtId="0" fontId="50" fillId="0" borderId="8" xfId="1" applyNumberFormat="1" applyFont="1" applyFill="1" applyBorder="1" applyAlignment="1">
      <alignment horizontal="left"/>
    </xf>
    <xf numFmtId="164" fontId="50" fillId="0" borderId="8" xfId="1" applyNumberFormat="1" applyFont="1" applyFill="1" applyBorder="1" applyAlignment="1">
      <alignment horizontal="left"/>
    </xf>
    <xf numFmtId="164" fontId="48" fillId="16" borderId="20" xfId="1" applyNumberFormat="1" applyFont="1" applyFill="1" applyBorder="1" applyAlignment="1"/>
    <xf numFmtId="164" fontId="48" fillId="16" borderId="21" xfId="1" applyNumberFormat="1" applyFont="1" applyFill="1" applyBorder="1" applyAlignment="1"/>
    <xf numFmtId="164" fontId="50" fillId="16" borderId="27" xfId="1" applyNumberFormat="1" applyFont="1" applyFill="1" applyBorder="1"/>
    <xf numFmtId="164" fontId="50" fillId="0" borderId="8" xfId="1" applyNumberFormat="1" applyFont="1" applyBorder="1"/>
    <xf numFmtId="164" fontId="50" fillId="0" borderId="8" xfId="1" applyNumberFormat="1" applyFont="1" applyFill="1" applyBorder="1" applyAlignment="1">
      <alignment horizontal="center"/>
    </xf>
    <xf numFmtId="165" fontId="50" fillId="10" borderId="8" xfId="1" applyNumberFormat="1" applyFont="1" applyFill="1" applyBorder="1" applyAlignment="1">
      <alignment horizontal="center" vertical="center"/>
    </xf>
    <xf numFmtId="164" fontId="50" fillId="0" borderId="8" xfId="1" applyNumberFormat="1" applyFont="1" applyBorder="1" applyAlignment="1">
      <alignment horizontal="center"/>
    </xf>
    <xf numFmtId="164" fontId="48" fillId="0" borderId="8" xfId="1" applyNumberFormat="1" applyFont="1" applyFill="1" applyBorder="1"/>
    <xf numFmtId="164" fontId="48" fillId="16" borderId="19" xfId="1" applyNumberFormat="1" applyFont="1" applyFill="1" applyBorder="1" applyAlignment="1">
      <alignment horizontal="center"/>
    </xf>
    <xf numFmtId="164" fontId="48" fillId="16" borderId="0" xfId="1" applyNumberFormat="1" applyFont="1" applyFill="1" applyBorder="1" applyAlignment="1">
      <alignment horizontal="center"/>
    </xf>
    <xf numFmtId="164" fontId="48" fillId="16" borderId="48" xfId="1" applyNumberFormat="1" applyFont="1" applyFill="1" applyBorder="1"/>
    <xf numFmtId="164" fontId="53" fillId="13" borderId="4" xfId="1" applyNumberFormat="1" applyFont="1" applyFill="1" applyBorder="1" applyAlignment="1">
      <alignment horizontal="center" vertical="center"/>
    </xf>
    <xf numFmtId="0" fontId="53" fillId="13" borderId="4" xfId="1" applyNumberFormat="1" applyFont="1" applyFill="1" applyBorder="1" applyAlignment="1">
      <alignment horizontal="center" vertical="center"/>
    </xf>
    <xf numFmtId="167" fontId="53" fillId="13" borderId="4" xfId="1" applyNumberFormat="1" applyFont="1" applyFill="1" applyBorder="1" applyAlignment="1">
      <alignment horizontal="center" vertical="center"/>
    </xf>
    <xf numFmtId="164" fontId="48" fillId="0" borderId="8" xfId="1" applyNumberFormat="1" applyFont="1" applyFill="1" applyBorder="1" applyAlignment="1">
      <alignment horizontal="center" vertical="center"/>
    </xf>
    <xf numFmtId="0" fontId="48" fillId="0" borderId="8" xfId="1" applyNumberFormat="1" applyFont="1" applyFill="1" applyBorder="1" applyAlignment="1">
      <alignment horizontal="center" vertical="center"/>
    </xf>
    <xf numFmtId="164" fontId="53" fillId="13" borderId="8" xfId="1" applyNumberFormat="1" applyFont="1" applyFill="1" applyBorder="1" applyAlignment="1">
      <alignment horizontal="center"/>
    </xf>
    <xf numFmtId="0" fontId="2" fillId="0" borderId="55" xfId="0" applyFont="1" applyBorder="1"/>
    <xf numFmtId="0" fontId="2" fillId="0" borderId="57" xfId="0" applyFont="1" applyBorder="1"/>
    <xf numFmtId="3" fontId="58" fillId="0" borderId="0" xfId="0" applyNumberFormat="1" applyFont="1"/>
    <xf numFmtId="165" fontId="2" fillId="0" borderId="62" xfId="0" applyNumberFormat="1" applyFont="1" applyBorder="1"/>
    <xf numFmtId="165" fontId="3" fillId="0" borderId="8" xfId="1" applyNumberFormat="1" applyFont="1" applyBorder="1"/>
    <xf numFmtId="165" fontId="3" fillId="0" borderId="56" xfId="1" applyNumberFormat="1" applyFont="1" applyBorder="1"/>
    <xf numFmtId="165" fontId="2" fillId="0" borderId="8" xfId="1" applyNumberFormat="1" applyFont="1" applyBorder="1"/>
    <xf numFmtId="165" fontId="2" fillId="0" borderId="1" xfId="0" applyNumberFormat="1" applyFont="1" applyBorder="1"/>
    <xf numFmtId="165" fontId="2" fillId="0" borderId="60" xfId="0" applyNumberFormat="1" applyFont="1" applyBorder="1"/>
    <xf numFmtId="165" fontId="2" fillId="0" borderId="58" xfId="0" applyNumberFormat="1" applyFont="1" applyBorder="1"/>
    <xf numFmtId="165" fontId="4" fillId="0" borderId="8" xfId="1" applyNumberFormat="1" applyFont="1" applyBorder="1"/>
    <xf numFmtId="165" fontId="1" fillId="0" borderId="8" xfId="1" applyNumberFormat="1" applyFont="1" applyBorder="1"/>
    <xf numFmtId="165" fontId="2" fillId="0" borderId="8" xfId="0" applyNumberFormat="1" applyFont="1" applyBorder="1"/>
    <xf numFmtId="0" fontId="2" fillId="0" borderId="53" xfId="0" applyFont="1" applyBorder="1"/>
    <xf numFmtId="165" fontId="1" fillId="0" borderId="59" xfId="1" applyNumberFormat="1" applyFont="1" applyBorder="1"/>
    <xf numFmtId="165" fontId="2" fillId="0" borderId="59" xfId="1" applyNumberFormat="1" applyFont="1" applyBorder="1"/>
    <xf numFmtId="165" fontId="2" fillId="0" borderId="54" xfId="1" applyNumberFormat="1" applyFont="1" applyBorder="1"/>
    <xf numFmtId="165" fontId="2" fillId="0" borderId="56" xfId="0" applyNumberFormat="1" applyFont="1" applyBorder="1"/>
    <xf numFmtId="0" fontId="2" fillId="0" borderId="61" xfId="0" applyFont="1" applyBorder="1"/>
    <xf numFmtId="165" fontId="2" fillId="0" borderId="63" xfId="0" applyNumberFormat="1" applyFont="1" applyBorder="1"/>
    <xf numFmtId="0" fontId="60" fillId="0" borderId="0" xfId="0" applyFont="1"/>
    <xf numFmtId="165" fontId="4" fillId="0" borderId="8" xfId="1" applyNumberFormat="1" applyFont="1" applyFill="1" applyBorder="1"/>
    <xf numFmtId="165" fontId="3" fillId="0" borderId="8" xfId="1" applyNumberFormat="1" applyFont="1" applyFill="1" applyBorder="1"/>
    <xf numFmtId="43" fontId="61" fillId="18" borderId="1" xfId="1" applyFont="1" applyFill="1" applyBorder="1"/>
    <xf numFmtId="43" fontId="62" fillId="0" borderId="0" xfId="1" applyFont="1"/>
    <xf numFmtId="43" fontId="63" fillId="15" borderId="0" xfId="1" applyFont="1" applyFill="1" applyAlignment="1">
      <alignment horizontal="center" vertical="center" wrapText="1"/>
    </xf>
    <xf numFmtId="173" fontId="63" fillId="15" borderId="0" xfId="1" applyNumberFormat="1" applyFont="1" applyFill="1" applyAlignment="1">
      <alignment horizontal="center" vertical="center" wrapText="1"/>
    </xf>
    <xf numFmtId="43" fontId="63" fillId="11" borderId="5" xfId="1" applyFont="1" applyFill="1" applyBorder="1" applyAlignment="1">
      <alignment horizontal="center" vertical="center"/>
    </xf>
    <xf numFmtId="43" fontId="63" fillId="11" borderId="4" xfId="1" applyFont="1" applyFill="1" applyBorder="1" applyAlignment="1">
      <alignment horizontal="center" vertical="center"/>
    </xf>
    <xf numFmtId="43" fontId="62" fillId="0" borderId="8" xfId="1" applyFont="1" applyBorder="1" applyAlignment="1">
      <alignment horizontal="center"/>
    </xf>
    <xf numFmtId="43" fontId="62" fillId="14" borderId="8" xfId="1" applyFont="1" applyFill="1" applyBorder="1" applyAlignment="1">
      <alignment horizontal="center"/>
    </xf>
    <xf numFmtId="168" fontId="62" fillId="0" borderId="8" xfId="1" applyNumberFormat="1" applyFont="1" applyBorder="1" applyAlignment="1">
      <alignment horizontal="center"/>
    </xf>
    <xf numFmtId="10" fontId="62" fillId="0" borderId="8" xfId="2" applyNumberFormat="1" applyFont="1" applyBorder="1" applyAlignment="1">
      <alignment horizontal="center"/>
    </xf>
    <xf numFmtId="43" fontId="62" fillId="0" borderId="8" xfId="1" applyFont="1" applyFill="1" applyBorder="1" applyAlignment="1">
      <alignment horizontal="center"/>
    </xf>
    <xf numFmtId="14" fontId="62" fillId="0" borderId="8" xfId="1" applyNumberFormat="1" applyFont="1" applyBorder="1" applyAlignment="1">
      <alignment horizontal="center"/>
    </xf>
    <xf numFmtId="43" fontId="62" fillId="2" borderId="8" xfId="1" applyFont="1" applyFill="1" applyBorder="1" applyAlignment="1">
      <alignment horizontal="center"/>
    </xf>
    <xf numFmtId="10" fontId="62" fillId="0" borderId="8" xfId="2" applyNumberFormat="1" applyFont="1" applyFill="1" applyBorder="1" applyAlignment="1">
      <alignment horizontal="center"/>
    </xf>
    <xf numFmtId="43" fontId="62" fillId="0" borderId="0" xfId="1" applyFont="1" applyFill="1"/>
    <xf numFmtId="15" fontId="62" fillId="0" borderId="8" xfId="1" applyNumberFormat="1" applyFont="1" applyBorder="1" applyAlignment="1">
      <alignment horizontal="center"/>
    </xf>
    <xf numFmtId="10" fontId="62" fillId="0" borderId="8" xfId="1" applyNumberFormat="1" applyFont="1" applyBorder="1" applyAlignment="1">
      <alignment horizontal="center"/>
    </xf>
    <xf numFmtId="43" fontId="61" fillId="0" borderId="8" xfId="1" applyFont="1" applyFill="1" applyBorder="1"/>
    <xf numFmtId="43" fontId="62" fillId="0" borderId="0" xfId="1" applyFont="1" applyBorder="1"/>
    <xf numFmtId="43" fontId="61" fillId="0" borderId="0" xfId="1" applyFont="1"/>
    <xf numFmtId="43" fontId="64" fillId="16" borderId="20" xfId="1" applyFont="1" applyFill="1" applyBorder="1" applyAlignment="1">
      <alignment horizontal="center"/>
    </xf>
    <xf numFmtId="43" fontId="64" fillId="16" borderId="21" xfId="1" applyFont="1" applyFill="1" applyBorder="1" applyAlignment="1">
      <alignment horizontal="center"/>
    </xf>
    <xf numFmtId="43" fontId="64" fillId="16" borderId="27" xfId="1" applyFont="1" applyFill="1" applyBorder="1"/>
    <xf numFmtId="43" fontId="64" fillId="16" borderId="0" xfId="1" applyFont="1" applyFill="1" applyBorder="1" applyAlignment="1">
      <alignment horizontal="center"/>
    </xf>
    <xf numFmtId="43" fontId="64" fillId="16" borderId="48" xfId="1" applyFont="1" applyFill="1" applyBorder="1"/>
    <xf numFmtId="43" fontId="62" fillId="0" borderId="0" xfId="1" applyFont="1" applyFill="1" applyBorder="1" applyAlignment="1">
      <alignment horizontal="center"/>
    </xf>
    <xf numFmtId="43" fontId="61" fillId="0" borderId="2" xfId="1" applyFont="1" applyBorder="1"/>
    <xf numFmtId="43" fontId="61" fillId="16" borderId="3" xfId="1" applyFont="1" applyFill="1" applyBorder="1"/>
    <xf numFmtId="43" fontId="62" fillId="0" borderId="0" xfId="1" applyFont="1" applyFill="1" applyBorder="1"/>
    <xf numFmtId="43" fontId="62" fillId="8" borderId="8" xfId="1" applyFont="1" applyFill="1" applyBorder="1" applyAlignment="1">
      <alignment horizontal="center"/>
    </xf>
    <xf numFmtId="16" fontId="62" fillId="0" borderId="0" xfId="1" applyNumberFormat="1" applyFont="1"/>
    <xf numFmtId="168" fontId="62" fillId="0" borderId="8" xfId="1" applyNumberFormat="1" applyFont="1" applyFill="1" applyBorder="1" applyAlignment="1">
      <alignment horizontal="center"/>
    </xf>
    <xf numFmtId="15" fontId="62" fillId="0" borderId="8" xfId="1" applyNumberFormat="1" applyFont="1" applyFill="1" applyBorder="1" applyAlignment="1">
      <alignment horizontal="center"/>
    </xf>
    <xf numFmtId="10" fontId="62" fillId="0" borderId="8" xfId="1" applyNumberFormat="1" applyFont="1" applyFill="1" applyBorder="1" applyAlignment="1">
      <alignment horizontal="center"/>
    </xf>
    <xf numFmtId="43" fontId="62" fillId="0" borderId="8" xfId="1" applyFont="1" applyFill="1" applyBorder="1"/>
    <xf numFmtId="165" fontId="0" fillId="0" borderId="8" xfId="0" applyNumberFormat="1" applyBorder="1"/>
    <xf numFmtId="0" fontId="0" fillId="0" borderId="8" xfId="0" applyBorder="1"/>
    <xf numFmtId="164" fontId="7" fillId="13" borderId="53" xfId="1" applyNumberFormat="1" applyFont="1" applyFill="1" applyBorder="1" applyAlignment="1">
      <alignment horizontal="center" vertical="center"/>
    </xf>
    <xf numFmtId="167" fontId="7" fillId="13" borderId="54" xfId="1" applyNumberFormat="1" applyFont="1" applyFill="1" applyBorder="1" applyAlignment="1">
      <alignment horizontal="center" vertical="center"/>
    </xf>
    <xf numFmtId="165" fontId="0" fillId="0" borderId="56" xfId="0" applyNumberFormat="1" applyBorder="1"/>
    <xf numFmtId="43" fontId="62" fillId="18" borderId="8" xfId="1" applyFont="1" applyFill="1" applyBorder="1" applyAlignment="1">
      <alignment horizontal="center"/>
    </xf>
    <xf numFmtId="168" fontId="62" fillId="18" borderId="8" xfId="1" applyNumberFormat="1" applyFont="1" applyFill="1" applyBorder="1" applyAlignment="1">
      <alignment horizontal="center"/>
    </xf>
    <xf numFmtId="10" fontId="62" fillId="18" borderId="8" xfId="2" applyNumberFormat="1" applyFont="1" applyFill="1" applyBorder="1" applyAlignment="1">
      <alignment horizontal="center"/>
    </xf>
    <xf numFmtId="14" fontId="62" fillId="18" borderId="8" xfId="1" applyNumberFormat="1" applyFont="1" applyFill="1" applyBorder="1" applyAlignment="1">
      <alignment horizontal="center"/>
    </xf>
    <xf numFmtId="43" fontId="62" fillId="18" borderId="0" xfId="1" applyFont="1" applyFill="1"/>
    <xf numFmtId="3" fontId="69" fillId="0" borderId="0" xfId="0" applyNumberFormat="1" applyFont="1"/>
    <xf numFmtId="4" fontId="70" fillId="0" borderId="8" xfId="0" applyNumberFormat="1" applyFont="1" applyBorder="1"/>
    <xf numFmtId="43" fontId="62" fillId="77" borderId="8" xfId="1" applyFont="1" applyFill="1" applyBorder="1" applyAlignment="1">
      <alignment horizontal="center"/>
    </xf>
    <xf numFmtId="168" fontId="62" fillId="77" borderId="8" xfId="1" applyNumberFormat="1" applyFont="1" applyFill="1" applyBorder="1" applyAlignment="1">
      <alignment horizontal="center"/>
    </xf>
    <xf numFmtId="10" fontId="62" fillId="77" borderId="8" xfId="2" applyNumberFormat="1" applyFont="1" applyFill="1" applyBorder="1" applyAlignment="1">
      <alignment horizontal="center"/>
    </xf>
    <xf numFmtId="14" fontId="62" fillId="77" borderId="8" xfId="1" applyNumberFormat="1" applyFont="1" applyFill="1" applyBorder="1" applyAlignment="1">
      <alignment horizontal="center"/>
    </xf>
    <xf numFmtId="43" fontId="62" fillId="77" borderId="0" xfId="1" applyFont="1" applyFill="1"/>
    <xf numFmtId="165" fontId="1" fillId="0" borderId="56" xfId="1" applyNumberFormat="1" applyFont="1" applyBorder="1"/>
    <xf numFmtId="164" fontId="50" fillId="76" borderId="8" xfId="1" applyNumberFormat="1" applyFont="1" applyFill="1" applyBorder="1"/>
    <xf numFmtId="43" fontId="61" fillId="16" borderId="62" xfId="1" applyFont="1" applyFill="1" applyBorder="1" applyAlignment="1">
      <alignment horizontal="center" vertical="center"/>
    </xf>
    <xf numFmtId="43" fontId="61" fillId="16" borderId="64" xfId="1" applyFont="1" applyFill="1" applyBorder="1"/>
    <xf numFmtId="43" fontId="64" fillId="16" borderId="2" xfId="1" applyFont="1" applyFill="1" applyBorder="1" applyAlignment="1">
      <alignment horizontal="center"/>
    </xf>
    <xf numFmtId="43" fontId="64" fillId="16" borderId="26" xfId="1" applyFont="1" applyFill="1" applyBorder="1" applyAlignment="1">
      <alignment horizontal="center"/>
    </xf>
    <xf numFmtId="43" fontId="64" fillId="16" borderId="3" xfId="1" applyFont="1" applyFill="1" applyBorder="1"/>
    <xf numFmtId="0" fontId="49" fillId="18" borderId="2" xfId="0" applyFont="1" applyFill="1" applyBorder="1"/>
    <xf numFmtId="43" fontId="69" fillId="0" borderId="0" xfId="1" applyFont="1"/>
    <xf numFmtId="43" fontId="61" fillId="0" borderId="8" xfId="1" applyFont="1" applyBorder="1"/>
    <xf numFmtId="43" fontId="62" fillId="0" borderId="8" xfId="1" applyFont="1" applyBorder="1"/>
    <xf numFmtId="0" fontId="2" fillId="78" borderId="49" xfId="0" applyFont="1" applyFill="1" applyBorder="1" applyAlignment="1">
      <alignment horizontal="center"/>
    </xf>
    <xf numFmtId="165" fontId="52" fillId="0" borderId="8" xfId="1" applyNumberFormat="1" applyFont="1" applyFill="1" applyBorder="1" applyAlignment="1">
      <alignment horizontal="center"/>
    </xf>
    <xf numFmtId="0" fontId="52" fillId="0" borderId="8" xfId="0" applyFont="1" applyBorder="1" applyAlignment="1">
      <alignment horizontal="center"/>
    </xf>
    <xf numFmtId="168" fontId="52" fillId="0" borderId="8" xfId="0" applyNumberFormat="1" applyFont="1" applyBorder="1" applyAlignment="1">
      <alignment horizontal="center"/>
    </xf>
    <xf numFmtId="0" fontId="52" fillId="0" borderId="8" xfId="0" applyFont="1" applyBorder="1" applyAlignment="1">
      <alignment horizontal="left"/>
    </xf>
    <xf numFmtId="0" fontId="11" fillId="15" borderId="23" xfId="0" applyFont="1" applyFill="1" applyBorder="1" applyAlignment="1">
      <alignment horizontal="center" vertical="center"/>
    </xf>
    <xf numFmtId="0" fontId="11" fillId="15" borderId="68" xfId="0" applyFont="1" applyFill="1" applyBorder="1" applyAlignment="1">
      <alignment horizontal="center" vertical="center"/>
    </xf>
    <xf numFmtId="0" fontId="11" fillId="15" borderId="22" xfId="0" applyFont="1" applyFill="1" applyBorder="1" applyAlignment="1">
      <alignment horizontal="center" vertical="center"/>
    </xf>
    <xf numFmtId="0" fontId="23" fillId="15" borderId="54" xfId="0" applyFont="1" applyFill="1" applyBorder="1" applyAlignment="1">
      <alignment horizontal="center"/>
    </xf>
    <xf numFmtId="0" fontId="23" fillId="15" borderId="59" xfId="0" applyFont="1" applyFill="1" applyBorder="1" applyAlignment="1">
      <alignment horizontal="center"/>
    </xf>
    <xf numFmtId="0" fontId="23" fillId="13" borderId="53" xfId="0" applyFont="1" applyFill="1" applyBorder="1" applyAlignment="1">
      <alignment horizontal="center"/>
    </xf>
    <xf numFmtId="43" fontId="61" fillId="0" borderId="0" xfId="1" applyFont="1" applyFill="1" applyBorder="1"/>
    <xf numFmtId="43" fontId="62" fillId="0" borderId="5" xfId="1" applyFont="1" applyBorder="1" applyAlignment="1">
      <alignment horizontal="center"/>
    </xf>
    <xf numFmtId="43" fontId="63" fillId="0" borderId="0" xfId="1" applyFont="1" applyFill="1" applyBorder="1" applyAlignment="1">
      <alignment horizontal="center" vertical="center" wrapText="1"/>
    </xf>
    <xf numFmtId="43" fontId="62" fillId="0" borderId="0" xfId="1" applyFont="1" applyFill="1" applyBorder="1" applyAlignment="1">
      <alignment horizontal="left"/>
    </xf>
    <xf numFmtId="168" fontId="62" fillId="0" borderId="0" xfId="1" applyNumberFormat="1" applyFont="1" applyFill="1" applyBorder="1" applyAlignment="1">
      <alignment horizontal="center"/>
    </xf>
    <xf numFmtId="10" fontId="62" fillId="0" borderId="0" xfId="2" applyNumberFormat="1" applyFont="1" applyFill="1" applyBorder="1" applyAlignment="1">
      <alignment horizontal="center"/>
    </xf>
    <xf numFmtId="0" fontId="65" fillId="0" borderId="0" xfId="0" applyFont="1" applyAlignment="1">
      <alignment horizontal="left" vertical="center" indent="1"/>
    </xf>
    <xf numFmtId="43" fontId="65" fillId="0" borderId="0" xfId="1" applyFont="1" applyFill="1" applyBorder="1" applyAlignment="1">
      <alignment horizontal="center"/>
    </xf>
    <xf numFmtId="2" fontId="65" fillId="0" borderId="0" xfId="1" applyNumberFormat="1" applyFont="1" applyFill="1" applyBorder="1" applyAlignment="1">
      <alignment horizontal="center"/>
    </xf>
    <xf numFmtId="168" fontId="65" fillId="0" borderId="0" xfId="0" applyNumberFormat="1" applyFont="1" applyAlignment="1">
      <alignment horizontal="center" vertical="center"/>
    </xf>
    <xf numFmtId="10" fontId="65" fillId="0" borderId="0" xfId="2" applyNumberFormat="1" applyFont="1" applyFill="1" applyBorder="1" applyAlignment="1">
      <alignment vertical="center"/>
    </xf>
    <xf numFmtId="41" fontId="65" fillId="0" borderId="0" xfId="147" applyFont="1" applyFill="1" applyBorder="1" applyAlignment="1">
      <alignment horizontal="center" vertical="center"/>
    </xf>
    <xf numFmtId="16" fontId="62" fillId="0" borderId="0" xfId="1" applyNumberFormat="1" applyFont="1" applyFill="1" applyBorder="1"/>
    <xf numFmtId="43" fontId="66" fillId="0" borderId="0" xfId="1" applyFont="1" applyFill="1" applyBorder="1" applyAlignment="1">
      <alignment horizontal="center" vertical="center" wrapText="1"/>
    </xf>
    <xf numFmtId="10" fontId="66" fillId="0" borderId="0" xfId="1" applyNumberFormat="1" applyFont="1" applyFill="1" applyBorder="1" applyAlignment="1">
      <alignment horizontal="center" vertical="center" wrapText="1"/>
    </xf>
    <xf numFmtId="43" fontId="71" fillId="0" borderId="0" xfId="1" applyFont="1" applyFill="1" applyBorder="1" applyAlignment="1">
      <alignment horizontal="center" vertical="center" wrapText="1"/>
    </xf>
    <xf numFmtId="174" fontId="68" fillId="0" borderId="0" xfId="148" applyNumberFormat="1" applyFont="1" applyAlignment="1">
      <alignment horizontal="right" vertical="center"/>
    </xf>
    <xf numFmtId="3" fontId="72" fillId="0" borderId="0" xfId="0" applyNumberFormat="1" applyFont="1" applyAlignment="1">
      <alignment horizontal="center" vertical="center"/>
    </xf>
    <xf numFmtId="43" fontId="73" fillId="0" borderId="0" xfId="1" applyFont="1" applyFill="1" applyBorder="1" applyAlignment="1">
      <alignment horizontal="right" vertical="center" wrapText="1"/>
    </xf>
    <xf numFmtId="43" fontId="74" fillId="0" borderId="0" xfId="1" applyFont="1" applyFill="1" applyBorder="1"/>
    <xf numFmtId="14" fontId="52" fillId="0" borderId="0" xfId="0" applyNumberFormat="1" applyFont="1" applyAlignment="1">
      <alignment horizontal="center" vertical="center"/>
    </xf>
    <xf numFmtId="43" fontId="61" fillId="0" borderId="0" xfId="1" applyFont="1" applyFill="1" applyBorder="1" applyAlignment="1">
      <alignment horizontal="center"/>
    </xf>
    <xf numFmtId="43" fontId="69" fillId="0" borderId="0" xfId="1" applyFont="1" applyFill="1" applyBorder="1"/>
    <xf numFmtId="43" fontId="75" fillId="15" borderId="0" xfId="1" applyFont="1" applyFill="1" applyAlignment="1">
      <alignment horizontal="center" vertical="center"/>
    </xf>
    <xf numFmtId="168" fontId="76" fillId="0" borderId="8" xfId="1" applyNumberFormat="1" applyFont="1" applyFill="1" applyBorder="1" applyAlignment="1">
      <alignment horizontal="center"/>
    </xf>
    <xf numFmtId="0" fontId="69" fillId="0" borderId="0" xfId="0" applyFont="1"/>
    <xf numFmtId="0" fontId="77" fillId="78" borderId="49" xfId="0" applyFont="1" applyFill="1" applyBorder="1" applyAlignment="1">
      <alignment horizontal="center" vertical="center"/>
    </xf>
    <xf numFmtId="43" fontId="77" fillId="78" borderId="49" xfId="0" applyNumberFormat="1" applyFont="1" applyFill="1" applyBorder="1" applyAlignment="1">
      <alignment vertical="center"/>
    </xf>
    <xf numFmtId="0" fontId="77" fillId="79" borderId="1" xfId="0" applyFont="1" applyFill="1" applyBorder="1" applyAlignment="1">
      <alignment horizontal="center"/>
    </xf>
    <xf numFmtId="43" fontId="77" fillId="79" borderId="49" xfId="0" applyNumberFormat="1" applyFont="1" applyFill="1" applyBorder="1"/>
    <xf numFmtId="43" fontId="77" fillId="78" borderId="20" xfId="0" applyNumberFormat="1" applyFont="1" applyFill="1" applyBorder="1"/>
    <xf numFmtId="0" fontId="77" fillId="78" borderId="1" xfId="0" applyFont="1" applyFill="1" applyBorder="1" applyAlignment="1">
      <alignment horizontal="center" vertical="center"/>
    </xf>
    <xf numFmtId="43" fontId="77" fillId="78" borderId="1" xfId="0" applyNumberFormat="1" applyFont="1" applyFill="1" applyBorder="1" applyAlignment="1">
      <alignment vertical="center"/>
    </xf>
    <xf numFmtId="43" fontId="76" fillId="0" borderId="8" xfId="1" applyFont="1" applyFill="1" applyBorder="1" applyAlignment="1">
      <alignment horizontal="center"/>
    </xf>
    <xf numFmtId="10" fontId="76" fillId="0" borderId="8" xfId="2" applyNumberFormat="1" applyFont="1" applyFill="1" applyBorder="1" applyAlignment="1">
      <alignment horizontal="center"/>
    </xf>
    <xf numFmtId="43" fontId="0" fillId="0" borderId="8" xfId="1" applyFont="1" applyFill="1" applyBorder="1" applyAlignment="1">
      <alignment horizontal="center"/>
    </xf>
    <xf numFmtId="14" fontId="0" fillId="0" borderId="8" xfId="0" applyNumberFormat="1" applyBorder="1"/>
    <xf numFmtId="10" fontId="0" fillId="0" borderId="8" xfId="0" applyNumberFormat="1" applyBorder="1"/>
    <xf numFmtId="15" fontId="62" fillId="80" borderId="8" xfId="1" applyNumberFormat="1" applyFont="1" applyFill="1" applyBorder="1" applyAlignment="1">
      <alignment horizontal="center"/>
    </xf>
    <xf numFmtId="10" fontId="69" fillId="0" borderId="0" xfId="1" applyNumberFormat="1" applyFont="1" applyFill="1" applyBorder="1" applyAlignment="1">
      <alignment horizontal="center"/>
    </xf>
    <xf numFmtId="15" fontId="69" fillId="0" borderId="0" xfId="1" applyNumberFormat="1" applyFont="1" applyFill="1" applyBorder="1" applyAlignment="1">
      <alignment horizontal="center"/>
    </xf>
    <xf numFmtId="43" fontId="69" fillId="0" borderId="0" xfId="1" applyFont="1" applyFill="1" applyBorder="1" applyAlignment="1">
      <alignment horizontal="center"/>
    </xf>
    <xf numFmtId="165" fontId="52" fillId="0" borderId="0" xfId="0" applyNumberFormat="1" applyFont="1"/>
    <xf numFmtId="0" fontId="23" fillId="15" borderId="0" xfId="0" applyFont="1" applyFill="1" applyAlignment="1">
      <alignment horizontal="center"/>
    </xf>
    <xf numFmtId="43" fontId="78" fillId="0" borderId="8" xfId="1" applyFont="1" applyFill="1" applyBorder="1"/>
    <xf numFmtId="14" fontId="69" fillId="0" borderId="0" xfId="0" applyNumberFormat="1" applyFont="1"/>
    <xf numFmtId="43" fontId="69" fillId="0" borderId="0" xfId="0" applyNumberFormat="1" applyFont="1"/>
    <xf numFmtId="16" fontId="69" fillId="0" borderId="0" xfId="0" applyNumberFormat="1" applyFont="1"/>
    <xf numFmtId="43" fontId="62" fillId="80" borderId="0" xfId="1" applyFont="1" applyFill="1" applyBorder="1"/>
    <xf numFmtId="43" fontId="62" fillId="80" borderId="8" xfId="1" applyFont="1" applyFill="1" applyBorder="1"/>
    <xf numFmtId="43" fontId="61" fillId="80" borderId="8" xfId="1" applyFont="1" applyFill="1" applyBorder="1"/>
    <xf numFmtId="2" fontId="62" fillId="0" borderId="0" xfId="1" applyNumberFormat="1" applyFont="1"/>
    <xf numFmtId="43" fontId="62" fillId="80" borderId="0" xfId="1" applyFont="1" applyFill="1"/>
    <xf numFmtId="4" fontId="62" fillId="16" borderId="8" xfId="0" applyNumberFormat="1" applyFont="1" applyFill="1" applyBorder="1"/>
    <xf numFmtId="4" fontId="70" fillId="16" borderId="8" xfId="0" applyNumberFormat="1" applyFont="1" applyFill="1" applyBorder="1"/>
    <xf numFmtId="43" fontId="62" fillId="16" borderId="8" xfId="1" applyFont="1" applyFill="1" applyBorder="1"/>
    <xf numFmtId="43" fontId="70" fillId="16" borderId="8" xfId="1" applyFont="1" applyFill="1" applyBorder="1"/>
    <xf numFmtId="10" fontId="62" fillId="80" borderId="8" xfId="1" applyNumberFormat="1" applyFont="1" applyFill="1" applyBorder="1" applyAlignment="1">
      <alignment horizontal="center"/>
    </xf>
    <xf numFmtId="43" fontId="62" fillId="80" borderId="8" xfId="1" applyFont="1" applyFill="1" applyBorder="1" applyAlignment="1">
      <alignment horizontal="center"/>
    </xf>
    <xf numFmtId="41" fontId="7" fillId="13" borderId="54" xfId="1" applyNumberFormat="1" applyFont="1" applyFill="1" applyBorder="1" applyAlignment="1">
      <alignment horizontal="center" vertical="center"/>
    </xf>
    <xf numFmtId="15" fontId="69" fillId="0" borderId="0" xfId="0" applyNumberFormat="1" applyFont="1"/>
    <xf numFmtId="164" fontId="53" fillId="13" borderId="65" xfId="1" applyNumberFormat="1" applyFont="1" applyFill="1" applyBorder="1" applyAlignment="1">
      <alignment horizontal="center" vertical="center"/>
    </xf>
    <xf numFmtId="164" fontId="53" fillId="13" borderId="66" xfId="1" applyNumberFormat="1" applyFont="1" applyFill="1" applyBorder="1" applyAlignment="1">
      <alignment horizontal="center" vertical="center"/>
    </xf>
    <xf numFmtId="0" fontId="50" fillId="14" borderId="8" xfId="1" applyNumberFormat="1" applyFont="1" applyFill="1" applyBorder="1" applyAlignment="1">
      <alignment horizontal="left"/>
    </xf>
    <xf numFmtId="164" fontId="50" fillId="14" borderId="8" xfId="1" applyNumberFormat="1" applyFont="1" applyFill="1" applyBorder="1" applyAlignment="1">
      <alignment horizontal="left"/>
    </xf>
    <xf numFmtId="164" fontId="50" fillId="14" borderId="8" xfId="1" applyNumberFormat="1" applyFont="1" applyFill="1" applyBorder="1"/>
    <xf numFmtId="165" fontId="50" fillId="14" borderId="8" xfId="1" applyNumberFormat="1" applyFont="1" applyFill="1" applyBorder="1"/>
    <xf numFmtId="165" fontId="4" fillId="14" borderId="8" xfId="1" applyNumberFormat="1" applyFont="1" applyFill="1" applyBorder="1"/>
    <xf numFmtId="164" fontId="48" fillId="0" borderId="69" xfId="1" applyNumberFormat="1" applyFont="1" applyFill="1" applyBorder="1" applyAlignment="1">
      <alignment horizontal="center" vertical="center"/>
    </xf>
    <xf numFmtId="164" fontId="50" fillId="5" borderId="70" xfId="1" applyNumberFormat="1" applyFont="1" applyFill="1" applyBorder="1"/>
    <xf numFmtId="164" fontId="50" fillId="2" borderId="70" xfId="1" applyNumberFormat="1" applyFont="1" applyFill="1" applyBorder="1"/>
    <xf numFmtId="164" fontId="50" fillId="11" borderId="70" xfId="1" applyNumberFormat="1" applyFont="1" applyFill="1" applyBorder="1"/>
    <xf numFmtId="164" fontId="50" fillId="0" borderId="70" xfId="1" applyNumberFormat="1" applyFont="1" applyFill="1" applyBorder="1"/>
    <xf numFmtId="164" fontId="48" fillId="0" borderId="70" xfId="1" applyNumberFormat="1" applyFont="1" applyFill="1" applyBorder="1" applyAlignment="1">
      <alignment horizontal="center" vertical="center"/>
    </xf>
    <xf numFmtId="164" fontId="53" fillId="13" borderId="70" xfId="1" applyNumberFormat="1" applyFont="1" applyFill="1" applyBorder="1" applyAlignment="1">
      <alignment horizontal="center"/>
    </xf>
    <xf numFmtId="164" fontId="50" fillId="0" borderId="70" xfId="1" applyNumberFormat="1" applyFont="1" applyBorder="1"/>
    <xf numFmtId="164" fontId="50" fillId="10" borderId="70" xfId="1" applyNumberFormat="1" applyFont="1" applyFill="1" applyBorder="1"/>
    <xf numFmtId="164" fontId="50" fillId="0" borderId="23" xfId="1" applyNumberFormat="1" applyFont="1" applyBorder="1"/>
    <xf numFmtId="4" fontId="52" fillId="0" borderId="71" xfId="0" applyNumberFormat="1" applyFont="1" applyBorder="1" applyAlignment="1">
      <alignment wrapText="1"/>
    </xf>
    <xf numFmtId="4" fontId="27" fillId="0" borderId="71" xfId="0" applyNumberFormat="1" applyFont="1" applyBorder="1" applyAlignment="1">
      <alignment wrapText="1"/>
    </xf>
    <xf numFmtId="0" fontId="53" fillId="13" borderId="66" xfId="1" applyNumberFormat="1" applyFont="1" applyFill="1" applyBorder="1" applyAlignment="1">
      <alignment horizontal="center" vertical="center"/>
    </xf>
    <xf numFmtId="167" fontId="53" fillId="13" borderId="66" xfId="1" applyNumberFormat="1" applyFont="1" applyFill="1" applyBorder="1" applyAlignment="1">
      <alignment horizontal="center" vertical="center"/>
    </xf>
    <xf numFmtId="167" fontId="53" fillId="13" borderId="67" xfId="1" applyNumberFormat="1" applyFont="1" applyFill="1" applyBorder="1" applyAlignment="1">
      <alignment horizontal="center" vertical="center"/>
    </xf>
    <xf numFmtId="164" fontId="50" fillId="2" borderId="72" xfId="1" applyNumberFormat="1" applyFont="1" applyFill="1" applyBorder="1"/>
    <xf numFmtId="164" fontId="50" fillId="2" borderId="56" xfId="1" applyNumberFormat="1" applyFont="1" applyFill="1" applyBorder="1"/>
    <xf numFmtId="164" fontId="50" fillId="14" borderId="72" xfId="1" applyNumberFormat="1" applyFont="1" applyFill="1" applyBorder="1"/>
    <xf numFmtId="164" fontId="50" fillId="14" borderId="56" xfId="1" applyNumberFormat="1" applyFont="1" applyFill="1" applyBorder="1"/>
    <xf numFmtId="164" fontId="50" fillId="4" borderId="72" xfId="1" applyNumberFormat="1" applyFont="1" applyFill="1" applyBorder="1"/>
    <xf numFmtId="164" fontId="50" fillId="4" borderId="56" xfId="1" applyNumberFormat="1" applyFont="1" applyFill="1" applyBorder="1"/>
    <xf numFmtId="164" fontId="50" fillId="6" borderId="72" xfId="1" applyNumberFormat="1" applyFont="1" applyFill="1" applyBorder="1"/>
    <xf numFmtId="164" fontId="50" fillId="6" borderId="56" xfId="1" applyNumberFormat="1" applyFont="1" applyFill="1" applyBorder="1"/>
    <xf numFmtId="164" fontId="50" fillId="7" borderId="72" xfId="1" applyNumberFormat="1" applyFont="1" applyFill="1" applyBorder="1"/>
    <xf numFmtId="164" fontId="50" fillId="7" borderId="56" xfId="1" applyNumberFormat="1" applyFont="1" applyFill="1" applyBorder="1"/>
    <xf numFmtId="164" fontId="50" fillId="8" borderId="72" xfId="1" applyNumberFormat="1" applyFont="1" applyFill="1" applyBorder="1"/>
    <xf numFmtId="164" fontId="50" fillId="8" borderId="56" xfId="1" applyNumberFormat="1" applyFont="1" applyFill="1" applyBorder="1"/>
    <xf numFmtId="164" fontId="50" fillId="9" borderId="72" xfId="1" applyNumberFormat="1" applyFont="1" applyFill="1" applyBorder="1"/>
    <xf numFmtId="164" fontId="50" fillId="9" borderId="56" xfId="1" applyNumberFormat="1" applyFont="1" applyFill="1" applyBorder="1"/>
    <xf numFmtId="164" fontId="50" fillId="10" borderId="72" xfId="1" applyNumberFormat="1" applyFont="1" applyFill="1" applyBorder="1"/>
    <xf numFmtId="164" fontId="50" fillId="10" borderId="56" xfId="1" applyNumberFormat="1" applyFont="1" applyFill="1" applyBorder="1"/>
    <xf numFmtId="164" fontId="48" fillId="0" borderId="19" xfId="1" applyNumberFormat="1" applyFont="1" applyFill="1" applyBorder="1"/>
    <xf numFmtId="164" fontId="53" fillId="13" borderId="73" xfId="1" applyNumberFormat="1" applyFont="1" applyFill="1" applyBorder="1" applyAlignment="1">
      <alignment horizontal="center" vertical="center"/>
    </xf>
    <xf numFmtId="167" fontId="53" fillId="13" borderId="74" xfId="1" applyNumberFormat="1" applyFont="1" applyFill="1" applyBorder="1" applyAlignment="1">
      <alignment horizontal="center" vertical="center"/>
    </xf>
    <xf numFmtId="164" fontId="50" fillId="14" borderId="55" xfId="1" applyNumberFormat="1" applyFont="1" applyFill="1" applyBorder="1"/>
    <xf numFmtId="164" fontId="50" fillId="2" borderId="55" xfId="1" applyNumberFormat="1" applyFont="1" applyFill="1" applyBorder="1"/>
    <xf numFmtId="164" fontId="50" fillId="0" borderId="19" xfId="1" applyNumberFormat="1" applyFont="1" applyBorder="1"/>
    <xf numFmtId="164" fontId="50" fillId="11" borderId="55" xfId="1" applyNumberFormat="1" applyFont="1" applyFill="1" applyBorder="1"/>
    <xf numFmtId="164" fontId="50" fillId="11" borderId="56" xfId="1" applyNumberFormat="1" applyFont="1" applyFill="1" applyBorder="1"/>
    <xf numFmtId="164" fontId="50" fillId="0" borderId="19" xfId="1" applyNumberFormat="1" applyFont="1" applyFill="1" applyBorder="1"/>
    <xf numFmtId="164" fontId="50" fillId="0" borderId="55" xfId="1" applyNumberFormat="1" applyFont="1" applyFill="1" applyBorder="1"/>
    <xf numFmtId="164" fontId="50" fillId="76" borderId="56" xfId="1" applyNumberFormat="1" applyFont="1" applyFill="1" applyBorder="1"/>
    <xf numFmtId="0" fontId="50" fillId="0" borderId="0" xfId="1" applyNumberFormat="1" applyFont="1" applyBorder="1"/>
    <xf numFmtId="164" fontId="48" fillId="0" borderId="55" xfId="1" applyNumberFormat="1" applyFont="1" applyFill="1" applyBorder="1" applyAlignment="1">
      <alignment horizontal="center" vertical="center"/>
    </xf>
    <xf numFmtId="164" fontId="48" fillId="0" borderId="56" xfId="1" applyNumberFormat="1" applyFont="1" applyFill="1" applyBorder="1" applyAlignment="1">
      <alignment horizontal="center" vertical="center"/>
    </xf>
    <xf numFmtId="164" fontId="53" fillId="13" borderId="55" xfId="1" applyNumberFormat="1" applyFont="1" applyFill="1" applyBorder="1" applyAlignment="1">
      <alignment horizontal="center"/>
    </xf>
    <xf numFmtId="164" fontId="53" fillId="13" borderId="56" xfId="1" applyNumberFormat="1" applyFont="1" applyFill="1" applyBorder="1" applyAlignment="1">
      <alignment horizontal="center"/>
    </xf>
    <xf numFmtId="164" fontId="50" fillId="0" borderId="56" xfId="1" applyNumberFormat="1" applyFont="1" applyFill="1" applyBorder="1"/>
    <xf numFmtId="164" fontId="50" fillId="10" borderId="55" xfId="1" applyNumberFormat="1" applyFont="1" applyFill="1" applyBorder="1"/>
    <xf numFmtId="164" fontId="50" fillId="0" borderId="55" xfId="1" applyNumberFormat="1" applyFont="1" applyBorder="1"/>
    <xf numFmtId="164" fontId="4" fillId="0" borderId="21" xfId="1" applyNumberFormat="1" applyFont="1" applyBorder="1"/>
    <xf numFmtId="43" fontId="1" fillId="0" borderId="8" xfId="1" applyFont="1" applyFill="1" applyBorder="1" applyAlignment="1">
      <alignment horizontal="center"/>
    </xf>
    <xf numFmtId="165" fontId="79" fillId="78" borderId="49" xfId="0" applyNumberFormat="1" applyFont="1" applyFill="1" applyBorder="1" applyAlignment="1">
      <alignment horizontal="center"/>
    </xf>
    <xf numFmtId="165" fontId="52" fillId="0" borderId="0" xfId="1" applyNumberFormat="1" applyFont="1" applyFill="1" applyBorder="1" applyAlignment="1">
      <alignment horizontal="center"/>
    </xf>
    <xf numFmtId="43" fontId="52" fillId="0" borderId="8" xfId="1" applyFont="1" applyBorder="1" applyAlignment="1">
      <alignment horizontal="center"/>
    </xf>
    <xf numFmtId="43" fontId="52" fillId="77" borderId="8" xfId="1" applyFont="1" applyFill="1" applyBorder="1" applyAlignment="1">
      <alignment horizontal="center"/>
    </xf>
    <xf numFmtId="43" fontId="80" fillId="0" borderId="8" xfId="1" applyFont="1" applyFill="1" applyBorder="1" applyAlignment="1">
      <alignment horizontal="center"/>
    </xf>
    <xf numFmtId="15" fontId="80" fillId="0" borderId="8" xfId="1" applyNumberFormat="1" applyFont="1" applyFill="1" applyBorder="1" applyAlignment="1">
      <alignment horizontal="center"/>
    </xf>
    <xf numFmtId="10" fontId="80" fillId="0" borderId="8" xfId="1" applyNumberFormat="1" applyFont="1" applyFill="1" applyBorder="1" applyAlignment="1">
      <alignment horizontal="center"/>
    </xf>
    <xf numFmtId="43" fontId="76" fillId="0" borderId="0" xfId="1" applyFont="1" applyFill="1" applyBorder="1" applyAlignment="1">
      <alignment horizontal="center"/>
    </xf>
    <xf numFmtId="15" fontId="76" fillId="0" borderId="0" xfId="1" applyNumberFormat="1" applyFont="1" applyFill="1" applyBorder="1" applyAlignment="1">
      <alignment horizontal="center"/>
    </xf>
    <xf numFmtId="10" fontId="76" fillId="0" borderId="0" xfId="1" applyNumberFormat="1" applyFont="1" applyFill="1" applyBorder="1" applyAlignment="1">
      <alignment horizontal="center"/>
    </xf>
    <xf numFmtId="14" fontId="0" fillId="0" borderId="0" xfId="0" applyNumberFormat="1"/>
    <xf numFmtId="43" fontId="80" fillId="0" borderId="0" xfId="1" applyFont="1" applyFill="1" applyBorder="1" applyAlignment="1">
      <alignment horizontal="center"/>
    </xf>
    <xf numFmtId="15" fontId="80" fillId="0" borderId="0" xfId="1" applyNumberFormat="1" applyFont="1" applyFill="1" applyBorder="1" applyAlignment="1">
      <alignment horizontal="center"/>
    </xf>
    <xf numFmtId="10" fontId="80" fillId="0" borderId="0" xfId="1" applyNumberFormat="1" applyFont="1" applyFill="1" applyBorder="1" applyAlignment="1">
      <alignment horizontal="center"/>
    </xf>
    <xf numFmtId="164" fontId="48" fillId="0" borderId="48" xfId="1" applyNumberFormat="1" applyFont="1" applyFill="1" applyBorder="1"/>
    <xf numFmtId="164" fontId="50" fillId="81" borderId="55" xfId="1" applyNumberFormat="1" applyFont="1" applyFill="1" applyBorder="1"/>
    <xf numFmtId="0" fontId="50" fillId="81" borderId="8" xfId="1" applyNumberFormat="1" applyFont="1" applyFill="1" applyBorder="1" applyAlignment="1">
      <alignment horizontal="left"/>
    </xf>
    <xf numFmtId="164" fontId="50" fillId="81" borderId="8" xfId="1" applyNumberFormat="1" applyFont="1" applyFill="1" applyBorder="1" applyAlignment="1">
      <alignment horizontal="left"/>
    </xf>
    <xf numFmtId="165" fontId="50" fillId="81" borderId="8" xfId="1" applyNumberFormat="1" applyFont="1" applyFill="1" applyBorder="1"/>
    <xf numFmtId="164" fontId="50" fillId="81" borderId="8" xfId="1" applyNumberFormat="1" applyFont="1" applyFill="1" applyBorder="1"/>
    <xf numFmtId="164" fontId="50" fillId="81" borderId="56" xfId="1" applyNumberFormat="1" applyFont="1" applyFill="1" applyBorder="1"/>
    <xf numFmtId="164" fontId="50" fillId="82" borderId="55" xfId="1" applyNumberFormat="1" applyFont="1" applyFill="1" applyBorder="1"/>
    <xf numFmtId="0" fontId="50" fillId="82" borderId="8" xfId="1" applyNumberFormat="1" applyFont="1" applyFill="1" applyBorder="1" applyAlignment="1">
      <alignment horizontal="left"/>
    </xf>
    <xf numFmtId="164" fontId="50" fillId="82" borderId="8" xfId="1" applyNumberFormat="1" applyFont="1" applyFill="1" applyBorder="1" applyAlignment="1">
      <alignment horizontal="left"/>
    </xf>
    <xf numFmtId="165" fontId="50" fillId="82" borderId="8" xfId="1" applyNumberFormat="1" applyFont="1" applyFill="1" applyBorder="1"/>
    <xf numFmtId="164" fontId="50" fillId="82" borderId="8" xfId="1" applyNumberFormat="1" applyFont="1" applyFill="1" applyBorder="1"/>
    <xf numFmtId="3" fontId="55" fillId="82" borderId="75" xfId="0" applyNumberFormat="1" applyFont="1" applyFill="1" applyBorder="1" applyAlignment="1">
      <alignment horizontal="right" vertical="center" wrapText="1"/>
    </xf>
    <xf numFmtId="164" fontId="50" fillId="83" borderId="55" xfId="1" applyNumberFormat="1" applyFont="1" applyFill="1" applyBorder="1"/>
    <xf numFmtId="0" fontId="50" fillId="83" borderId="8" xfId="1" applyNumberFormat="1" applyFont="1" applyFill="1" applyBorder="1" applyAlignment="1">
      <alignment horizontal="left"/>
    </xf>
    <xf numFmtId="164" fontId="50" fillId="83" borderId="8" xfId="1" applyNumberFormat="1" applyFont="1" applyFill="1" applyBorder="1" applyAlignment="1">
      <alignment horizontal="left"/>
    </xf>
    <xf numFmtId="165" fontId="50" fillId="83" borderId="8" xfId="1" applyNumberFormat="1" applyFont="1" applyFill="1" applyBorder="1"/>
    <xf numFmtId="164" fontId="50" fillId="83" borderId="8" xfId="1" applyNumberFormat="1" applyFont="1" applyFill="1" applyBorder="1"/>
    <xf numFmtId="165" fontId="1" fillId="83" borderId="56" xfId="1" applyNumberFormat="1" applyFont="1" applyFill="1" applyBorder="1"/>
    <xf numFmtId="0" fontId="23" fillId="13" borderId="19" xfId="0" applyFont="1" applyFill="1" applyBorder="1" applyAlignment="1">
      <alignment horizontal="center"/>
    </xf>
    <xf numFmtId="0" fontId="23" fillId="13" borderId="65" xfId="0" applyFont="1" applyFill="1" applyBorder="1" applyAlignment="1">
      <alignment horizontal="center"/>
    </xf>
    <xf numFmtId="43" fontId="0" fillId="0" borderId="8" xfId="0" applyNumberFormat="1" applyBorder="1"/>
    <xf numFmtId="43" fontId="81" fillId="0" borderId="0" xfId="1" applyFont="1"/>
    <xf numFmtId="43" fontId="2" fillId="0" borderId="0" xfId="1" applyFont="1"/>
    <xf numFmtId="43" fontId="80" fillId="0" borderId="70" xfId="1" applyFont="1" applyFill="1" applyBorder="1" applyAlignment="1">
      <alignment horizontal="center"/>
    </xf>
    <xf numFmtId="0" fontId="0" fillId="18" borderId="8" xfId="0" applyFill="1" applyBorder="1"/>
    <xf numFmtId="43" fontId="0" fillId="18" borderId="8" xfId="0" applyNumberFormat="1" applyFill="1" applyBorder="1"/>
    <xf numFmtId="43" fontId="52" fillId="0" borderId="8" xfId="1" applyFont="1" applyFill="1" applyBorder="1" applyAlignment="1">
      <alignment horizontal="center"/>
    </xf>
    <xf numFmtId="43" fontId="52" fillId="0" borderId="8" xfId="1" applyFont="1" applyBorder="1"/>
    <xf numFmtId="10" fontId="52" fillId="0" borderId="8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82" fillId="84" borderId="76" xfId="0" applyFont="1" applyFill="1" applyBorder="1" applyAlignment="1">
      <alignment horizontal="center" vertical="center" wrapText="1"/>
    </xf>
    <xf numFmtId="15" fontId="83" fillId="50" borderId="77" xfId="0" applyNumberFormat="1" applyFont="1" applyFill="1" applyBorder="1" applyAlignment="1">
      <alignment horizontal="left" vertical="center" wrapText="1" indent="2"/>
    </xf>
    <xf numFmtId="15" fontId="83" fillId="50" borderId="78" xfId="0" applyNumberFormat="1" applyFont="1" applyFill="1" applyBorder="1" applyAlignment="1">
      <alignment horizontal="left" vertical="center" wrapText="1" indent="2"/>
    </xf>
    <xf numFmtId="10" fontId="6" fillId="0" borderId="0" xfId="0" applyNumberFormat="1" applyFont="1"/>
    <xf numFmtId="43" fontId="84" fillId="0" borderId="0" xfId="1" applyFont="1" applyFill="1" applyBorder="1" applyAlignment="1">
      <alignment horizontal="center"/>
    </xf>
    <xf numFmtId="0" fontId="86" fillId="18" borderId="0" xfId="0" applyFont="1" applyFill="1"/>
    <xf numFmtId="165" fontId="2" fillId="0" borderId="0" xfId="0" applyNumberFormat="1" applyFont="1"/>
    <xf numFmtId="41" fontId="7" fillId="13" borderId="0" xfId="1" applyNumberFormat="1" applyFont="1" applyFill="1" applyBorder="1" applyAlignment="1">
      <alignment horizontal="center" vertical="center"/>
    </xf>
    <xf numFmtId="164" fontId="53" fillId="13" borderId="65" xfId="1" applyNumberFormat="1" applyFont="1" applyFill="1" applyBorder="1" applyAlignment="1">
      <alignment horizontal="center" vertical="center"/>
    </xf>
    <xf numFmtId="164" fontId="53" fillId="13" borderId="66" xfId="1" applyNumberFormat="1" applyFont="1" applyFill="1" applyBorder="1" applyAlignment="1">
      <alignment horizontal="center" vertical="center"/>
    </xf>
    <xf numFmtId="164" fontId="53" fillId="13" borderId="67" xfId="1" applyNumberFormat="1" applyFont="1" applyFill="1" applyBorder="1" applyAlignment="1">
      <alignment horizontal="center" vertical="center"/>
    </xf>
    <xf numFmtId="164" fontId="53" fillId="13" borderId="53" xfId="1" applyNumberFormat="1" applyFont="1" applyFill="1" applyBorder="1" applyAlignment="1">
      <alignment horizontal="center" vertical="center"/>
    </xf>
    <xf numFmtId="164" fontId="53" fillId="13" borderId="59" xfId="1" applyNumberFormat="1" applyFont="1" applyFill="1" applyBorder="1" applyAlignment="1">
      <alignment horizontal="center" vertical="center"/>
    </xf>
    <xf numFmtId="164" fontId="53" fillId="13" borderId="54" xfId="1" applyNumberFormat="1" applyFont="1" applyFill="1" applyBorder="1" applyAlignment="1">
      <alignment horizontal="center" vertical="center"/>
    </xf>
    <xf numFmtId="164" fontId="53" fillId="13" borderId="14" xfId="1" applyNumberFormat="1" applyFont="1" applyFill="1" applyBorder="1" applyAlignment="1">
      <alignment horizontal="center" vertical="center"/>
    </xf>
    <xf numFmtId="164" fontId="53" fillId="13" borderId="15" xfId="1" applyNumberFormat="1" applyFont="1" applyFill="1" applyBorder="1" applyAlignment="1">
      <alignment horizontal="center" vertical="center"/>
    </xf>
    <xf numFmtId="164" fontId="53" fillId="13" borderId="16" xfId="1" applyNumberFormat="1" applyFont="1" applyFill="1" applyBorder="1" applyAlignment="1">
      <alignment horizontal="center" vertical="center"/>
    </xf>
    <xf numFmtId="43" fontId="77" fillId="78" borderId="2" xfId="0" applyNumberFormat="1" applyFont="1" applyFill="1" applyBorder="1" applyAlignment="1">
      <alignment horizontal="center"/>
    </xf>
    <xf numFmtId="43" fontId="77" fillId="78" borderId="3" xfId="0" applyNumberFormat="1" applyFont="1" applyFill="1" applyBorder="1" applyAlignment="1">
      <alignment horizontal="center"/>
    </xf>
    <xf numFmtId="0" fontId="81" fillId="18" borderId="0" xfId="0" applyFont="1" applyFill="1" applyAlignment="1">
      <alignment horizontal="center"/>
    </xf>
    <xf numFmtId="43" fontId="61" fillId="75" borderId="26" xfId="1" applyFont="1" applyFill="1" applyBorder="1" applyAlignment="1">
      <alignment horizontal="center" vertical="center"/>
    </xf>
    <xf numFmtId="43" fontId="61" fillId="75" borderId="3" xfId="1" applyFont="1" applyFill="1" applyBorder="1" applyAlignment="1">
      <alignment horizontal="center" vertical="center"/>
    </xf>
    <xf numFmtId="43" fontId="61" fillId="75" borderId="2" xfId="1" applyFont="1" applyFill="1" applyBorder="1" applyAlignment="1">
      <alignment horizontal="center" vertical="center"/>
    </xf>
    <xf numFmtId="0" fontId="87" fillId="18" borderId="0" xfId="0" applyFont="1" applyFill="1"/>
    <xf numFmtId="10" fontId="79" fillId="78" borderId="49" xfId="2" applyNumberFormat="1" applyFont="1" applyFill="1" applyBorder="1" applyAlignment="1">
      <alignment horizontal="center"/>
    </xf>
    <xf numFmtId="0" fontId="2" fillId="18" borderId="0" xfId="0" applyFont="1" applyFill="1"/>
    <xf numFmtId="0" fontId="69" fillId="18" borderId="0" xfId="0" applyFont="1" applyFill="1"/>
    <xf numFmtId="0" fontId="2" fillId="18" borderId="17" xfId="0" applyFont="1" applyFill="1" applyBorder="1"/>
    <xf numFmtId="43" fontId="2" fillId="18" borderId="49" xfId="0" applyNumberFormat="1" applyFont="1" applyFill="1" applyBorder="1"/>
    <xf numFmtId="43" fontId="84" fillId="0" borderId="65" xfId="1" applyFont="1" applyBorder="1" applyAlignment="1">
      <alignment horizontal="center"/>
    </xf>
    <xf numFmtId="43" fontId="85" fillId="0" borderId="8" xfId="1" applyFont="1" applyFill="1" applyBorder="1"/>
    <xf numFmtId="43" fontId="85" fillId="0" borderId="79" xfId="1" applyFont="1" applyFill="1" applyBorder="1"/>
    <xf numFmtId="43" fontId="84" fillId="0" borderId="1" xfId="1" applyFont="1" applyBorder="1" applyAlignment="1">
      <alignment horizontal="center"/>
    </xf>
  </cellXfs>
  <cellStyles count="151">
    <cellStyle name="_ADFDI_DataEntryGridStyle" xfId="52" xr:uid="{00000000-0005-0000-0000-000000000000}"/>
    <cellStyle name="_ADFDI_DataEntryGridStyle_currency" xfId="53" xr:uid="{00000000-0005-0000-0000-000001000000}"/>
    <cellStyle name="_ADFDI_DataEntryGridStyle_integer" xfId="54" xr:uid="{00000000-0005-0000-0000-000002000000}"/>
    <cellStyle name="_ADFDI_FormBottomStyle" xfId="129" xr:uid="{00000000-0005-0000-0000-000003000000}"/>
    <cellStyle name="_ADFDI_FormDoubleClickCellStyle" xfId="130" xr:uid="{00000000-0005-0000-0000-000004000000}"/>
    <cellStyle name="_ADFDI_FormTopStyle" xfId="128" xr:uid="{00000000-0005-0000-0000-000005000000}"/>
    <cellStyle name="_ADFDI_HeaderStyle" xfId="49" xr:uid="{00000000-0005-0000-0000-000006000000}"/>
    <cellStyle name="_ADFDI_InputTextStyle" xfId="48" xr:uid="{00000000-0005-0000-0000-000007000000}"/>
    <cellStyle name="_ADFDI_InputTextStyle_Date" xfId="55" xr:uid="{00000000-0005-0000-0000-000008000000}"/>
    <cellStyle name="_ADFDI_LabelStyle" xfId="46" xr:uid="{00000000-0005-0000-0000-000009000000}"/>
    <cellStyle name="_ADFDI_OutputTextStyle" xfId="47" xr:uid="{00000000-0005-0000-0000-00000A000000}"/>
    <cellStyle name="_ADFDI_ReadOnlyTableStyle" xfId="50" xr:uid="{00000000-0005-0000-0000-00000B000000}"/>
    <cellStyle name="_ADFDI_TableCellROStyle" xfId="122" xr:uid="{00000000-0005-0000-0000-00000C000000}"/>
    <cellStyle name="_ADFDI_TableCellStyle" xfId="51" xr:uid="{00000000-0005-0000-0000-00000D000000}"/>
    <cellStyle name="_ADFDI_TableCellStyle_text" xfId="123" xr:uid="{00000000-0005-0000-0000-00000E000000}"/>
    <cellStyle name="_ADFDI_TableChangedColumnStyle" xfId="126" xr:uid="{00000000-0005-0000-0000-00000F000000}"/>
    <cellStyle name="_ADFDI_TableDoubleClickCellStyle" xfId="125" xr:uid="{00000000-0005-0000-0000-000010000000}"/>
    <cellStyle name="_ADFDI_TableFlagColumnStyle" xfId="127" xr:uid="{00000000-0005-0000-0000-000011000000}"/>
    <cellStyle name="_ADFDI_TableKeyCellStyle" xfId="131" xr:uid="{00000000-0005-0000-0000-000012000000}"/>
    <cellStyle name="_ADFDI_TriangleHeaderStyle" xfId="124" xr:uid="{00000000-0005-0000-0000-000013000000}"/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APPS_Default_Background" xfId="56" xr:uid="{00000000-0005-0000-0000-00002C000000}"/>
    <cellStyle name="APPS_DEG_Basic_White_Cell_Amount" xfId="3" xr:uid="{00000000-0005-0000-0000-00002D000000}"/>
    <cellStyle name="Bad" xfId="11" builtinId="27" customBuiltin="1"/>
    <cellStyle name="Branding Area" xfId="141" xr:uid="{00000000-0005-0000-0000-00002F000000}"/>
    <cellStyle name="Calculation" xfId="15" builtinId="22" customBuiltin="1"/>
    <cellStyle name="Check Cell" xfId="17" builtinId="23" customBuiltin="1"/>
    <cellStyle name="Column Header" xfId="135" xr:uid="{00000000-0005-0000-0000-000032000000}"/>
    <cellStyle name="Comma" xfId="1" builtinId="3"/>
    <cellStyle name="Comma [0]" xfId="147" builtinId="6"/>
    <cellStyle name="Comma [0] 2" xfId="150" xr:uid="{65D5AEEF-87F1-4026-90B0-31259C77850E}"/>
    <cellStyle name="Comma 2" xfId="144" xr:uid="{00000000-0005-0000-0000-000035000000}"/>
    <cellStyle name="Comma 2 2" xfId="146" xr:uid="{00000000-0005-0000-0000-000036000000}"/>
    <cellStyle name="Comma 2 2 2" xfId="149" xr:uid="{4B6517D4-61AE-45DB-9FC0-0535EC4B7D32}"/>
    <cellStyle name="Data Cell" xfId="138" xr:uid="{00000000-0005-0000-0000-000037000000}"/>
    <cellStyle name="Explanatory Text" xfId="20" builtinId="53" customBuiltin="1"/>
    <cellStyle name="Form Header" xfId="142" xr:uid="{00000000-0005-0000-0000-000039000000}"/>
    <cellStyle name="Form SubHeader" xfId="143" xr:uid="{00000000-0005-0000-0000-00003A000000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dicator Cell" xfId="136" xr:uid="{00000000-0005-0000-0000-000040000000}"/>
    <cellStyle name="Input" xfId="13" builtinId="20" customBuiltin="1"/>
    <cellStyle name="Input Text" xfId="134" xr:uid="{00000000-0005-0000-0000-000042000000}"/>
    <cellStyle name="Key Cell" xfId="139" xr:uid="{00000000-0005-0000-0000-000043000000}"/>
    <cellStyle name="Label" xfId="132" xr:uid="{00000000-0005-0000-0000-000044000000}"/>
    <cellStyle name="Linked Cell" xfId="16" builtinId="24" customBuiltin="1"/>
    <cellStyle name="Neutral" xfId="12" builtinId="28" customBuiltin="1"/>
    <cellStyle name="Normal" xfId="0" builtinId="0"/>
    <cellStyle name="Normal 2" xfId="145" xr:uid="{00000000-0005-0000-0000-000048000000}"/>
    <cellStyle name="Normal 3" xfId="4" xr:uid="{00000000-0005-0000-0000-000049000000}"/>
    <cellStyle name="Normal 4" xfId="148" xr:uid="{00000000-0005-0000-0000-00004A000000}"/>
    <cellStyle name="Note" xfId="19" builtinId="10" customBuiltin="1"/>
    <cellStyle name="Oracle Background Cell Color" xfId="57" xr:uid="{00000000-0005-0000-0000-00004C000000}"/>
    <cellStyle name="Oracle Background Cell Color bld" xfId="58" xr:uid="{00000000-0005-0000-0000-00004D000000}"/>
    <cellStyle name="Oracle Background Cell Color Last Downloaded" xfId="59" xr:uid="{00000000-0005-0000-0000-00004E000000}"/>
    <cellStyle name="Oracle basic L" xfId="60" xr:uid="{00000000-0005-0000-0000-00004F000000}"/>
    <cellStyle name="Oracle basic L bdr" xfId="61" xr:uid="{00000000-0005-0000-0000-000050000000}"/>
    <cellStyle name="Oracle basic L bdr date" xfId="62" xr:uid="{00000000-0005-0000-0000-000051000000}"/>
    <cellStyle name="Oracle basic L bdr date Time" xfId="63" xr:uid="{00000000-0005-0000-0000-000052000000}"/>
    <cellStyle name="Oracle basic L bdr Wrap" xfId="64" xr:uid="{00000000-0005-0000-0000-000053000000}"/>
    <cellStyle name="Oracle basic L Bld" xfId="65" xr:uid="{00000000-0005-0000-0000-000054000000}"/>
    <cellStyle name="Oracle basic L Bld bdr" xfId="66" xr:uid="{00000000-0005-0000-0000-000055000000}"/>
    <cellStyle name="Oracle basic L Bld bdr Wrap" xfId="67" xr:uid="{00000000-0005-0000-0000-000056000000}"/>
    <cellStyle name="Oracle basic L Bld Hdr" xfId="68" xr:uid="{00000000-0005-0000-0000-000057000000}"/>
    <cellStyle name="Oracle basic L Bld Wrap" xfId="69" xr:uid="{00000000-0005-0000-0000-000058000000}"/>
    <cellStyle name="Oracle basic L date" xfId="70" xr:uid="{00000000-0005-0000-0000-000059000000}"/>
    <cellStyle name="Oracle basic L Wrap" xfId="71" xr:uid="{00000000-0005-0000-0000-00005A000000}"/>
    <cellStyle name="Oracle basic R" xfId="72" xr:uid="{00000000-0005-0000-0000-00005B000000}"/>
    <cellStyle name="Oracle basic R bdr" xfId="73" xr:uid="{00000000-0005-0000-0000-00005C000000}"/>
    <cellStyle name="Oracle basic R bdr Date" xfId="74" xr:uid="{00000000-0005-0000-0000-00005D000000}"/>
    <cellStyle name="Oracle basic R bdr Wrap" xfId="75" xr:uid="{00000000-0005-0000-0000-00005E000000}"/>
    <cellStyle name="Oracle basic R Bld" xfId="76" xr:uid="{00000000-0005-0000-0000-00005F000000}"/>
    <cellStyle name="Oracle basic R Bld bdr" xfId="77" xr:uid="{00000000-0005-0000-0000-000060000000}"/>
    <cellStyle name="Oracle basic R Bld bdr Wrap" xfId="78" xr:uid="{00000000-0005-0000-0000-000061000000}"/>
    <cellStyle name="Oracle basic R Bld Wrap" xfId="79" xr:uid="{00000000-0005-0000-0000-000062000000}"/>
    <cellStyle name="Oracle basic R Date" xfId="80" xr:uid="{00000000-0005-0000-0000-000063000000}"/>
    <cellStyle name="Oracle basic R Wrap" xfId="81" xr:uid="{00000000-0005-0000-0000-000064000000}"/>
    <cellStyle name="Oracle Basic White Cell" xfId="82" xr:uid="{00000000-0005-0000-0000-000065000000}"/>
    <cellStyle name="Oracle Basic White Cell Amount" xfId="83" xr:uid="{00000000-0005-0000-0000-000066000000}"/>
    <cellStyle name="Oracle Basic White Cell Left Aligned" xfId="84" xr:uid="{00000000-0005-0000-0000-000067000000}"/>
    <cellStyle name="Oracle Basic White Cell Wrap" xfId="85" xr:uid="{00000000-0005-0000-0000-000068000000}"/>
    <cellStyle name="Oracle Basic White Cell_bold_topleftborder" xfId="86" xr:uid="{00000000-0005-0000-0000-000069000000}"/>
    <cellStyle name="Oracle Header Row Cell" xfId="87" xr:uid="{00000000-0005-0000-0000-00006A000000}"/>
    <cellStyle name="Oracle Header Row Cell 2" xfId="88" xr:uid="{00000000-0005-0000-0000-00006B000000}"/>
    <cellStyle name="Oracle Header Row Cell Wrap" xfId="89" xr:uid="{00000000-0005-0000-0000-00006C000000}"/>
    <cellStyle name="Oracle Header Row Cell Wrap 2" xfId="90" xr:uid="{00000000-0005-0000-0000-00006D000000}"/>
    <cellStyle name="Oracle Label  white Cell Color bld" xfId="91" xr:uid="{00000000-0005-0000-0000-00006E000000}"/>
    <cellStyle name="Oracle Label Background Cell Color bld" xfId="92" xr:uid="{00000000-0005-0000-0000-00006F000000}"/>
    <cellStyle name="Oracle Optional Cell (optional)" xfId="93" xr:uid="{00000000-0005-0000-0000-000070000000}"/>
    <cellStyle name="Oracle Optional Cell (optional) Wrap" xfId="94" xr:uid="{00000000-0005-0000-0000-000071000000}"/>
    <cellStyle name="Oracle Other Sections (optional)" xfId="95" xr:uid="{00000000-0005-0000-0000-000072000000}"/>
    <cellStyle name="Oracle Other Sections (optional) Wrap" xfId="96" xr:uid="{00000000-0005-0000-0000-000073000000}"/>
    <cellStyle name="Oracle Other Sections (optional)_GLPrototype_Excel_Template_03Dec2007" xfId="97" xr:uid="{00000000-0005-0000-0000-000074000000}"/>
    <cellStyle name="Oracle Page Header" xfId="98" xr:uid="{00000000-0005-0000-0000-000075000000}"/>
    <cellStyle name="Oracle Read Only Cell" xfId="99" xr:uid="{00000000-0005-0000-0000-000076000000}"/>
    <cellStyle name="Oracle Read Only Cell - Odd" xfId="100" xr:uid="{00000000-0005-0000-0000-000077000000}"/>
    <cellStyle name="Oracle Read Only Cell Amount" xfId="101" xr:uid="{00000000-0005-0000-0000-000078000000}"/>
    <cellStyle name="Oracle Read Only Cell Big Number" xfId="102" xr:uid="{00000000-0005-0000-0000-000079000000}"/>
    <cellStyle name="Oracle Read Only Cell Big Number Left Aligned" xfId="103" xr:uid="{00000000-0005-0000-0000-00007A000000}"/>
    <cellStyle name="Oracle Read Only Cell Chang/Flag/Stat" xfId="104" xr:uid="{00000000-0005-0000-0000-00007B000000}"/>
    <cellStyle name="Oracle Read Only Cell Chang/Flag/Stat 2" xfId="105" xr:uid="{00000000-0005-0000-0000-00007C000000}"/>
    <cellStyle name="Oracle Read Only Cell Chang/Flag/Stat Wrap" xfId="106" xr:uid="{00000000-0005-0000-0000-00007D000000}"/>
    <cellStyle name="Oracle Read Only Cell Chang/Flag/Stat_GLPrototype_Excel_Template_03Dec2007" xfId="107" xr:uid="{00000000-0005-0000-0000-00007E000000}"/>
    <cellStyle name="Oracle Read Only Cell Changed" xfId="108" xr:uid="{00000000-0005-0000-0000-00007F000000}"/>
    <cellStyle name="Oracle Read Only Cell Date" xfId="109" xr:uid="{00000000-0005-0000-0000-000080000000}"/>
    <cellStyle name="Oracle Read Only Cell Left Aligned" xfId="110" xr:uid="{00000000-0005-0000-0000-000081000000}"/>
    <cellStyle name="Oracle Read Only Cell Month Year" xfId="111" xr:uid="{00000000-0005-0000-0000-000082000000}"/>
    <cellStyle name="Oracle Read Only Cell w/Red" xfId="112" xr:uid="{00000000-0005-0000-0000-000083000000}"/>
    <cellStyle name="Oracle Read Only Cell w/Red Wrap" xfId="113" xr:uid="{00000000-0005-0000-0000-000084000000}"/>
    <cellStyle name="Oracle Read Only Cell Wrap" xfId="114" xr:uid="{00000000-0005-0000-0000-000085000000}"/>
    <cellStyle name="Oracle Required Cell (optional)" xfId="115" xr:uid="{00000000-0005-0000-0000-000086000000}"/>
    <cellStyle name="Oracle Required Cell (optional) Wrap" xfId="116" xr:uid="{00000000-0005-0000-0000-000087000000}"/>
    <cellStyle name="Oracle Subhead 1" xfId="117" xr:uid="{00000000-0005-0000-0000-000088000000}"/>
    <cellStyle name="Oracle SubHead 2" xfId="118" xr:uid="{00000000-0005-0000-0000-000089000000}"/>
    <cellStyle name="Oracle Subheader Row Cell" xfId="119" xr:uid="{00000000-0005-0000-0000-00008A000000}"/>
    <cellStyle name="Oracle Subheader Row Cell Wrap" xfId="120" xr:uid="{00000000-0005-0000-0000-00008B000000}"/>
    <cellStyle name="Output" xfId="14" builtinId="21" customBuiltin="1"/>
    <cellStyle name="Output Text" xfId="133" xr:uid="{00000000-0005-0000-0000-00008D000000}"/>
    <cellStyle name="Percent" xfId="2" builtinId="5"/>
    <cellStyle name="Read Only Cell" xfId="121" xr:uid="{00000000-0005-0000-0000-00008F000000}"/>
    <cellStyle name="Read-only Cell" xfId="137" xr:uid="{00000000-0005-0000-0000-000090000000}"/>
    <cellStyle name="Status Cell" xfId="140" xr:uid="{00000000-0005-0000-0000-000091000000}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veri\quarter\WINDOWS\Desktop\AamirZaveri\Accounts\QuartRepo\1st%20Quarter\1st%20Quarter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backup%20c\ACCOUNTS2003\Final%20Accounts%202003MARCH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backup%20c\ACCOUNTS2003\ACCOUNTS%20DEC-31-2003revised2change%20in%20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ish/Local%20Settings/Temporary%20Internet%20Files/OLK8/Projects/ACC/monthly%20accounts%20Aug%2031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ir%20Saleem/Askari%20Data/Documents%20and%20Settings/ish/Local%20Settings/Temporary%20Internet%20Files/OLK8/Projects/ACC/monthly%20accounts%20Aug%2031%2020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Desktop/SHA%20draft%20FS%202006/Documents%20and%20Settings/ish/Local%20Settings/Temporary%20Internet%20Files/OLK8/Projects/ACC/monthly%20accounts%20Aug%2031%20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SHA%20draft%20FS%202006/Documents%20and%20Settings/ish/Local%20Settings/Temporary%20Internet%20Files/OLK8/Projects/ACC/monthly%20accounts%20Aug%2031%20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Administrator/Desktop/SHA%20draft%20FS%202006/C(Back-up)/projects/2005/accDec05-sub%20not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SHA%20draft%20FS%202006/C(Back-up)/projects/2005/accDec05-sub%20no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100\c\USER\WADAM\DANE_XLS\8-7-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s100/c/USER/WADAM/DANE_XLS/8-7-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CLOSING\Backup%20of%20SEC31DEC01.xlk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EAR2003\closing%202003\june2003statur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amind\ANALYSIS%202003\d-30062003AA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D%20DATA\closing\secu31MAR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nualClosing2011\Related%20Parties%20Dec%2031%202011%20Final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Faisal%20Rehman\2005\Account%20and%20related%20matters\Dec31,2005\Final%20Accounts%202005-PCBL-after%20adjustment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Faisal%20Rehman/2005/Account%20and%20related%20matters/Dec31,2005/Final%20Accounts%202005-PCBL-after%20adjustment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DOCUME~1\ETD\LOCALS~1\Temp\Temporary%20Directory%201%20for%20Accounts06.zip\December%2006\Accounts%20Dec%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DOCUME~1/ETD/LOCALS~1/Temp/Temporary%20Directory%201%20for%20Accounts06.zip/December%2006/Accounts%20Dec%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WINDOWS\TEMP\Final%20Accounts%202003MARCH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waja\account-bal-\FINAL%20ACCOUNTS2001\JUNE2002Accoun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Faisal%20Rehman\2006\Accounts\June%2006\Accounts%20June%2030%202006-OW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Faisal%20Rehman/2006/Accounts/June%2006/Accounts%20June%2030%202006-OW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mirzaveri\e\Analysis%20Budget%202003\budget%20analysis%202003%20fe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jeeb\c\My%20Documents\FXMTM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0.78\jawed\DailyPosition\17122009\BP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6.0.78/jawed/DailyPosition/17122009/BP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mran.hashmi\My%20Documents\QRC%202007\backup%20c\ACCOUNTS2003\Final%20Accounts%202003MARCH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6.0.78\jawed\2009\Nov09\Product-WiseMI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6.0.78/jawed/2009/Nov09/Product-WiseMI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s2\budget%20revie\BUSINESS%20BUDGET-2003(FEB%202003)WORKI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s2/budget%20revie/BUSINESS%20BUDGET-2003(FEB%202003)WORKI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imran.hashmi\My%20Documents\QRC%202007\Documents%20and%20Settings\muhammad.maroof\My%20Documents\CLOSING\Backup%20of%20SEC31DEC01.xlk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_SERVER\Audit\My%20Documents\Final%20Accounts%202001As%20per%20Auditor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Auditors\final%20accounts%202001Complete%20Adjustmen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masud\ACCOUNTS-JUNE04\FINAL%20ACCOUNTS2004%20-21-07-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yfinalu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2\Users\Syed%20Haider%20Hussain\AppData\Roaming\Microsoft\Excel\Final%20-%20March-10%20-%20sub%20notes%20with%20%20ibd%20&amp;%20obu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212/Users/Syed%20Haider%20Hussain/AppData/Roaming/Microsoft/Excel/Final%20-%20March-10%20-%20sub%20notes%20with%20%20ibd%20&amp;%20obu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SKTOP/Validation%20Folder%20Latest/validation%2070301/validation%2070301/validation%2070301/Tariq%20DIBL%20Validation%20Sheets/Basel%20II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ir%20Saleem/Askari%20Data/DESKTOP/Validation%20Folder%20Latest/validation%2070301/validation%2070301/validation%2070301/Tariq%20DIBL%20Validation%20Sheets/Basel%20II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jid/Investments/CFS/Fresh%20CFS%20Fil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sir%20Saleem/Askari%20Data/Sajid/Investments/CFS/Fresh%20CFS%20Fil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waja\account-bal-\FINAL%20ACCOUNTS2001\Final%20Accounts%202001As%20per%20Auditor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mirzaveri\mcr-working\SEPublishAccountsOsam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-khifsr01\Audit\Accounts-kp\stand%20alone\2005\December%202005\Intialed%20Accounts%20from%20AFF\dom%20co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k-khifsr01/Audit/Accounts-kp/stand%20alone/2005/December%202005/Intialed%20Accounts%20from%20AFF/dom%20co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APITAL%20ADEQUACY%20RATIO/CAR%20December%202014/DAP%20Most%20Recent%20Format/CARClient-v-1%205%20-%20Unprotecte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CAPITAL%20ADEQUACY%20RATIO/CAR%20December%202014/DAP%20Most%20Recent%20Format/CARClient-v-1%205%20-%20Unprotected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n.zaidi_karandaaz\AppData\Local\Microsoft\Windows\INetCache\Content.Outlook\DNWTX1IY\Treasury%20-%20Investment%20Income%20Forecasting%20Based%20on%20April%2030%202025-.xlsx" TargetMode="External"/><Relationship Id="rId1" Type="http://schemas.openxmlformats.org/officeDocument/2006/relationships/externalLinkPath" Target="/Users/zain.zaidi_karandaaz/AppData/Local/Microsoft/Windows/INetCache/Content.Outlook/DNWTX1IY/Treasury%20-%20Investment%20Income%20Forecasting%20Based%20on%20April%2030%202025-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65.192\abcd\gohar\Closing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hmed-ali\clientdata\Documents%20and%20Settings\rahat.hussain\Local%20Settings\Temp\Temporary%20Directory%201%20for%20merit.zip\Merit%20draft%20accounts%20FINAL%2028-07-04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ahmed-ali/clientdata/Documents%20and%20Settings/rahat.hussain/Local%20Settings/Temp/Temporary%20Directory%201%20for%20merit.zip/Merit%20draft%20accounts%20FINAL%2028-07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SJUL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mad.babar_karan/Desktop/Profit%20Calculation/Profit%20verification%20Our%20Working/25-26/Treasury%20income%20July25-Oc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otes4-8.2"/>
      <sheetName val="Note1-3"/>
      <sheetName val="Stat-Equity"/>
      <sheetName val="DirRep"/>
      <sheetName val="CashFlow"/>
      <sheetName val="Balancesheet"/>
      <sheetName val="last qrt2001"/>
      <sheetName val="Profit&amp;Loss"/>
      <sheetName val="last qrt2000"/>
      <sheetName val="Sheet1"/>
      <sheetName val="62"/>
      <sheetName val="Notes4-8_2"/>
      <sheetName val="last_qrt2001"/>
      <sheetName val="last_qrt2000"/>
      <sheetName val="Sheet1_"/>
      <sheetName val="Note6-8_2"/>
      <sheetName val="Notes35-36"/>
      <sheetName val="A"/>
      <sheetName val="Consolidated"/>
      <sheetName val="Assets"/>
      <sheetName val="BS-JPN"/>
      <sheetName val="BK"/>
      <sheetName val="Cash_Flow__HOH"/>
      <sheetName val="CIB2"/>
      <sheetName val="NOSTRO12"/>
      <sheetName val="INC-EXP"/>
      <sheetName val="Parameters"/>
      <sheetName val="Summary"/>
      <sheetName val="RC-0997"/>
      <sheetName val="Sheet4"/>
      <sheetName val="new_sum"/>
      <sheetName val="Investments"/>
      <sheetName val="fx_130"/>
      <sheetName val="Lead"/>
      <sheetName val="blot"/>
      <sheetName val="FIB-TFC"/>
      <sheetName val="Currency"/>
      <sheetName val="CP_STATytd"/>
      <sheetName val="Rentals-SAM_KHI"/>
      <sheetName val="Letter"/>
      <sheetName val="Premier"/>
      <sheetName val="Dep_Allocation"/>
      <sheetName val="A-C_CODE_&amp;_NAME"/>
      <sheetName val="WIP-YRN"/>
      <sheetName val="Macro1"/>
      <sheetName val="SAN"/>
      <sheetName val="DISB"/>
      <sheetName val="Goodwill"/>
      <sheetName val="Min.Tax"/>
      <sheetName val="Current Tax"/>
      <sheetName val="Historical Losses (2)"/>
      <sheetName val="Data Validation List"/>
      <sheetName val="Credit Review"/>
      <sheetName val="Lists"/>
      <sheetName val="TRAN"/>
      <sheetName val="Notes4-8_21"/>
      <sheetName val="last_qrt20011"/>
      <sheetName val="last_qrt20001"/>
      <sheetName val="Data_Validation_List"/>
      <sheetName val="Min_Tax"/>
      <sheetName val="Current_Tax"/>
      <sheetName val="Historical_Losses_(2)"/>
      <sheetName val="Sheet3"/>
      <sheetName val="1st QuarterAccounts"/>
      <sheetName val=""/>
      <sheetName val="CLV assumptions"/>
      <sheetName val="Custom_LLR"/>
      <sheetName val="LLR"/>
      <sheetName val="P &amp; L"/>
      <sheetName val="Disposals"/>
      <sheetName val="Link with Kibor"/>
      <sheetName val="Link with Advances"/>
      <sheetName val="CWS1"/>
      <sheetName val="CWSSUM1"/>
      <sheetName val="TKT"/>
      <sheetName val="TKTSUM"/>
      <sheetName val="Sheet2"/>
      <sheetName val="EMOF Portfolio"/>
      <sheetName val="Root Cause "/>
      <sheetName val="Root Cause"/>
      <sheetName val="Variables"/>
      <sheetName val="1st%20QuarterAccounts"/>
      <sheetName val="Bank Data"/>
      <sheetName val="AL905"/>
      <sheetName val="Code"/>
      <sheetName val="Holidays"/>
      <sheetName val="Old Code"/>
      <sheetName val="TBPRICE"/>
      <sheetName val="Notes4-8_22"/>
      <sheetName val="last_qrt20012"/>
      <sheetName val="last_qrt20002"/>
      <sheetName val="Data_Validation_List1"/>
      <sheetName val="Min_Tax1"/>
      <sheetName val="Current_Tax1"/>
      <sheetName val="Historical_Losses_(2)1"/>
      <sheetName val="Credit_Review"/>
      <sheetName val="1st_QuarterAccounts"/>
      <sheetName val="CF wrking"/>
      <sheetName val="Grouping"/>
      <sheetName val="(E-1)-Lead Sheet"/>
      <sheetName val="Cash Flow  HOH"/>
      <sheetName val=" Travel Club"/>
      <sheetName val="DATA"/>
      <sheetName val="Child"/>
      <sheetName val="(A-1)-Lead Sheet"/>
      <sheetName val="acct"/>
      <sheetName val="Instr"/>
      <sheetName val="I- INV CO"/>
      <sheetName val="Budget 0910"/>
      <sheetName val="Link_with_Kibor"/>
      <sheetName val="Link_with_Advances"/>
      <sheetName val="EMOF_Portfolio"/>
      <sheetName val="P_&amp;_L"/>
      <sheetName val="Mapping"/>
      <sheetName val="SOPOL"/>
      <sheetName val="NRV"/>
      <sheetName val="Child (adjustments)"/>
      <sheetName val="Child (management accounts)"/>
      <sheetName val="Revenue-Fire-Marine-Motor"/>
      <sheetName val="loan 1"/>
      <sheetName val="P&amp;L Commentary"/>
      <sheetName val="Notes4-8_23"/>
      <sheetName val="last_qrt20013"/>
      <sheetName val="last_qrt20003"/>
      <sheetName val="Min_Tax2"/>
      <sheetName val="Current_Tax2"/>
      <sheetName val="Historical_Losses_(2)2"/>
      <sheetName val="Data_Validation_List2"/>
      <sheetName val="Credit_Review1"/>
      <sheetName val="Notes4-8_26"/>
      <sheetName val="last_qrt20016"/>
      <sheetName val="last_qrt20006"/>
      <sheetName val="Min_Tax5"/>
      <sheetName val="Current_Tax5"/>
      <sheetName val="Historical_Losses_(2)5"/>
      <sheetName val="Data_Validation_List5"/>
      <sheetName val="Credit_Review4"/>
      <sheetName val="Notes4-8_24"/>
      <sheetName val="last_qrt20014"/>
      <sheetName val="last_qrt20004"/>
      <sheetName val="Min_Tax3"/>
      <sheetName val="Current_Tax3"/>
      <sheetName val="Historical_Losses_(2)3"/>
      <sheetName val="Data_Validation_List3"/>
      <sheetName val="Credit_Review2"/>
      <sheetName val="Notes4-8_25"/>
      <sheetName val="last_qrt20015"/>
      <sheetName val="last_qrt20005"/>
      <sheetName val="Min_Tax4"/>
      <sheetName val="Current_Tax4"/>
      <sheetName val="Historical_Losses_(2)4"/>
      <sheetName val="Data_Validation_List4"/>
      <sheetName val="Credit_Review3"/>
      <sheetName val="Input"/>
      <sheetName val="Policies"/>
      <sheetName val="bal-sheet"/>
      <sheetName val="2000 Variables"/>
      <sheetName val="ST-TKNG-RPT"/>
      <sheetName val="封面"/>
      <sheetName val="KONSOLIDE"/>
      <sheetName val="1st_QuarterAccounts1"/>
      <sheetName val="Cash_Flow__HOH1"/>
      <sheetName val="_Travel_Club"/>
      <sheetName val="1st_QuarterAccounts2"/>
      <sheetName val="P_&amp;_L1"/>
      <sheetName val="Link_with_Kibor1"/>
      <sheetName val="Link_with_Advances1"/>
      <sheetName val="Cash_Flow__HOH2"/>
      <sheetName val="_Travel_Club1"/>
      <sheetName val="EMOF_Portfolio1"/>
      <sheetName val="CLV_assumptions"/>
      <sheetName val="CF_wrking"/>
      <sheetName val="1st_QuarterAccounts3"/>
      <sheetName val="P_&amp;_L2"/>
      <sheetName val="Link_with_Kibor2"/>
      <sheetName val="Link_with_Advances2"/>
      <sheetName val="Cash_Flow__HOH3"/>
      <sheetName val="_Travel_Club2"/>
      <sheetName val="EMOF_Portfolio2"/>
      <sheetName val="CLV_assumptions1"/>
      <sheetName val="CF_wrking1"/>
      <sheetName val="1st_QuarterAccounts4"/>
      <sheetName val="P_&amp;_L3"/>
      <sheetName val="Link_with_Kibor3"/>
      <sheetName val="Link_with_Advances3"/>
      <sheetName val="Cash_Flow__HOH4"/>
      <sheetName val="_Travel_Club3"/>
      <sheetName val="EMOF_Portfolio3"/>
      <sheetName val="CLV_assumptions2"/>
      <sheetName val="CF_wrking2"/>
      <sheetName val="last_qrt20017"/>
      <sheetName val="Notes4-8_27"/>
      <sheetName val="last_qrt20007"/>
      <sheetName val="Min_Tax6"/>
      <sheetName val="Current_Tax6"/>
      <sheetName val="Historical_Losses_(2)6"/>
      <sheetName val="Data_Validation_List6"/>
      <sheetName val="Credit_Review5"/>
      <sheetName val="1st_QuarterAccounts5"/>
      <sheetName val="P_&amp;_L4"/>
      <sheetName val="Link_with_Kibor4"/>
      <sheetName val="Link_with_Advances4"/>
      <sheetName val="Cash_Flow__HOH5"/>
      <sheetName val="_Travel_Club4"/>
      <sheetName val="EMOF_Portfolio4"/>
      <sheetName val="CLV_assumptions3"/>
      <sheetName val="CF_wrking3"/>
      <sheetName val="Notes4-8_29"/>
      <sheetName val="last_qrt20019"/>
      <sheetName val="last_qrt20009"/>
      <sheetName val="Min_Tax8"/>
      <sheetName val="Current_Tax8"/>
      <sheetName val="Historical_Losses_(2)8"/>
      <sheetName val="Data_Validation_List8"/>
      <sheetName val="Credit_Review7"/>
      <sheetName val="1st_QuarterAccounts7"/>
      <sheetName val="P_&amp;_L6"/>
      <sheetName val="Link_with_Kibor6"/>
      <sheetName val="Link_with_Advances6"/>
      <sheetName val="Cash_Flow__HOH7"/>
      <sheetName val="_Travel_Club6"/>
      <sheetName val="EMOF_Portfolio6"/>
      <sheetName val="CLV_assumptions5"/>
      <sheetName val="CF_wrking5"/>
      <sheetName val="last_qrt20018"/>
      <sheetName val="Notes4-8_28"/>
      <sheetName val="last_qrt20008"/>
      <sheetName val="Min_Tax7"/>
      <sheetName val="Current_Tax7"/>
      <sheetName val="Historical_Losses_(2)7"/>
      <sheetName val="Data_Validation_List7"/>
      <sheetName val="Credit_Review6"/>
      <sheetName val="1st_QuarterAccounts6"/>
      <sheetName val="P_&amp;_L5"/>
      <sheetName val="Link_with_Kibor5"/>
      <sheetName val="Link_with_Advances5"/>
      <sheetName val="Cash_Flow__HOH6"/>
      <sheetName val="_Travel_Club5"/>
      <sheetName val="EMOF_Portfolio5"/>
      <sheetName val="CLV_assumptions4"/>
      <sheetName val="CF_wrking4"/>
      <sheetName val="PP"/>
      <sheetName val="RRD Adj. Summary"/>
      <sheetName val="ICP"/>
      <sheetName val="Notes4-8_210"/>
      <sheetName val="last_qrt200110"/>
      <sheetName val="last_qrt200010"/>
      <sheetName val="Min_Tax9"/>
      <sheetName val="Current_Tax9"/>
      <sheetName val="Historical_Losses_(2)9"/>
      <sheetName val="Data_Validation_List9"/>
      <sheetName val="Credit_Review8"/>
      <sheetName val="Notes4-8_211"/>
      <sheetName val="last_qrt200111"/>
      <sheetName val="last_qrt200011"/>
      <sheetName val="Min_Tax10"/>
      <sheetName val="Current_Tax10"/>
      <sheetName val="Historical_Losses_(2)10"/>
      <sheetName val="Data_Validation_List10"/>
      <sheetName val="Credit_Review9"/>
      <sheetName val="Notes4-8_213"/>
      <sheetName val="last_qrt200113"/>
      <sheetName val="last_qrt200013"/>
      <sheetName val="Min_Tax12"/>
      <sheetName val="Current_Tax12"/>
      <sheetName val="Historical_Losses_(2)12"/>
      <sheetName val="Data_Validation_List12"/>
      <sheetName val="Credit_Review11"/>
      <sheetName val="Notes4-8_212"/>
      <sheetName val="last_qrt200112"/>
      <sheetName val="last_qrt200012"/>
      <sheetName val="Min_Tax11"/>
      <sheetName val="Current_Tax11"/>
      <sheetName val="Historical_Losses_(2)11"/>
      <sheetName val="Data_Validation_List11"/>
      <sheetName val="Credit_Review10"/>
      <sheetName val="Notes4-8_214"/>
      <sheetName val="last_qrt200114"/>
      <sheetName val="last_qrt200014"/>
      <sheetName val="Min_Tax13"/>
      <sheetName val="Current_Tax13"/>
      <sheetName val="Historical_Losses_(2)13"/>
      <sheetName val="Data_Validation_List13"/>
      <sheetName val="Credit_Review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ote 7 (2)"/>
      <sheetName val="Currency-expo"/>
      <sheetName val="Income"/>
      <sheetName val="Expenses"/>
      <sheetName val="A"/>
      <sheetName val="Assets 2002"/>
      <sheetName val="Liabiliteis 2002"/>
      <sheetName val="Sheet1 "/>
      <sheetName val="Sheet2 (3)"/>
      <sheetName val="Notes1-5"/>
      <sheetName val="Note 9.7-9.8 (2)"/>
      <sheetName val="Note 12(3)"/>
      <sheetName val="Chart2"/>
      <sheetName val="TaxWDVJul-Dec02"/>
      <sheetName val="AUDITADJUST (2)"/>
      <sheetName val="AUDITADJUST"/>
      <sheetName val="EFFECT"/>
      <sheetName val="P&amp;L 2002"/>
      <sheetName val="Sheet1 (3)"/>
      <sheetName val="NEWAD"/>
      <sheetName val="SBP-Staggering"/>
      <sheetName val="Assets (3)"/>
      <sheetName val="Liabiliteis (2)"/>
      <sheetName val="Computa.Tax"/>
      <sheetName val="Balance Sheet"/>
      <sheetName val="p&amp;l"/>
      <sheetName val="CashFlow"/>
      <sheetName val="Statement of Ch"/>
      <sheetName val="Notes1-5 OLD"/>
      <sheetName val="Note 3-6"/>
      <sheetName val="Note6"/>
      <sheetName val="Note 7"/>
      <sheetName val="Sheet10"/>
      <sheetName val="Sheet9"/>
      <sheetName val="Note"/>
      <sheetName val="Note6-8.2"/>
      <sheetName val="Note 9.6-9.9"/>
      <sheetName val="Notes10-10.4.2"/>
      <sheetName val="10.5-11.3"/>
      <sheetName val="Note 12 "/>
      <sheetName val="Note16-21.1"/>
      <sheetName val="Note22-23"/>
      <sheetName val="Notes24-26.1"/>
      <sheetName val="Computa.Tax (2)"/>
      <sheetName val="Notes33-34"/>
      <sheetName val="Notes35-36"/>
      <sheetName val="Notes37"/>
      <sheetName val="Notes38-42.1 (2)"/>
      <sheetName val="Com.TaxJul-Dec01"/>
      <sheetName val="Sheet8"/>
      <sheetName val="D Tax2002"/>
      <sheetName val="WKGJul-Dec01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heet1  (2)"/>
      <sheetName val="Sheet1 "/>
      <sheetName val="Sheet2 (3)"/>
      <sheetName val="Assets 2003"/>
      <sheetName val="Adjustment (2)"/>
      <sheetName val="Expenses (2)"/>
      <sheetName val="Income (2)"/>
      <sheetName val="summary"/>
      <sheetName val="BIFURCATION OF EXPENSES"/>
      <sheetName val="Adjustment"/>
      <sheetName val="Defeered Working"/>
      <sheetName val="StaggerProvisionworking"/>
      <sheetName val="RetainedEarning"/>
      <sheetName val="Revised Computa.Tax for 2002"/>
      <sheetName val="Revised Com.TaxJul-Dec01 "/>
      <sheetName val="p&amp;l"/>
      <sheetName val="Rev WKGJul-Dec01"/>
      <sheetName val="Revised Tax-2003 "/>
      <sheetName val="Tax "/>
      <sheetName val="Liabiliteis 2003"/>
      <sheetName val="Revised P&amp;L2001-03 (2)"/>
      <sheetName val="Balance Sheet"/>
      <sheetName val="Revised P&amp;L2001-03 (3)"/>
      <sheetName val="Revised P&amp;L2001-03"/>
      <sheetName val="CashFlow"/>
      <sheetName val="Statement of Ch"/>
      <sheetName val="Notes1-5 (2)"/>
      <sheetName val="Note1-5"/>
      <sheetName val="Note6-8.2"/>
      <sheetName val="Note9-9.1"/>
      <sheetName val="Note9.2-9.5"/>
      <sheetName val="Note 9.6-9.9"/>
      <sheetName val="Notes10-10.4.2"/>
      <sheetName val="Defeered Working (2)"/>
      <sheetName val="StaggerProvisionworking (2)"/>
      <sheetName val="10.5-11.3"/>
      <sheetName val="Note 12 "/>
      <sheetName val="Note12.3-15.1"/>
      <sheetName val="Note16-22.1.1"/>
      <sheetName val="Note22-23"/>
      <sheetName val="P&amp;L 2002"/>
      <sheetName val="P&amp;L 2003"/>
      <sheetName val="Notes24-26.1"/>
      <sheetName val="Notes26.2-32"/>
      <sheetName val="Notes33-34"/>
      <sheetName val="Notes35-36"/>
      <sheetName val="Notes37"/>
      <sheetName val="Notes38-42.1 (2)"/>
      <sheetName val="Currency-expo"/>
      <sheetName val="Sheet9"/>
      <sheetName val="Computa.Tax (2)"/>
      <sheetName val="Com.TaxJul-Dec01"/>
      <sheetName val="Sheet8"/>
      <sheetName val="D Tax2002"/>
      <sheetName val="WKGJul-Dec01"/>
      <sheetName val="Sheet10"/>
      <sheetName val="Notes1-5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  <sheetName val="Notes1-5(old)"/>
      <sheetName val="Note 9.7-9.8 (2)"/>
      <sheetName val="Note 12(3)"/>
      <sheetName val="TaxWDVJul-Dec02"/>
      <sheetName val="AUDITADJUST (2)"/>
      <sheetName val="AUDITADJUST"/>
      <sheetName val="EFFECT"/>
      <sheetName val="Sheet1 (3)"/>
      <sheetName val="NEWAD"/>
      <sheetName val="SBP-Staggering"/>
      <sheetName val="Computa.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  <sheetName val="acct"/>
      <sheetName val="2000 Variables"/>
      <sheetName val="Basis"/>
      <sheetName val="plan"/>
      <sheetName val="sheet1"/>
      <sheetName val="DTL"/>
      <sheetName val="Cutt"/>
      <sheetName val="ANA"/>
      <sheetName val="F-RR"/>
      <sheetName val="BK"/>
      <sheetName val="F-HL"/>
      <sheetName val="SUM"/>
      <sheetName val="F-R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Info"/>
      <sheetName val="Manual"/>
      <sheetName val="Main"/>
      <sheetName val="Cons "/>
      <sheetName val="Sub-Notes"/>
      <sheetName val="Notes (2)"/>
      <sheetName val="BSP&amp;LCF"/>
      <sheetName val="CF"/>
      <sheetName val="Final-Notes (2)"/>
      <sheetName val="Credit Card"/>
      <sheetName val="Other Op income"/>
      <sheetName val="Admin exp"/>
      <sheetName val="Commission income"/>
      <sheetName val="Sheet2"/>
      <sheetName val="Recon"/>
      <sheetName val="BSP&amp;LCF (2)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AnnexI"/>
      <sheetName val="adjustments"/>
      <sheetName val="NewEnt"/>
      <sheetName val="BSWOBU"/>
      <sheetName val="PLWOBU"/>
      <sheetName val="Sheet1"/>
      <sheetName val="BS(F)"/>
      <sheetName val="PL"/>
      <sheetName val="SOCIE"/>
      <sheetName val="New Notes"/>
      <sheetName val="BS(P)"/>
      <sheetName val="Notes"/>
      <sheetName val="Sheet7"/>
      <sheetName val="Sheet2"/>
      <sheetName val="Sheet6"/>
      <sheetName val="currency wise"/>
      <sheetName val="curr wise"/>
      <sheetName val="inv b-up"/>
      <sheetName val="checks"/>
      <sheetName val="Annex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AnnexI"/>
      <sheetName val="adjustments"/>
      <sheetName val="NewEnt"/>
      <sheetName val="BSWOBU"/>
      <sheetName val="PLWOBU"/>
      <sheetName val="Sheet1"/>
      <sheetName val="BS(F)"/>
      <sheetName val="PL"/>
      <sheetName val="SOCIE"/>
      <sheetName val="New Notes"/>
      <sheetName val="BS(P)"/>
      <sheetName val="Notes"/>
      <sheetName val="Sheet7"/>
      <sheetName val="Sheet2"/>
      <sheetName val="Sheet6"/>
      <sheetName val="currency wise"/>
      <sheetName val="curr wise"/>
      <sheetName val="inv b-up"/>
      <sheetName val="checks"/>
      <sheetName val="Annex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zty"/>
      <sheetName val="Prowizje_przychody_darowizny"/>
      <sheetName val="Dochody"/>
      <sheetName val="Odsetki"/>
      <sheetName val="Wyniki"/>
      <sheetName val="Prowizje koszty"/>
      <sheetName val="8-7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zt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M"/>
      <sheetName val="DALY"/>
      <sheetName val="O-N"/>
      <sheetName val="F-HL"/>
      <sheetName val="F-RR"/>
      <sheetName val="F-REP"/>
      <sheetName val="T-HL"/>
      <sheetName val="T.REP"/>
      <sheetName val="T.RR"/>
      <sheetName val="P-HL"/>
      <sheetName val="P-RR"/>
      <sheetName val="P-REP"/>
      <sheetName val="TFC-H"/>
      <sheetName val="TFC-RR"/>
      <sheetName val="NIT"/>
      <sheetName val="COI"/>
      <sheetName val="SHR"/>
      <sheetName val="SHR-RR"/>
      <sheetName val="TENOR"/>
      <sheetName val="SUM"/>
      <sheetName val="SUM1"/>
      <sheetName val="SHAMS"/>
      <sheetName val="BR"/>
      <sheetName val="AMOR"/>
      <sheetName val="MTM"/>
      <sheetName val="AVA"/>
      <sheetName val="KH-32"/>
      <sheetName val="PREV"/>
      <sheetName val="HO"/>
      <sheetName val="ACCT"/>
      <sheetName val="ANA"/>
      <sheetName val="IN-EX"/>
      <sheetName val="TBPRICE"/>
      <sheetName val="B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sales"/>
      <sheetName val="rates"/>
      <sheetName val="additions"/>
      <sheetName val="disposal"/>
      <sheetName val="TAXDEP"/>
      <sheetName val="FG"/>
      <sheetName val="OP.INCOME"/>
      <sheetName val="O.CHS"/>
      <sheetName val="DEF.TAX"/>
      <sheetName val="NORMAL"/>
      <sheetName val="NORMAL (2)"/>
      <sheetName val="Sheet5"/>
      <sheetName val="34-38.2"/>
      <sheetName val="last qrt2001"/>
      <sheetName val="OP_INCOME"/>
      <sheetName val="O_CHS"/>
      <sheetName val="DEF_TAX"/>
      <sheetName val="NORMAL_(2)"/>
      <sheetName val="last_qrt2001"/>
      <sheetName val="OP_INCOME1"/>
      <sheetName val="O_CHS1"/>
      <sheetName val="DEF_TAX1"/>
      <sheetName val="NORMAL_(2)1"/>
      <sheetName val="last_qrt20011"/>
      <sheetName val="BS-03-00"/>
      <sheetName val="Prices"/>
      <sheetName val="PL Notes"/>
      <sheetName val="Variance Analysis"/>
      <sheetName val="Advert &amp; sales promo"/>
      <sheetName val="P&amp;L (2)"/>
      <sheetName val="11-15"/>
      <sheetName val="OP_INCOME2"/>
      <sheetName val="O_CHS2"/>
      <sheetName val="DEF_TAX2"/>
      <sheetName val="NORMAL_(2)2"/>
      <sheetName val="last_qrt20012"/>
      <sheetName val="OtherKPI"/>
      <sheetName val="june2003statury"/>
      <sheetName val="A"/>
      <sheetName val="Job Titles"/>
      <sheetName val="/´bd_x0000__x0000_/_x0000_0"/>
      <sheetName val="Data"/>
      <sheetName val="STOM-Data"/>
      <sheetName val="Balance Sheet Main"/>
      <sheetName val="EJ-16.1 PG Inv Breakup"/>
      <sheetName val="OP_INCOME3"/>
      <sheetName val="O_CHS3"/>
      <sheetName val="DEF_TAX3"/>
      <sheetName val="NORMAL_(2)3"/>
      <sheetName val="last_qrt20013"/>
      <sheetName val="PL_Notes"/>
      <sheetName val="Variance_Analysis"/>
      <sheetName val="Advert_&amp;_sales_promo"/>
      <sheetName val="P&amp;L_(2)"/>
      <sheetName val="34-38_2"/>
      <sheetName val="Assumptions"/>
      <sheetName val="t-card format"/>
      <sheetName val="Revenue-Fire-Marine-Motor"/>
      <sheetName val="RM-imported"/>
      <sheetName val="Brookes-stocks"/>
      <sheetName val="notes"/>
      <sheetName val="fin inst"/>
      <sheetName val="sayfa 3"/>
      <sheetName val="FitOutConfCentre"/>
      <sheetName val="Raw Data"/>
      <sheetName val="Job_Titles"/>
      <sheetName val=" Summary"/>
      <sheetName val="P&amp;L"/>
      <sheetName val="adm "/>
      <sheetName val="EJ-16_1_PG_Inv_Breakup"/>
      <sheetName val="OP_INCOME4"/>
      <sheetName val="O_CHS4"/>
      <sheetName val="DEF_TAX4"/>
      <sheetName val="NORMAL_(2)4"/>
      <sheetName val="last_qrt20014"/>
      <sheetName val="PL_Notes1"/>
      <sheetName val="Variance_Analysis1"/>
      <sheetName val="Advert_&amp;_sales_promo1"/>
      <sheetName val="P&amp;L_(2)1"/>
      <sheetName val="34-38_21"/>
      <sheetName val="MEGA"/>
      <sheetName val="Final"/>
      <sheetName val="1st Working"/>
      <sheetName val="Sheet3"/>
      <sheetName val="MAIN"/>
      <sheetName val="OP_INCOME5"/>
      <sheetName val="O_CHS5"/>
      <sheetName val="DEF_TAX5"/>
      <sheetName val="NORMAL_(2)5"/>
      <sheetName val="last_qrt20015"/>
      <sheetName val="34-38_22"/>
      <sheetName val="PL_Notes2"/>
      <sheetName val="Variance_Analysis2"/>
      <sheetName val="Advert_&amp;_sales_promo2"/>
      <sheetName val="P&amp;L_(2)2"/>
      <sheetName val="EJ-16_1_PG_Inv_Breakup1"/>
      <sheetName val="Job_Titles1"/>
      <sheetName val="t-card_format"/>
      <sheetName val="/´bd/0"/>
      <sheetName val="Balance_Sheet_Main"/>
      <sheetName val="sayfa_3"/>
      <sheetName val="fin_inst"/>
      <sheetName val="adm_"/>
      <sheetName val="_Summary"/>
      <sheetName val="/´bd"/>
      <sheetName val="_´bd"/>
      <sheetName val="Avsb"/>
      <sheetName val="Mst"/>
      <sheetName val="Sheet4"/>
      <sheetName val="F.S."/>
      <sheetName val="Fixed Asset Schedule"/>
      <sheetName val="BS"/>
      <sheetName val="IE"/>
      <sheetName val="OCI"/>
      <sheetName val="FM"/>
      <sheetName val="FA"/>
      <sheetName val="5-16"/>
      <sheetName val="PAJE"/>
      <sheetName val="K-LS"/>
      <sheetName val="K-1"/>
      <sheetName val="K-2"/>
      <sheetName val="K-3"/>
      <sheetName val="K-4"/>
      <sheetName val="K-5"/>
      <sheetName val="K-6"/>
      <sheetName val="K-7"/>
      <sheetName val="K-8"/>
      <sheetName val="K-9"/>
      <sheetName val="K-10"/>
      <sheetName val="Legends (K)"/>
      <sheetName val="C-LS"/>
      <sheetName val="C-1"/>
      <sheetName val="C-2"/>
      <sheetName val="R-LS"/>
      <sheetName val="R-1"/>
      <sheetName val="R-2"/>
      <sheetName val="R-3"/>
      <sheetName val="E-LS"/>
      <sheetName val="E-1"/>
      <sheetName val="E-1.1"/>
      <sheetName val="E-2"/>
      <sheetName val="E-3"/>
      <sheetName val="E-4"/>
      <sheetName val="E-5"/>
      <sheetName val="E-6"/>
      <sheetName val="Q-LS"/>
      <sheetName val="Q.1"/>
      <sheetName val="N-LS"/>
      <sheetName val="N-1"/>
      <sheetName val="N-2"/>
      <sheetName val="N-3"/>
      <sheetName val="N-4"/>
      <sheetName val="N-5"/>
      <sheetName val="N-6"/>
      <sheetName val="N-7 "/>
      <sheetName val="N-8"/>
      <sheetName val="U--LS"/>
      <sheetName val="U-1"/>
      <sheetName val="U-2"/>
      <sheetName val="U-2.1"/>
      <sheetName val="U-2.2"/>
      <sheetName val="U-2.3"/>
      <sheetName val="U-2.4"/>
      <sheetName val="U-3"/>
      <sheetName val="U-11"/>
      <sheetName val="W-LS"/>
      <sheetName val="W-1"/>
      <sheetName val="W - 1.1"/>
      <sheetName val="W-1.2"/>
      <sheetName val="W-1.3"/>
      <sheetName val="W-1.4"/>
      <sheetName val="Payroll Legends"/>
      <sheetName val="W-1.5"/>
      <sheetName val="W-1.6"/>
      <sheetName val="W-2"/>
      <sheetName val="W-3"/>
      <sheetName val="W-4"/>
      <sheetName val="W-5"/>
      <sheetName val="W-6"/>
      <sheetName val="W-7"/>
      <sheetName val="Legends (W)"/>
      <sheetName val="Mozu Schedule"/>
      <sheetName val="MN-1"/>
      <sheetName val="MN-1.1"/>
      <sheetName val="MN-1.2"/>
      <sheetName val="ME-1"/>
      <sheetName val="MC-3"/>
      <sheetName val="MU-1"/>
      <sheetName val="TB-2017-18"/>
      <sheetName val="TB-2016-17 DP"/>
      <sheetName val="TB-2016-17 MAALI"/>
      <sheetName val="PCTB-2016-17 MAALI"/>
      <sheetName val="1st_Working"/>
      <sheetName val="t-card_format1"/>
      <sheetName val="1st_Working1"/>
      <sheetName val="adm_1"/>
      <sheetName val="sayfa_31"/>
      <sheetName val="[june2003statury.xls]/´bd_x0000__x0000_/_x0000_0"/>
      <sheetName val="[june2003statury.xls]/´bd/0"/>
      <sheetName val="[june2003statury.xls]/´bd"/>
      <sheetName val="[june2003statury.xls]_june200_2"/>
      <sheetName val="[june2003statury.xls]_june200_3"/>
      <sheetName val="[june2003statury.xls]_june200_4"/>
      <sheetName val="new sum"/>
      <sheetName val="bus in com imp wo ss cs"/>
      <sheetName val="Sheet1 "/>
      <sheetName val="Code"/>
      <sheetName val="SUPPLIER"/>
      <sheetName val="Sheet1"/>
      <sheetName val="Balance_Sheet_Main1"/>
      <sheetName val="TBPRICE"/>
      <sheetName val="ACCOUNTS"/>
      <sheetName val="Graph"/>
      <sheetName val="Balance Sheet"/>
      <sheetName val="/´bd??/?0"/>
      <sheetName val="I-BR"/>
      <sheetName val="29-30"/>
      <sheetName val="3.2"/>
      <sheetName val="[june2003statury.xls]_june200_5"/>
      <sheetName val="PLBS"/>
      <sheetName val="[june2003statury.xls]_june200_6"/>
      <sheetName val="[june2003statury.xls]_june200_7"/>
      <sheetName val="POWER HOUSE"/>
      <sheetName val="Bill"/>
      <sheetName val="Boiler House"/>
      <sheetName val="AIr Conditioner"/>
      <sheetName val="Mechanical"/>
      <sheetName val="Air Compressor"/>
      <sheetName val="Electrical"/>
      <sheetName val="Hot Water( Annex-G)"/>
      <sheetName val="Gas Break Up(Annex-E)"/>
      <sheetName val="OCF wtg"/>
      <sheetName val="Detail"/>
      <sheetName val="Historical"/>
      <sheetName val="Consol with Adjustments  (2)"/>
      <sheetName val="KPI Sheet"/>
      <sheetName val="BS-OVS"/>
      <sheetName val="_´bd_0"/>
      <sheetName val="_june2003statury.xls__´bd"/>
      <sheetName val="_june2003statury.xls__´bd_0"/>
      <sheetName val="_june2003statury.xls__june200_2"/>
      <sheetName val="_june2003statury.xls__june200_3"/>
      <sheetName val="_june2003statury.xls__june200_4"/>
      <sheetName val="OP_INCOME6"/>
      <sheetName val="O_CHS6"/>
      <sheetName val="DEF_TAX6"/>
      <sheetName val="NORMAL_(2)6"/>
      <sheetName val="last_qrt20016"/>
      <sheetName val="34-38_23"/>
      <sheetName val="PL_Notes3"/>
      <sheetName val="Variance_Analysis3"/>
      <sheetName val="Advert_&amp;_sales_promo3"/>
      <sheetName val="P&amp;L_(2)3"/>
      <sheetName val="Job_Titles2"/>
      <sheetName val="EJ-16_1_PG_Inv_Breakup2"/>
      <sheetName val="fin_inst1"/>
      <sheetName val="_Summary1"/>
      <sheetName val="Fixed_Asset_Schedule"/>
      <sheetName val="Legends_(K)"/>
      <sheetName val="E-1_1"/>
      <sheetName val="Q_1"/>
      <sheetName val="N-7_"/>
      <sheetName val="U-2_1"/>
      <sheetName val="U-2_2"/>
      <sheetName val="U-2_3"/>
      <sheetName val="U-2_4"/>
      <sheetName val="W_-_1_1"/>
      <sheetName val="W-1_2"/>
      <sheetName val="W-1_3"/>
      <sheetName val="W-1_4"/>
      <sheetName val="Payroll_Legends"/>
      <sheetName val="W-1_5"/>
      <sheetName val="W-1_6"/>
      <sheetName val="Legends_(W)"/>
      <sheetName val="Mozu_Schedule"/>
      <sheetName val="MN-1_1"/>
      <sheetName val="MN-1_2"/>
      <sheetName val="TB-2016-17_DP"/>
      <sheetName val="TB-2016-17_MAALI"/>
      <sheetName val="PCTB-2016-17_MAALI"/>
      <sheetName val="Raw_Data"/>
      <sheetName val="[june2003statury_xls]/´bd/0"/>
      <sheetName val="[june2003statury_xls]/´bd"/>
      <sheetName val="[june2003statury_xls]_june200_2"/>
      <sheetName val="[june2003statury_xls]_june200_3"/>
      <sheetName val="[june2003statury_xls]_june200_4"/>
      <sheetName val="new_sum"/>
      <sheetName val="bus_in_com_imp_wo_ss_cs"/>
      <sheetName val="Sheet1_"/>
      <sheetName val="OP_INCOME7"/>
      <sheetName val="O_CHS7"/>
      <sheetName val="DEF_TAX7"/>
      <sheetName val="NORMAL_(2)7"/>
      <sheetName val="last_qrt20017"/>
      <sheetName val="34-38_24"/>
      <sheetName val="PL_Notes4"/>
      <sheetName val="Variance_Analysis4"/>
      <sheetName val="Advert_&amp;_sales_promo4"/>
      <sheetName val="P&amp;L_(2)4"/>
      <sheetName val="Job_Titles3"/>
      <sheetName val="EJ-16_1_PG_Inv_Breakup3"/>
      <sheetName val="fin_inst2"/>
      <sheetName val="t-card_format2"/>
      <sheetName val="sayfa_32"/>
      <sheetName val="Balance_Sheet_Main2"/>
      <sheetName val="adm_2"/>
      <sheetName val="_Summary2"/>
      <sheetName val="Fixed_Asset_Schedule1"/>
      <sheetName val="Legends_(K)1"/>
      <sheetName val="E-1_11"/>
      <sheetName val="Q_11"/>
      <sheetName val="N-7_1"/>
      <sheetName val="U-2_11"/>
      <sheetName val="U-2_21"/>
      <sheetName val="U-2_31"/>
      <sheetName val="U-2_41"/>
      <sheetName val="W_-_1_11"/>
      <sheetName val="W-1_21"/>
      <sheetName val="W-1_31"/>
      <sheetName val="W-1_41"/>
      <sheetName val="Payroll_Legends1"/>
      <sheetName val="W-1_51"/>
      <sheetName val="W-1_61"/>
      <sheetName val="Legends_(W)1"/>
      <sheetName val="Mozu_Schedule1"/>
      <sheetName val="MN-1_11"/>
      <sheetName val="MN-1_21"/>
      <sheetName val="TB-2016-17_DP1"/>
      <sheetName val="TB-2016-17_MAALI1"/>
      <sheetName val="PCTB-2016-17_MAALI1"/>
      <sheetName val="Raw_Data1"/>
      <sheetName val="[june2003statury_xls]/´bd/01"/>
      <sheetName val="[june2003statury_xls]/´bd1"/>
      <sheetName val="[june2003statury_xls]_june200_1"/>
      <sheetName val="[june2003statury_xls]_june200_5"/>
      <sheetName val="[june2003statury_xls]_june200_6"/>
      <sheetName val="new_sum1"/>
      <sheetName val="bus_in_com_imp_wo_ss_cs1"/>
      <sheetName val="Sheet1_1"/>
      <sheetName val="OP_INCOME8"/>
      <sheetName val="O_CHS8"/>
      <sheetName val="DEF_TAX8"/>
      <sheetName val="NORMAL_(2)8"/>
      <sheetName val="last_qrt20018"/>
      <sheetName val="34-38_25"/>
      <sheetName val="PL_Notes5"/>
      <sheetName val="Variance_Analysis5"/>
      <sheetName val="Advert_&amp;_sales_promo5"/>
      <sheetName val="P&amp;L_(2)5"/>
      <sheetName val="Job_Titles4"/>
      <sheetName val="EJ-16_1_PG_Inv_Breakup4"/>
      <sheetName val="fin_inst3"/>
      <sheetName val="t-card_format3"/>
      <sheetName val="sayfa_33"/>
      <sheetName val="Balance_Sheet_Main3"/>
      <sheetName val="adm_3"/>
      <sheetName val="_Summary3"/>
      <sheetName val="Fixed_Asset_Schedule2"/>
      <sheetName val="Legends_(K)2"/>
      <sheetName val="E-1_12"/>
      <sheetName val="Q_12"/>
      <sheetName val="N-7_2"/>
      <sheetName val="U-2_12"/>
      <sheetName val="U-2_22"/>
      <sheetName val="U-2_32"/>
      <sheetName val="U-2_42"/>
      <sheetName val="W_-_1_12"/>
      <sheetName val="W-1_22"/>
      <sheetName val="W-1_32"/>
      <sheetName val="W-1_42"/>
      <sheetName val="Payroll_Legends2"/>
      <sheetName val="W-1_52"/>
      <sheetName val="W-1_62"/>
      <sheetName val="Legends_(W)2"/>
      <sheetName val="Mozu_Schedule2"/>
      <sheetName val="MN-1_12"/>
      <sheetName val="MN-1_22"/>
      <sheetName val="TB-2016-17_DP2"/>
      <sheetName val="TB-2016-17_MAALI2"/>
      <sheetName val="PCTB-2016-17_MAALI2"/>
      <sheetName val="Raw_Data2"/>
      <sheetName val="1st_Working2"/>
      <sheetName val="[june2003statury_xls]/´bd/02"/>
      <sheetName val="[june2003statury_xls]/´bd2"/>
      <sheetName val="[june2003statury_xls]_june200_7"/>
      <sheetName val="[june2003statury_xls]_june200_8"/>
      <sheetName val="[june2003statury_xls]_june200_9"/>
      <sheetName val="new_sum2"/>
      <sheetName val="bus_in_com_imp_wo_ss_cs2"/>
      <sheetName val="Sheet1_2"/>
      <sheetName val="Input"/>
      <sheetName val="Other Data"/>
      <sheetName val="Funk P og L"/>
      <sheetName val="II- INV CO"/>
      <sheetName val="F_S_"/>
      <sheetName val="F_S_1"/>
      <sheetName val="_´bd____0"/>
      <sheetName val="DEAL REGISTER"/>
      <sheetName val="td"/>
      <sheetName val="CDB-Deposits"/>
      <sheetName val="[june2003statury.xls]_june200_8"/>
      <sheetName val="[june2003statury.xls]_june200_9"/>
      <sheetName val="[june2003statury.xls]_june20_10"/>
      <sheetName val="5-F-PAR"/>
      <sheetName val="Balance_Sheet"/>
      <sheetName val="[june2003statury.xls]/´bd??/?0"/>
      <sheetName val="SOA "/>
      <sheetName val="p &amp; l"/>
      <sheetName val="PUR&amp;SAL"/>
      <sheetName val="purchase"/>
      <sheetName val="PRMETRE"/>
      <sheetName val="mahboob"/>
      <sheetName val="A-R"/>
      <sheetName val="Sheet2"/>
      <sheetName val="COR"/>
      <sheetName val="PC"/>
      <sheetName val="PE"/>
      <sheetName val="PG"/>
      <sheetName val="PEPG"/>
      <sheetName val="SA"/>
      <sheetName val="AGR"/>
      <sheetName val="PH"/>
      <sheetName val="REG_ADJ"/>
      <sheetName val="PTS"/>
      <sheetName val="æ¾ö¤±àºÅ"/>
      <sheetName val="Currency"/>
      <sheetName val="DropDown"/>
      <sheetName val="variance"/>
      <sheetName val="F_S_2"/>
      <sheetName val="Balance_Sheet1"/>
      <sheetName val="POWER_HOUSE"/>
      <sheetName val="Boiler_House"/>
      <sheetName val="AIr_Conditioner"/>
      <sheetName val="Air_Compressor"/>
      <sheetName val="Hot_Water(_Annex-G)"/>
      <sheetName val="Gas_Break_Up(Annex-E)"/>
      <sheetName val="OCF_wtg"/>
      <sheetName val="Consol_with_Adjustments__(2)"/>
      <sheetName val="3_2"/>
      <sheetName val="KPI_Sheet"/>
      <sheetName val="[june2003statury_xls]_june20010"/>
      <sheetName val="[june2003statury_xls]_june20011"/>
      <sheetName val="[june2003statury_xls]_june20012"/>
      <sheetName val="[june2003statury_xls]/´bd??/?0"/>
      <sheetName val="BM New 2020"/>
      <sheetName val="Raw Combined Trial"/>
      <sheetName val="Acct"/>
      <sheetName val="Cash &amp; bank"/>
      <sheetName val="Altri09"/>
      <sheetName val="AFRP2007F-2008B"/>
      <sheetName val="2000-01"/>
      <sheetName val="2002-03"/>
      <sheetName val="1998-99"/>
      <sheetName val="AFRP2005F-2006B"/>
      <sheetName val="PY data"/>
      <sheetName val="SCH2a"/>
      <sheetName val="SCH2b"/>
      <sheetName val="SCH2c"/>
      <sheetName val="SCH2d"/>
      <sheetName val="SCH1a"/>
      <sheetName val="Sch 7"/>
      <sheetName val="COVERING SHEET"/>
      <sheetName val="CONTROL"/>
      <sheetName val="Sch1"/>
      <sheetName val="Sch 6"/>
      <sheetName val="Sch 2"/>
      <sheetName val="Sch 4"/>
      <sheetName val="Sch 3"/>
      <sheetName val="Sch 8"/>
      <sheetName val="Ctrl sheet"/>
      <sheetName val="Final scores2008"/>
      <sheetName val="Consolidated"/>
      <sheetName val="Cashflow"/>
      <sheetName val="Mn"/>
      <sheetName val="OEP"/>
      <sheetName val="Is"/>
      <sheetName val="H.O.RWP"/>
      <sheetName val="Kc"/>
      <sheetName val="Reports"/>
      <sheetName val="Balance"/>
      <sheetName val="C_EXP"/>
      <sheetName val="GSE"/>
      <sheetName val="PVW_State"/>
      <sheetName val="CIT"/>
      <sheetName val="REVENUE"/>
      <sheetName val="Lh"/>
      <sheetName val="_june2003statury_xls__´bd"/>
      <sheetName val="_june2003statury_xls__´bd_0"/>
      <sheetName val="_june2003statury_xls__june200_2"/>
      <sheetName val="_june2003statury_xls__june200_3"/>
      <sheetName val="_june2003statury_xls__june200_4"/>
      <sheetName val="Capital Cost (Unit-2)"/>
      <sheetName val="Raw_Data3"/>
      <sheetName val="Raw_Data4"/>
      <sheetName val="Job_Titles5"/>
      <sheetName val="Balance_Sheet_Main4"/>
      <sheetName val="Raw_Data5"/>
      <sheetName val="t-card_format4"/>
      <sheetName val="sayfa_34"/>
      <sheetName val="fin_inst4"/>
      <sheetName val="bs&amp;Pl"/>
      <sheetName val="International 2.7"/>
      <sheetName val="Global One - March"/>
      <sheetName val="KPN"/>
      <sheetName val="pensat"/>
      <sheetName val="PY_data"/>
      <sheetName val="PY_data1"/>
      <sheetName val="PY_data2"/>
      <sheetName val="PY_data4"/>
      <sheetName val="PY_data3"/>
      <sheetName val="t-card_format5"/>
      <sheetName val="PY_data5"/>
      <sheetName val="Selling and distribution"/>
      <sheetName val="Sales"/>
      <sheetName val="Sizing Movement"/>
      <sheetName val="OP_INCOME9"/>
      <sheetName val="O_CHS9"/>
      <sheetName val="DEF_TAX9"/>
      <sheetName val="NORMAL_(2)9"/>
      <sheetName val="last_qrt20019"/>
      <sheetName val="PL_Notes6"/>
      <sheetName val="Variance_Analysis6"/>
      <sheetName val="Advert_&amp;_sales_promo6"/>
      <sheetName val="P&amp;L_(2)6"/>
      <sheetName val="34-38_26"/>
      <sheetName val="EJ-16_1_PG_Inv_Breakup5"/>
      <sheetName val="adm_4"/>
      <sheetName val="_Summary4"/>
      <sheetName val="Fixed_Asset_Schedule3"/>
      <sheetName val="Legends_(K)3"/>
      <sheetName val="E-1_13"/>
      <sheetName val="Q_13"/>
      <sheetName val="N-7_3"/>
      <sheetName val="U-2_13"/>
      <sheetName val="U-2_23"/>
      <sheetName val="U-2_33"/>
      <sheetName val="U-2_43"/>
      <sheetName val="W_-_1_13"/>
      <sheetName val="W-1_23"/>
      <sheetName val="W-1_33"/>
      <sheetName val="W-1_43"/>
      <sheetName val="Payroll_Legends3"/>
      <sheetName val="W-1_53"/>
      <sheetName val="W-1_63"/>
      <sheetName val="Legends_(W)3"/>
      <sheetName val="Mozu_Schedule3"/>
      <sheetName val="MN-1_13"/>
      <sheetName val="MN-1_23"/>
      <sheetName val="TB-2016-17_DP3"/>
      <sheetName val="TB-2016-17_MAALI3"/>
      <sheetName val="PCTB-2016-17_MAALI3"/>
      <sheetName val="1st_Working3"/>
      <sheetName val="[june2003statury_xls]/´bd/03"/>
      <sheetName val="[june2003statury_xls]/´bd3"/>
      <sheetName val="[june2003statury_xls]_june20013"/>
      <sheetName val="[june2003statury_xls]_june20014"/>
      <sheetName val="[june2003statury_xls]_june20015"/>
      <sheetName val="F_S_3"/>
      <sheetName val="new_sum3"/>
      <sheetName val="bus_in_com_imp_wo_ss_cs3"/>
      <sheetName val="Sheet1_3"/>
      <sheetName val="Balance_Sheet2"/>
      <sheetName val="POWER_HOUSE1"/>
      <sheetName val="Boiler_House1"/>
      <sheetName val="AIr_Conditioner1"/>
      <sheetName val="Air_Compressor1"/>
      <sheetName val="Hot_Water(_Annex-G)1"/>
      <sheetName val="Gas_Break_Up(Annex-E)1"/>
      <sheetName val="OCF_wtg1"/>
      <sheetName val="Consol_with_Adjustments__(2)1"/>
      <sheetName val="3_21"/>
      <sheetName val="KPI_Sheet1"/>
      <sheetName val="[june2003statury_xls]_june20016"/>
      <sheetName val="[june2003statury_xls]_june20017"/>
      <sheetName val="[june2003statury_xls]_june20018"/>
      <sheetName val="[june2003statury_xls]/´bd??/?01"/>
      <sheetName val="Other_Data"/>
      <sheetName val="Funk_P_og_L"/>
      <sheetName val="II-_INV_CO"/>
      <sheetName val="DEAL_REGISTER"/>
      <sheetName val="BM_New_2020"/>
      <sheetName val="[june2003statury_xls]_june20019"/>
      <sheetName val="[june2003statury_xls]_june20020"/>
      <sheetName val="[june2003statury_xls]_june20_10"/>
      <sheetName val="Raw_Combined_Trial"/>
      <sheetName val="Cash_&amp;_bank"/>
      <sheetName val="LOCAL STUDENTS"/>
      <sheetName val="Results Summary"/>
      <sheetName val="LO-Jan"/>
      <sheetName val="Actualization_Details"/>
      <sheetName val="/´bd_x005f_x0000__x005f_x0000_/_x005f_x0000_0"/>
      <sheetName val="[june2003statury.xls]/´bd_x0000"/>
      <sheetName val="DF"/>
      <sheetName val="Thomson-Reuters"/>
      <sheetName val="BARRA"/>
      <sheetName val="AMEX"/>
      <sheetName val="Analytics Research"/>
      <sheetName val="Bourse de Montréal"/>
      <sheetName val="callstreet"/>
      <sheetName val="Toronto_Stock_Exchange"/>
      <sheetName val="CQG"/>
      <sheetName val="Credit_Sight"/>
      <sheetName val="Thomson_Datastream"/>
      <sheetName val="Deal_Reporter"/>
      <sheetName val="Paramétrage"/>
      <sheetName val="Egan Jones Rating"/>
      <sheetName val="Factiva"/>
      <sheetName val="Factset"/>
      <sheetName val="Morning_star"/>
      <sheetName val="Global_Property_Research"/>
      <sheetName val="GMI"/>
      <sheetName val="Innovest"/>
      <sheetName val="IPE Quest"/>
      <sheetName val="S&amp;P_LCD"/>
      <sheetName val="Markit"/>
      <sheetName val="Moody's Investors"/>
      <sheetName val="MSCI"/>
      <sheetName val="NYSE"/>
      <sheetName val="Thomson_One_Analytic"/>
      <sheetName val="OPRA"/>
      <sheetName val="PCS_Securities"/>
      <sheetName val="Pertrac"/>
      <sheetName val="Point_Carbon"/>
      <sheetName val="Bloomberg"/>
      <sheetName val="Integral Software"/>
      <sheetName val="S&amp;P_Rating_Direct"/>
      <sheetName val="Trading &amp; Sales Support"/>
      <sheetName val="Tradeweb"/>
      <sheetName val="Thomson"/>
      <sheetName val="Watson_White"/>
      <sheetName val="Budget_US"/>
      <sheetName val="FX_Int"/>
      <sheetName val="Links"/>
      <sheetName val="Lead"/>
      <sheetName val="대비표"/>
      <sheetName val="Sheet1 (2)"/>
      <sheetName val="P. control"/>
      <sheetName val="BNK2 CRC JULY 31 (3)"/>
      <sheetName val="TB Summary 290706"/>
      <sheetName val="Client TB-2011"/>
      <sheetName val="BalSht"/>
      <sheetName val="#REF"/>
      <sheetName val="Input_sheet"/>
      <sheetName val="YOEMAGUM"/>
      <sheetName val="현금흐름표"/>
      <sheetName val="상품입고집계"/>
      <sheetName val="공통"/>
      <sheetName val="A1"/>
      <sheetName val="DESBASTE"/>
      <sheetName val="CFS"/>
      <sheetName val="Assump"/>
      <sheetName val="Shares Outstanding"/>
      <sheetName val="Check"/>
      <sheetName val="H I Half Moon"/>
      <sheetName val="Effectif par BU2"/>
      <sheetName val="Base sheet"/>
      <sheetName val="LLEGADA"/>
      <sheetName val="Ctrls"/>
      <sheetName val="C&amp;D"/>
      <sheetName val="paramètres"/>
      <sheetName val="Retrieve"/>
      <sheetName val="Notes 2006"/>
      <sheetName val="OP_INCOME10"/>
      <sheetName val="O_CHS10"/>
      <sheetName val="DEF_TAX10"/>
      <sheetName val="NORMAL_(2)10"/>
      <sheetName val="last_qrt200110"/>
      <sheetName val="PL_Notes7"/>
      <sheetName val="Variance_Analysis7"/>
      <sheetName val="Advert_&amp;_sales_promo7"/>
      <sheetName val="P&amp;L_(2)7"/>
      <sheetName val="34-38_27"/>
      <sheetName val="Job_Titles6"/>
      <sheetName val="EJ-16_1_PG_Inv_Breakup6"/>
      <sheetName val="sayfa_35"/>
      <sheetName val="Balance_Sheet_Main5"/>
      <sheetName val="fin_inst5"/>
      <sheetName val="adm_5"/>
      <sheetName val="1st_Working4"/>
      <sheetName val="_Summary5"/>
      <sheetName val="Fixed_Asset_Schedule4"/>
      <sheetName val="Legends_(K)4"/>
      <sheetName val="E-1_14"/>
      <sheetName val="Q_14"/>
      <sheetName val="N-7_4"/>
      <sheetName val="U-2_14"/>
      <sheetName val="U-2_24"/>
      <sheetName val="U-2_34"/>
      <sheetName val="U-2_44"/>
      <sheetName val="W_-_1_14"/>
      <sheetName val="W-1_24"/>
      <sheetName val="W-1_34"/>
      <sheetName val="W-1_44"/>
      <sheetName val="Payroll_Legends4"/>
      <sheetName val="W-1_54"/>
      <sheetName val="W-1_64"/>
      <sheetName val="Legends_(W)4"/>
      <sheetName val="Mozu_Schedule4"/>
      <sheetName val="MN-1_14"/>
      <sheetName val="MN-1_24"/>
      <sheetName val="TB-2016-17_DP4"/>
      <sheetName val="TB-2016-17_MAALI4"/>
      <sheetName val="PCTB-2016-17_MAALI4"/>
      <sheetName val="[june2003statury_xls]/´bd/04"/>
      <sheetName val="[june2003statury_xls]/´bd4"/>
      <sheetName val="[june2003statury_xls]_june20021"/>
      <sheetName val="[june2003statury_xls]_june20022"/>
      <sheetName val="[june2003statury_xls]_june20023"/>
      <sheetName val="F_S_4"/>
      <sheetName val="new_sum4"/>
      <sheetName val="bus_in_com_imp_wo_ss_cs4"/>
      <sheetName val="Sheet1_4"/>
      <sheetName val="Balance_Sheet3"/>
      <sheetName val="POWER_HOUSE2"/>
      <sheetName val="Boiler_House2"/>
      <sheetName val="AIr_Conditioner2"/>
      <sheetName val="Air_Compressor2"/>
      <sheetName val="Hot_Water(_Annex-G)2"/>
      <sheetName val="Gas_Break_Up(Annex-E)2"/>
      <sheetName val="OCF_wtg2"/>
      <sheetName val="Consol_with_Adjustments__(2)2"/>
      <sheetName val="3_22"/>
      <sheetName val="KPI_Sheet2"/>
      <sheetName val="_june2003statury_xls__´bd1"/>
      <sheetName val="_june2003statury_xls__´bd_01"/>
      <sheetName val="_june2003statury_xls__june200_1"/>
      <sheetName val="_june2003statury_xls__june200_5"/>
      <sheetName val="_june2003statury_xls__june200_6"/>
      <sheetName val="[june2003statury_xls]_june20024"/>
      <sheetName val="[june2003statury_xls]_june20025"/>
      <sheetName val="[june2003statury_xls]_june20026"/>
      <sheetName val="[june2003statury_xls]/´bd??/?02"/>
      <sheetName val="Other_Data1"/>
      <sheetName val="Funk_P_og_L1"/>
      <sheetName val="II-_INV_CO1"/>
      <sheetName val="DEAL_REGISTER1"/>
      <sheetName val="BM_New_20201"/>
      <sheetName val="[june2003statury_xls]_june20027"/>
      <sheetName val="[june2003statury_xls]_june20028"/>
      <sheetName val="[june2003statury_xls]_june20_11"/>
      <sheetName val="Raw_Combined_Trial1"/>
      <sheetName val="Cash_&amp;_bank1"/>
      <sheetName val="Revised Budget as per CNPP"/>
      <sheetName val="TPAD"/>
      <sheetName val="Con. Schedule"/>
      <sheetName val="BoM-Incremental"/>
      <sheetName val="Sch_7"/>
      <sheetName val="COVERING_SHEET"/>
      <sheetName val="Sch_6"/>
      <sheetName val="Sch_2"/>
      <sheetName val="Sch_4"/>
      <sheetName val="Sch_3"/>
      <sheetName val="Sch_8"/>
      <sheetName val="Ctrl_sheet"/>
      <sheetName val="Final_scores2008"/>
      <sheetName val="H_O_RWP"/>
      <sheetName val="OP_INCOME11"/>
      <sheetName val="O_CHS11"/>
      <sheetName val="DEF_TAX11"/>
      <sheetName val="NORMAL_(2)11"/>
      <sheetName val="last_qrt200111"/>
      <sheetName val="PL_Notes8"/>
      <sheetName val="Variance_Analysis8"/>
      <sheetName val="Advert_&amp;_sales_promo8"/>
      <sheetName val="P&amp;L_(2)8"/>
      <sheetName val="34-38_28"/>
      <sheetName val="t-card_format6"/>
      <sheetName val="sayfa_36"/>
      <sheetName val="Job_Titles7"/>
      <sheetName val="EJ-16_1_PG_Inv_Breakup7"/>
      <sheetName val="Fixed_Asset_Schedule5"/>
      <sheetName val="Legends_(K)5"/>
      <sheetName val="E-1_15"/>
      <sheetName val="Q_15"/>
      <sheetName val="N-7_5"/>
      <sheetName val="U-2_15"/>
      <sheetName val="U-2_25"/>
      <sheetName val="U-2_35"/>
      <sheetName val="U-2_45"/>
      <sheetName val="W_-_1_15"/>
      <sheetName val="W-1_25"/>
      <sheetName val="W-1_35"/>
      <sheetName val="W-1_45"/>
      <sheetName val="Payroll_Legends5"/>
      <sheetName val="W-1_55"/>
      <sheetName val="W-1_65"/>
      <sheetName val="Legends_(W)5"/>
      <sheetName val="Mozu_Schedule5"/>
      <sheetName val="MN-1_15"/>
      <sheetName val="MN-1_25"/>
      <sheetName val="TB-2016-17_DP5"/>
      <sheetName val="TB-2016-17_MAALI5"/>
      <sheetName val="PCTB-2016-17_MAALI5"/>
      <sheetName val="adm_6"/>
      <sheetName val="_Summary6"/>
      <sheetName val="1st_Working5"/>
      <sheetName val="Balance_Sheet_Main6"/>
      <sheetName val="fin_inst6"/>
      <sheetName val="[june2003statury_xls]/´bd/05"/>
      <sheetName val="[june2003statury_xls]/´bd5"/>
      <sheetName val="[june2003statury_xls]_june20029"/>
      <sheetName val="F_S_5"/>
      <sheetName val="new_sum5"/>
      <sheetName val="bus_in_com_imp_wo_ss_cs5"/>
      <sheetName val="Sheet1_5"/>
      <sheetName val="Balance_Sheet4"/>
      <sheetName val="POWER_HOUSE3"/>
      <sheetName val="Boiler_House3"/>
      <sheetName val="AIr_Conditioner3"/>
      <sheetName val="Air_Compressor3"/>
      <sheetName val="Hot_Water(_Annex-G)3"/>
      <sheetName val="Gas_Break_Up(Annex-E)3"/>
      <sheetName val="3_23"/>
      <sheetName val="OCF_wtg3"/>
      <sheetName val="Consol_with_Adjustments__(2)3"/>
      <sheetName val="KPI_Sheet3"/>
      <sheetName val="[june2003statury_xls]_june20030"/>
      <sheetName val="[june2003statury_xls]_june20031"/>
      <sheetName val="[june2003statury_xls]_june20032"/>
      <sheetName val="[june2003statury_xls]/´bd??/?03"/>
      <sheetName val="_june2003statury_xls__´bd2"/>
      <sheetName val="_june2003statury_xls__´bd_02"/>
      <sheetName val="_june2003statury_xls__june200_7"/>
      <sheetName val="_june2003statury_xls__june200_8"/>
      <sheetName val="_june2003statury_xls__june200_9"/>
      <sheetName val="Other_Data2"/>
      <sheetName val="Funk_P_og_L2"/>
      <sheetName val="II-_INV_CO2"/>
      <sheetName val="OP_INCOME12"/>
      <sheetName val="O_CHS12"/>
      <sheetName val="DEF_TAX12"/>
      <sheetName val="NORMAL_(2)12"/>
      <sheetName val="last_qrt200112"/>
      <sheetName val="34-38_29"/>
      <sheetName val="PL_Notes9"/>
      <sheetName val="Variance_Analysis9"/>
      <sheetName val="Advert_&amp;_sales_promo9"/>
      <sheetName val="P&amp;L_(2)9"/>
      <sheetName val="Job_Titles8"/>
      <sheetName val="EJ-16_1_PG_Inv_Breakup8"/>
      <sheetName val="t-card_format7"/>
      <sheetName val="sayfa_37"/>
      <sheetName val="fin_inst7"/>
      <sheetName val="Balance_Sheet_Main7"/>
      <sheetName val="_Summary7"/>
      <sheetName val="adm_7"/>
      <sheetName val="Raw_Data6"/>
      <sheetName val="1st_Working6"/>
      <sheetName val="[june2003statury_xls]/´bd/06"/>
      <sheetName val="[june2003statury_xls]/´bd6"/>
      <sheetName val="[june2003statury_xls]_june20033"/>
      <sheetName val="[june2003statury_xls]_june20034"/>
      <sheetName val="[june2003statury_xls]_june20035"/>
      <sheetName val="F_S_6"/>
      <sheetName val="Fixed_Asset_Schedule6"/>
      <sheetName val="Legends_(K)6"/>
      <sheetName val="E-1_16"/>
      <sheetName val="Q_16"/>
      <sheetName val="N-7_6"/>
      <sheetName val="U-2_16"/>
      <sheetName val="U-2_26"/>
      <sheetName val="U-2_36"/>
      <sheetName val="U-2_46"/>
      <sheetName val="W_-_1_16"/>
      <sheetName val="W-1_26"/>
      <sheetName val="W-1_36"/>
      <sheetName val="W-1_46"/>
      <sheetName val="Payroll_Legends6"/>
      <sheetName val="W-1_56"/>
      <sheetName val="W-1_66"/>
      <sheetName val="Legends_(W)6"/>
      <sheetName val="Mozu_Schedule6"/>
      <sheetName val="MN-1_16"/>
      <sheetName val="MN-1_26"/>
      <sheetName val="TB-2016-17_DP6"/>
      <sheetName val="TB-2016-17_MAALI6"/>
      <sheetName val="PCTB-2016-17_MAALI6"/>
      <sheetName val="new_sum6"/>
      <sheetName val="bus_in_com_imp_wo_ss_cs6"/>
      <sheetName val="Sheet1_6"/>
      <sheetName val="Balance_Sheet5"/>
      <sheetName val="POWER_HOUSE4"/>
      <sheetName val="Boiler_House4"/>
      <sheetName val="AIr_Conditioner4"/>
      <sheetName val="Air_Compressor4"/>
      <sheetName val="Hot_Water(_Annex-G)4"/>
      <sheetName val="Gas_Break_Up(Annex-E)4"/>
      <sheetName val="OCF_wtg4"/>
      <sheetName val="Consol_with_Adjustments__(2)4"/>
      <sheetName val="3_24"/>
      <sheetName val="KPI_Sheet4"/>
      <sheetName val="[june2003statury_xls]_june20036"/>
      <sheetName val="[june2003statury_xls]_june20037"/>
      <sheetName val="[june2003statury_xls]_june20038"/>
      <sheetName val="[june2003statury_xls]/´bd??/?04"/>
      <sheetName val="_june2003statury_xls__´bd3"/>
      <sheetName val="_june2003statury_xls__´bd_03"/>
      <sheetName val="_june2003statury_xls__june20010"/>
      <sheetName val="_june2003statury_xls__june20011"/>
      <sheetName val="_june2003statury_xls__june20012"/>
      <sheetName val="Other_Data3"/>
      <sheetName val="Funk_P_og_L3"/>
      <sheetName val="II-_INV_CO3"/>
      <sheetName val="DEAL_REGISTER2"/>
      <sheetName val="Sch_71"/>
      <sheetName val="COVERING_SHEET1"/>
      <sheetName val="Sch_61"/>
      <sheetName val="Sch_21"/>
      <sheetName val="Sch_41"/>
      <sheetName val="Sch_31"/>
      <sheetName val="Sch_81"/>
      <sheetName val="Ctrl_sheet1"/>
      <sheetName val="Final_scores20081"/>
      <sheetName val="H_O_RWP1"/>
      <sheetName val="[june2003statury_xls]_june20039"/>
      <sheetName val="[june2003statury_xls]_june20040"/>
      <sheetName val="HD-CF 3 Yrs "/>
      <sheetName val="Outline"/>
      <sheetName val="Blad1"/>
      <sheetName val="Note 9.2.4"/>
      <sheetName val="TRAFFIC SUMMERY-4"/>
      <sheetName val="PY_data6"/>
      <sheetName val="PY_data7"/>
      <sheetName val="Raw_Data7"/>
      <sheetName val="t-card_format8"/>
      <sheetName val="PY_data8"/>
      <sheetName val="Raw_Data8"/>
      <sheetName val="t-card_format9"/>
      <sheetName val="PY_data9"/>
      <sheetName val="Raw_Data9"/>
      <sheetName val="Job_Titles9"/>
      <sheetName val="LOCAL_STUDENTS"/>
      <sheetName val="_june2003statury.xls__june200_5"/>
      <sheetName val="budget summary"/>
      <sheetName val="_june2003statury.xls__june200_6"/>
      <sheetName val="_june2003statury.xls__june200_7"/>
      <sheetName val="[june2003statury.xls][june2003s"/>
      <sheetName val="ProfitPr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9">
          <cell r="E29">
            <v>29055726</v>
          </cell>
          <cell r="F29">
            <v>34100000</v>
          </cell>
          <cell r="G29" t="e">
            <v>#REF!</v>
          </cell>
          <cell r="H29">
            <v>50201000</v>
          </cell>
        </row>
        <row r="31">
          <cell r="E31" t="e">
            <v>#REF!</v>
          </cell>
          <cell r="F31">
            <v>628453753</v>
          </cell>
          <cell r="G31" t="e">
            <v>#REF!</v>
          </cell>
          <cell r="H31" t="e">
            <v>#REF!</v>
          </cell>
        </row>
        <row r="32">
          <cell r="E32" t="e">
            <v>#REF!</v>
          </cell>
          <cell r="F32">
            <v>662553753</v>
          </cell>
          <cell r="G32" t="e">
            <v>#REF!</v>
          </cell>
          <cell r="H32" t="e">
            <v>#REF!</v>
          </cell>
        </row>
        <row r="33">
          <cell r="E33">
            <v>3418246000</v>
          </cell>
          <cell r="F33">
            <v>871768385</v>
          </cell>
          <cell r="G33">
            <v>2754389264</v>
          </cell>
          <cell r="H33">
            <v>4000361000</v>
          </cell>
        </row>
        <row r="35">
          <cell r="G35" t="str">
            <v>**</v>
          </cell>
          <cell r="H35">
            <v>44784054.949247301</v>
          </cell>
        </row>
        <row r="36">
          <cell r="H36">
            <v>4045145054.9492474</v>
          </cell>
        </row>
        <row r="40">
          <cell r="H40">
            <v>47126000</v>
          </cell>
        </row>
        <row r="41">
          <cell r="H41">
            <v>-3168755</v>
          </cell>
        </row>
        <row r="42">
          <cell r="H42">
            <v>43957245</v>
          </cell>
        </row>
        <row r="43">
          <cell r="H43">
            <v>826809.94924729818</v>
          </cell>
        </row>
        <row r="44">
          <cell r="G44" t="str">
            <v>**</v>
          </cell>
          <cell r="H44">
            <v>44784054.949247301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9">
          <cell r="E29">
            <v>29055726</v>
          </cell>
        </row>
      </sheetData>
      <sheetData sheetId="32">
        <row r="29">
          <cell r="E29">
            <v>29055726</v>
          </cell>
        </row>
      </sheetData>
      <sheetData sheetId="33">
        <row r="29">
          <cell r="E29">
            <v>29055726</v>
          </cell>
        </row>
      </sheetData>
      <sheetData sheetId="34">
        <row r="29">
          <cell r="E29">
            <v>29055726</v>
          </cell>
        </row>
      </sheetData>
      <sheetData sheetId="35">
        <row r="29">
          <cell r="E29">
            <v>29055726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9">
          <cell r="E29">
            <v>29055726</v>
          </cell>
        </row>
      </sheetData>
      <sheetData sheetId="46">
        <row r="29">
          <cell r="E29">
            <v>29055726</v>
          </cell>
        </row>
      </sheetData>
      <sheetData sheetId="47">
        <row r="29">
          <cell r="E29">
            <v>29055726</v>
          </cell>
        </row>
      </sheetData>
      <sheetData sheetId="48">
        <row r="29">
          <cell r="E29">
            <v>29055726</v>
          </cell>
        </row>
      </sheetData>
      <sheetData sheetId="49">
        <row r="29">
          <cell r="E29">
            <v>29055726</v>
          </cell>
        </row>
      </sheetData>
      <sheetData sheetId="50">
        <row r="29">
          <cell r="E29">
            <v>29055726</v>
          </cell>
        </row>
      </sheetData>
      <sheetData sheetId="51">
        <row r="29">
          <cell r="E29">
            <v>29055726</v>
          </cell>
        </row>
      </sheetData>
      <sheetData sheetId="52">
        <row r="29">
          <cell r="E29">
            <v>29055726</v>
          </cell>
        </row>
      </sheetData>
      <sheetData sheetId="53">
        <row r="29">
          <cell r="E29">
            <v>29055726</v>
          </cell>
        </row>
      </sheetData>
      <sheetData sheetId="54">
        <row r="29">
          <cell r="E29">
            <v>29055726</v>
          </cell>
        </row>
      </sheetData>
      <sheetData sheetId="55">
        <row r="29">
          <cell r="E29">
            <v>29055726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29">
          <cell r="E29">
            <v>29055726</v>
          </cell>
        </row>
      </sheetData>
      <sheetData sheetId="66" refreshError="1"/>
      <sheetData sheetId="67" refreshError="1"/>
      <sheetData sheetId="68" refreshError="1"/>
      <sheetData sheetId="69">
        <row r="29">
          <cell r="E29">
            <v>29055726</v>
          </cell>
        </row>
      </sheetData>
      <sheetData sheetId="70">
        <row r="29">
          <cell r="E29">
            <v>29055726</v>
          </cell>
        </row>
      </sheetData>
      <sheetData sheetId="71">
        <row r="29">
          <cell r="E29">
            <v>29055726</v>
          </cell>
        </row>
      </sheetData>
      <sheetData sheetId="72">
        <row r="29">
          <cell r="E29">
            <v>29055726</v>
          </cell>
        </row>
      </sheetData>
      <sheetData sheetId="73">
        <row r="29">
          <cell r="E29">
            <v>29055726</v>
          </cell>
        </row>
      </sheetData>
      <sheetData sheetId="74">
        <row r="29">
          <cell r="E29">
            <v>29055726</v>
          </cell>
        </row>
      </sheetData>
      <sheetData sheetId="75">
        <row r="29">
          <cell r="E29">
            <v>29055726</v>
          </cell>
        </row>
      </sheetData>
      <sheetData sheetId="76">
        <row r="29">
          <cell r="E29">
            <v>29055726</v>
          </cell>
        </row>
      </sheetData>
      <sheetData sheetId="77">
        <row r="29">
          <cell r="E29">
            <v>29055726</v>
          </cell>
        </row>
      </sheetData>
      <sheetData sheetId="78">
        <row r="29">
          <cell r="E29">
            <v>29055726</v>
          </cell>
        </row>
      </sheetData>
      <sheetData sheetId="79">
        <row r="29">
          <cell r="E29">
            <v>29055726</v>
          </cell>
        </row>
      </sheetData>
      <sheetData sheetId="80" refreshError="1"/>
      <sheetData sheetId="81">
        <row r="29">
          <cell r="E29">
            <v>0</v>
          </cell>
        </row>
      </sheetData>
      <sheetData sheetId="82">
        <row r="29">
          <cell r="E29">
            <v>0</v>
          </cell>
        </row>
      </sheetData>
      <sheetData sheetId="83">
        <row r="29">
          <cell r="E29">
            <v>0</v>
          </cell>
        </row>
      </sheetData>
      <sheetData sheetId="84" refreshError="1"/>
      <sheetData sheetId="85">
        <row r="29">
          <cell r="E29">
            <v>29055726</v>
          </cell>
        </row>
      </sheetData>
      <sheetData sheetId="86">
        <row r="29">
          <cell r="E29">
            <v>29055726</v>
          </cell>
        </row>
      </sheetData>
      <sheetData sheetId="87">
        <row r="29">
          <cell r="E29">
            <v>29055726</v>
          </cell>
        </row>
      </sheetData>
      <sheetData sheetId="88">
        <row r="29">
          <cell r="E29">
            <v>29055726</v>
          </cell>
        </row>
      </sheetData>
      <sheetData sheetId="89">
        <row r="29">
          <cell r="E29">
            <v>29055726</v>
          </cell>
        </row>
      </sheetData>
      <sheetData sheetId="90">
        <row r="29">
          <cell r="E29">
            <v>0</v>
          </cell>
        </row>
      </sheetData>
      <sheetData sheetId="91">
        <row r="29">
          <cell r="E29">
            <v>29055726</v>
          </cell>
        </row>
      </sheetData>
      <sheetData sheetId="92">
        <row r="29">
          <cell r="E29">
            <v>29055726</v>
          </cell>
        </row>
      </sheetData>
      <sheetData sheetId="93">
        <row r="29">
          <cell r="E29">
            <v>29055726</v>
          </cell>
        </row>
      </sheetData>
      <sheetData sheetId="94">
        <row r="29">
          <cell r="E29">
            <v>29055726</v>
          </cell>
        </row>
      </sheetData>
      <sheetData sheetId="95">
        <row r="29">
          <cell r="E29">
            <v>29055726</v>
          </cell>
        </row>
      </sheetData>
      <sheetData sheetId="96">
        <row r="29">
          <cell r="E29">
            <v>29055726</v>
          </cell>
        </row>
      </sheetData>
      <sheetData sheetId="97">
        <row r="29">
          <cell r="E29">
            <v>29055726</v>
          </cell>
        </row>
      </sheetData>
      <sheetData sheetId="98">
        <row r="29">
          <cell r="E29">
            <v>29055726</v>
          </cell>
        </row>
      </sheetData>
      <sheetData sheetId="99">
        <row r="29">
          <cell r="E29">
            <v>29055726</v>
          </cell>
        </row>
      </sheetData>
      <sheetData sheetId="100">
        <row r="29">
          <cell r="E29">
            <v>29055726</v>
          </cell>
        </row>
      </sheetData>
      <sheetData sheetId="101">
        <row r="29">
          <cell r="E29">
            <v>29055726</v>
          </cell>
        </row>
      </sheetData>
      <sheetData sheetId="102">
        <row r="29">
          <cell r="E29">
            <v>0</v>
          </cell>
        </row>
      </sheetData>
      <sheetData sheetId="103">
        <row r="29">
          <cell r="E29">
            <v>29055726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9">
          <cell r="E29">
            <v>29055726</v>
          </cell>
        </row>
      </sheetData>
      <sheetData sheetId="112">
        <row r="29">
          <cell r="E29">
            <v>29055726</v>
          </cell>
        </row>
      </sheetData>
      <sheetData sheetId="113">
        <row r="29">
          <cell r="E29">
            <v>29055726</v>
          </cell>
        </row>
      </sheetData>
      <sheetData sheetId="114">
        <row r="29">
          <cell r="E29">
            <v>29055726</v>
          </cell>
        </row>
      </sheetData>
      <sheetData sheetId="115">
        <row r="29">
          <cell r="E29">
            <v>29055726</v>
          </cell>
        </row>
      </sheetData>
      <sheetData sheetId="116">
        <row r="29">
          <cell r="E29">
            <v>29055726</v>
          </cell>
        </row>
      </sheetData>
      <sheetData sheetId="117">
        <row r="29">
          <cell r="E29">
            <v>29055726</v>
          </cell>
        </row>
      </sheetData>
      <sheetData sheetId="118">
        <row r="29">
          <cell r="E29">
            <v>29055726</v>
          </cell>
        </row>
      </sheetData>
      <sheetData sheetId="119">
        <row r="29">
          <cell r="E29">
            <v>29055726</v>
          </cell>
        </row>
      </sheetData>
      <sheetData sheetId="120">
        <row r="29">
          <cell r="E29">
            <v>29055726</v>
          </cell>
        </row>
      </sheetData>
      <sheetData sheetId="121">
        <row r="29">
          <cell r="E29">
            <v>29055726</v>
          </cell>
        </row>
      </sheetData>
      <sheetData sheetId="122">
        <row r="29">
          <cell r="E29">
            <v>29055726</v>
          </cell>
        </row>
      </sheetData>
      <sheetData sheetId="123">
        <row r="29">
          <cell r="E29">
            <v>29055726</v>
          </cell>
        </row>
      </sheetData>
      <sheetData sheetId="124">
        <row r="29">
          <cell r="E29">
            <v>29055726</v>
          </cell>
        </row>
      </sheetData>
      <sheetData sheetId="125">
        <row r="29">
          <cell r="E29">
            <v>29055726</v>
          </cell>
        </row>
      </sheetData>
      <sheetData sheetId="126">
        <row r="29">
          <cell r="E29">
            <v>29055726</v>
          </cell>
        </row>
      </sheetData>
      <sheetData sheetId="127">
        <row r="29">
          <cell r="E29">
            <v>29055726</v>
          </cell>
        </row>
      </sheetData>
      <sheetData sheetId="128">
        <row r="29">
          <cell r="E29">
            <v>0</v>
          </cell>
        </row>
      </sheetData>
      <sheetData sheetId="129">
        <row r="29">
          <cell r="E29">
            <v>0</v>
          </cell>
        </row>
      </sheetData>
      <sheetData sheetId="130">
        <row r="29">
          <cell r="E29">
            <v>29055726</v>
          </cell>
        </row>
      </sheetData>
      <sheetData sheetId="131">
        <row r="29">
          <cell r="E29">
            <v>0</v>
          </cell>
        </row>
      </sheetData>
      <sheetData sheetId="132">
        <row r="29">
          <cell r="E29">
            <v>0</v>
          </cell>
        </row>
      </sheetData>
      <sheetData sheetId="133">
        <row r="29">
          <cell r="E29">
            <v>29055726</v>
          </cell>
        </row>
      </sheetData>
      <sheetData sheetId="134">
        <row r="29">
          <cell r="E29">
            <v>29055726</v>
          </cell>
        </row>
      </sheetData>
      <sheetData sheetId="135">
        <row r="29">
          <cell r="E29">
            <v>0</v>
          </cell>
        </row>
      </sheetData>
      <sheetData sheetId="136">
        <row r="29">
          <cell r="E29">
            <v>29055726</v>
          </cell>
        </row>
      </sheetData>
      <sheetData sheetId="137">
        <row r="29">
          <cell r="E29">
            <v>29055726</v>
          </cell>
        </row>
      </sheetData>
      <sheetData sheetId="138">
        <row r="29">
          <cell r="E29">
            <v>29055726</v>
          </cell>
        </row>
      </sheetData>
      <sheetData sheetId="139">
        <row r="29">
          <cell r="E29">
            <v>29055726</v>
          </cell>
        </row>
      </sheetData>
      <sheetData sheetId="140">
        <row r="29">
          <cell r="E29">
            <v>0</v>
          </cell>
        </row>
      </sheetData>
      <sheetData sheetId="141">
        <row r="29">
          <cell r="E29">
            <v>0</v>
          </cell>
        </row>
      </sheetData>
      <sheetData sheetId="142">
        <row r="29">
          <cell r="E29">
            <v>0</v>
          </cell>
        </row>
      </sheetData>
      <sheetData sheetId="143">
        <row r="29">
          <cell r="E29">
            <v>0</v>
          </cell>
        </row>
      </sheetData>
      <sheetData sheetId="144">
        <row r="29">
          <cell r="E29">
            <v>0</v>
          </cell>
        </row>
      </sheetData>
      <sheetData sheetId="145">
        <row r="29">
          <cell r="E29">
            <v>0</v>
          </cell>
        </row>
      </sheetData>
      <sheetData sheetId="146">
        <row r="29">
          <cell r="E29">
            <v>0</v>
          </cell>
        </row>
      </sheetData>
      <sheetData sheetId="147">
        <row r="29">
          <cell r="E29">
            <v>29055726</v>
          </cell>
        </row>
      </sheetData>
      <sheetData sheetId="148">
        <row r="29">
          <cell r="E29">
            <v>0</v>
          </cell>
        </row>
      </sheetData>
      <sheetData sheetId="149">
        <row r="29">
          <cell r="E29">
            <v>29055726</v>
          </cell>
        </row>
      </sheetData>
      <sheetData sheetId="150">
        <row r="29">
          <cell r="E29">
            <v>29055726</v>
          </cell>
        </row>
      </sheetData>
      <sheetData sheetId="151">
        <row r="29">
          <cell r="E29">
            <v>29055726</v>
          </cell>
        </row>
      </sheetData>
      <sheetData sheetId="152">
        <row r="29">
          <cell r="E29">
            <v>29055726</v>
          </cell>
        </row>
      </sheetData>
      <sheetData sheetId="153">
        <row r="29">
          <cell r="E29">
            <v>29055726</v>
          </cell>
        </row>
      </sheetData>
      <sheetData sheetId="154">
        <row r="29">
          <cell r="E29">
            <v>29055726</v>
          </cell>
        </row>
      </sheetData>
      <sheetData sheetId="155">
        <row r="29">
          <cell r="E29">
            <v>29055726</v>
          </cell>
        </row>
      </sheetData>
      <sheetData sheetId="156">
        <row r="29">
          <cell r="E29">
            <v>0</v>
          </cell>
        </row>
      </sheetData>
      <sheetData sheetId="157">
        <row r="29">
          <cell r="E29">
            <v>0</v>
          </cell>
        </row>
      </sheetData>
      <sheetData sheetId="158">
        <row r="29">
          <cell r="E29">
            <v>0</v>
          </cell>
        </row>
      </sheetData>
      <sheetData sheetId="159">
        <row r="29">
          <cell r="E29">
            <v>0</v>
          </cell>
        </row>
      </sheetData>
      <sheetData sheetId="160">
        <row r="29">
          <cell r="E29">
            <v>29055726</v>
          </cell>
        </row>
      </sheetData>
      <sheetData sheetId="161">
        <row r="29">
          <cell r="E29">
            <v>29055726</v>
          </cell>
        </row>
      </sheetData>
      <sheetData sheetId="162">
        <row r="29">
          <cell r="E29">
            <v>29055726</v>
          </cell>
        </row>
      </sheetData>
      <sheetData sheetId="163">
        <row r="29">
          <cell r="E29">
            <v>29055726</v>
          </cell>
        </row>
      </sheetData>
      <sheetData sheetId="164">
        <row r="29">
          <cell r="E29">
            <v>29055726</v>
          </cell>
        </row>
      </sheetData>
      <sheetData sheetId="165">
        <row r="29">
          <cell r="E29">
            <v>29055726</v>
          </cell>
        </row>
      </sheetData>
      <sheetData sheetId="166">
        <row r="29">
          <cell r="E29">
            <v>29055726</v>
          </cell>
        </row>
      </sheetData>
      <sheetData sheetId="167">
        <row r="29">
          <cell r="E29">
            <v>0</v>
          </cell>
        </row>
      </sheetData>
      <sheetData sheetId="168">
        <row r="29">
          <cell r="E29">
            <v>29055726</v>
          </cell>
        </row>
      </sheetData>
      <sheetData sheetId="169">
        <row r="29">
          <cell r="E29">
            <v>0</v>
          </cell>
        </row>
      </sheetData>
      <sheetData sheetId="170">
        <row r="29">
          <cell r="E29">
            <v>29055726</v>
          </cell>
        </row>
      </sheetData>
      <sheetData sheetId="171">
        <row r="29">
          <cell r="E29">
            <v>29055726</v>
          </cell>
        </row>
      </sheetData>
      <sheetData sheetId="172">
        <row r="29">
          <cell r="E29">
            <v>0</v>
          </cell>
        </row>
      </sheetData>
      <sheetData sheetId="173">
        <row r="29">
          <cell r="E29">
            <v>0</v>
          </cell>
        </row>
      </sheetData>
      <sheetData sheetId="174">
        <row r="29">
          <cell r="E29">
            <v>0</v>
          </cell>
        </row>
      </sheetData>
      <sheetData sheetId="175">
        <row r="29">
          <cell r="E29">
            <v>29055726</v>
          </cell>
        </row>
      </sheetData>
      <sheetData sheetId="176">
        <row r="29">
          <cell r="E29">
            <v>29055726</v>
          </cell>
        </row>
      </sheetData>
      <sheetData sheetId="177">
        <row r="29">
          <cell r="E29">
            <v>29055726</v>
          </cell>
        </row>
      </sheetData>
      <sheetData sheetId="178">
        <row r="29">
          <cell r="E29">
            <v>29055726</v>
          </cell>
        </row>
      </sheetData>
      <sheetData sheetId="179">
        <row r="29">
          <cell r="E29">
            <v>29055726</v>
          </cell>
        </row>
      </sheetData>
      <sheetData sheetId="180">
        <row r="29">
          <cell r="E29">
            <v>29055726</v>
          </cell>
        </row>
      </sheetData>
      <sheetData sheetId="181">
        <row r="29">
          <cell r="E29">
            <v>29055726</v>
          </cell>
        </row>
      </sheetData>
      <sheetData sheetId="182">
        <row r="29">
          <cell r="E29">
            <v>29055726</v>
          </cell>
        </row>
      </sheetData>
      <sheetData sheetId="183">
        <row r="29">
          <cell r="E29">
            <v>29055726</v>
          </cell>
        </row>
      </sheetData>
      <sheetData sheetId="184">
        <row r="29">
          <cell r="E29">
            <v>29055726</v>
          </cell>
        </row>
      </sheetData>
      <sheetData sheetId="185">
        <row r="29">
          <cell r="E29">
            <v>29055726</v>
          </cell>
        </row>
      </sheetData>
      <sheetData sheetId="186">
        <row r="29">
          <cell r="E29">
            <v>29055726</v>
          </cell>
        </row>
      </sheetData>
      <sheetData sheetId="187">
        <row r="29">
          <cell r="E29">
            <v>29055726</v>
          </cell>
        </row>
      </sheetData>
      <sheetData sheetId="188">
        <row r="29">
          <cell r="E29">
            <v>29055726</v>
          </cell>
        </row>
      </sheetData>
      <sheetData sheetId="189">
        <row r="29">
          <cell r="E29">
            <v>29055726</v>
          </cell>
        </row>
      </sheetData>
      <sheetData sheetId="190">
        <row r="29">
          <cell r="E29">
            <v>29055726</v>
          </cell>
        </row>
      </sheetData>
      <sheetData sheetId="191">
        <row r="29">
          <cell r="E29">
            <v>29055726</v>
          </cell>
        </row>
      </sheetData>
      <sheetData sheetId="192">
        <row r="29">
          <cell r="E29">
            <v>29055726</v>
          </cell>
        </row>
      </sheetData>
      <sheetData sheetId="193">
        <row r="29">
          <cell r="E29">
            <v>29055726</v>
          </cell>
        </row>
      </sheetData>
      <sheetData sheetId="194">
        <row r="29">
          <cell r="E29">
            <v>29055726</v>
          </cell>
        </row>
      </sheetData>
      <sheetData sheetId="195">
        <row r="29">
          <cell r="E29">
            <v>29055726</v>
          </cell>
        </row>
      </sheetData>
      <sheetData sheetId="196">
        <row r="29">
          <cell r="E29">
            <v>29055726</v>
          </cell>
        </row>
      </sheetData>
      <sheetData sheetId="197" refreshError="1"/>
      <sheetData sheetId="198">
        <row r="29">
          <cell r="E29">
            <v>29055726</v>
          </cell>
        </row>
      </sheetData>
      <sheetData sheetId="199" refreshError="1"/>
      <sheetData sheetId="200" refreshError="1"/>
      <sheetData sheetId="201">
        <row r="29">
          <cell r="E29">
            <v>29055726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29">
          <cell r="E29">
            <v>29055726</v>
          </cell>
        </row>
      </sheetData>
      <sheetData sheetId="210" refreshError="1"/>
      <sheetData sheetId="211" refreshError="1"/>
      <sheetData sheetId="212" refreshError="1"/>
      <sheetData sheetId="213">
        <row r="29">
          <cell r="E29">
            <v>29055726</v>
          </cell>
        </row>
      </sheetData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29">
          <cell r="E29">
            <v>29055726</v>
          </cell>
        </row>
      </sheetData>
      <sheetData sheetId="244">
        <row r="29">
          <cell r="E29">
            <v>29055726</v>
          </cell>
        </row>
      </sheetData>
      <sheetData sheetId="245">
        <row r="29">
          <cell r="E29">
            <v>29055726</v>
          </cell>
        </row>
      </sheetData>
      <sheetData sheetId="246">
        <row r="29">
          <cell r="E29">
            <v>29055726</v>
          </cell>
        </row>
      </sheetData>
      <sheetData sheetId="247">
        <row r="29">
          <cell r="E29">
            <v>29055726</v>
          </cell>
        </row>
      </sheetData>
      <sheetData sheetId="248">
        <row r="29">
          <cell r="E29">
            <v>29055726</v>
          </cell>
        </row>
      </sheetData>
      <sheetData sheetId="249">
        <row r="29">
          <cell r="E29">
            <v>29055726</v>
          </cell>
        </row>
      </sheetData>
      <sheetData sheetId="250">
        <row r="29">
          <cell r="E29">
            <v>29055726</v>
          </cell>
        </row>
      </sheetData>
      <sheetData sheetId="251">
        <row r="29">
          <cell r="E29">
            <v>29055726</v>
          </cell>
        </row>
      </sheetData>
      <sheetData sheetId="252">
        <row r="29">
          <cell r="E29">
            <v>29055726</v>
          </cell>
        </row>
      </sheetData>
      <sheetData sheetId="253">
        <row r="29">
          <cell r="E29">
            <v>29055726</v>
          </cell>
        </row>
      </sheetData>
      <sheetData sheetId="254">
        <row r="29">
          <cell r="E29">
            <v>29055726</v>
          </cell>
        </row>
      </sheetData>
      <sheetData sheetId="255">
        <row r="29">
          <cell r="E29">
            <v>29055726</v>
          </cell>
        </row>
      </sheetData>
      <sheetData sheetId="256">
        <row r="29">
          <cell r="E29">
            <v>29055726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29">
          <cell r="E29">
            <v>29055726</v>
          </cell>
        </row>
      </sheetData>
      <sheetData sheetId="284">
        <row r="29">
          <cell r="E29">
            <v>29055726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>
        <row r="29">
          <cell r="E29">
            <v>29055726</v>
          </cell>
        </row>
      </sheetData>
      <sheetData sheetId="290">
        <row r="29">
          <cell r="E29">
            <v>29055726</v>
          </cell>
        </row>
      </sheetData>
      <sheetData sheetId="291">
        <row r="29">
          <cell r="E29">
            <v>29055726</v>
          </cell>
        </row>
      </sheetData>
      <sheetData sheetId="292">
        <row r="29">
          <cell r="E29">
            <v>29055726</v>
          </cell>
        </row>
      </sheetData>
      <sheetData sheetId="293">
        <row r="29">
          <cell r="E29">
            <v>29055726</v>
          </cell>
        </row>
      </sheetData>
      <sheetData sheetId="294">
        <row r="29">
          <cell r="E29">
            <v>29055726</v>
          </cell>
        </row>
      </sheetData>
      <sheetData sheetId="295">
        <row r="29">
          <cell r="E29">
            <v>29055726</v>
          </cell>
        </row>
      </sheetData>
      <sheetData sheetId="296">
        <row r="29">
          <cell r="E29">
            <v>29055726</v>
          </cell>
        </row>
      </sheetData>
      <sheetData sheetId="297">
        <row r="29">
          <cell r="E29">
            <v>29055726</v>
          </cell>
        </row>
      </sheetData>
      <sheetData sheetId="298">
        <row r="29">
          <cell r="E29">
            <v>29055726</v>
          </cell>
        </row>
      </sheetData>
      <sheetData sheetId="299">
        <row r="29">
          <cell r="E29">
            <v>29055726</v>
          </cell>
        </row>
      </sheetData>
      <sheetData sheetId="300">
        <row r="29">
          <cell r="E29">
            <v>29055726</v>
          </cell>
        </row>
      </sheetData>
      <sheetData sheetId="301">
        <row r="29">
          <cell r="E29">
            <v>29055726</v>
          </cell>
        </row>
      </sheetData>
      <sheetData sheetId="302">
        <row r="29">
          <cell r="E29">
            <v>29055726</v>
          </cell>
        </row>
      </sheetData>
      <sheetData sheetId="303">
        <row r="29">
          <cell r="E29">
            <v>29055726</v>
          </cell>
        </row>
      </sheetData>
      <sheetData sheetId="304">
        <row r="29">
          <cell r="E29">
            <v>0</v>
          </cell>
        </row>
      </sheetData>
      <sheetData sheetId="305">
        <row r="29">
          <cell r="E29">
            <v>29055726</v>
          </cell>
        </row>
      </sheetData>
      <sheetData sheetId="306">
        <row r="29">
          <cell r="E29">
            <v>29055726</v>
          </cell>
        </row>
      </sheetData>
      <sheetData sheetId="307">
        <row r="29">
          <cell r="E29">
            <v>29055726</v>
          </cell>
        </row>
      </sheetData>
      <sheetData sheetId="308">
        <row r="29">
          <cell r="E29">
            <v>29055726</v>
          </cell>
        </row>
      </sheetData>
      <sheetData sheetId="309">
        <row r="29">
          <cell r="E29">
            <v>29055726</v>
          </cell>
        </row>
      </sheetData>
      <sheetData sheetId="310">
        <row r="29">
          <cell r="E29">
            <v>29055726</v>
          </cell>
        </row>
      </sheetData>
      <sheetData sheetId="311">
        <row r="29">
          <cell r="E29">
            <v>0</v>
          </cell>
        </row>
      </sheetData>
      <sheetData sheetId="312">
        <row r="29">
          <cell r="E29">
            <v>0</v>
          </cell>
        </row>
      </sheetData>
      <sheetData sheetId="313">
        <row r="29">
          <cell r="E29">
            <v>0</v>
          </cell>
        </row>
      </sheetData>
      <sheetData sheetId="314">
        <row r="29">
          <cell r="E29">
            <v>0</v>
          </cell>
        </row>
      </sheetData>
      <sheetData sheetId="315">
        <row r="29">
          <cell r="E29">
            <v>29055726</v>
          </cell>
        </row>
      </sheetData>
      <sheetData sheetId="316">
        <row r="29">
          <cell r="E29">
            <v>0</v>
          </cell>
        </row>
      </sheetData>
      <sheetData sheetId="317">
        <row r="29">
          <cell r="E29">
            <v>29055726</v>
          </cell>
        </row>
      </sheetData>
      <sheetData sheetId="318">
        <row r="29">
          <cell r="E29">
            <v>0</v>
          </cell>
        </row>
      </sheetData>
      <sheetData sheetId="319">
        <row r="29">
          <cell r="E29">
            <v>29055726</v>
          </cell>
        </row>
      </sheetData>
      <sheetData sheetId="320">
        <row r="29">
          <cell r="E29">
            <v>29055726</v>
          </cell>
        </row>
      </sheetData>
      <sheetData sheetId="321">
        <row r="29">
          <cell r="E29">
            <v>29055726</v>
          </cell>
        </row>
      </sheetData>
      <sheetData sheetId="322">
        <row r="29">
          <cell r="E29">
            <v>29055726</v>
          </cell>
        </row>
      </sheetData>
      <sheetData sheetId="323">
        <row r="29">
          <cell r="E29">
            <v>0</v>
          </cell>
        </row>
      </sheetData>
      <sheetData sheetId="324">
        <row r="29">
          <cell r="E29">
            <v>29055726</v>
          </cell>
        </row>
      </sheetData>
      <sheetData sheetId="325">
        <row r="29">
          <cell r="E29">
            <v>29055726</v>
          </cell>
        </row>
      </sheetData>
      <sheetData sheetId="326">
        <row r="29">
          <cell r="E29">
            <v>29055726</v>
          </cell>
        </row>
      </sheetData>
      <sheetData sheetId="327">
        <row r="29">
          <cell r="E29">
            <v>29055726</v>
          </cell>
        </row>
      </sheetData>
      <sheetData sheetId="328">
        <row r="29">
          <cell r="E29">
            <v>29055726</v>
          </cell>
        </row>
      </sheetData>
      <sheetData sheetId="329">
        <row r="29">
          <cell r="E29">
            <v>29055726</v>
          </cell>
        </row>
      </sheetData>
      <sheetData sheetId="330">
        <row r="29">
          <cell r="E29">
            <v>29055726</v>
          </cell>
        </row>
      </sheetData>
      <sheetData sheetId="331">
        <row r="29">
          <cell r="E29">
            <v>29055726</v>
          </cell>
        </row>
      </sheetData>
      <sheetData sheetId="332">
        <row r="29">
          <cell r="E29">
            <v>29055726</v>
          </cell>
        </row>
      </sheetData>
      <sheetData sheetId="333">
        <row r="29">
          <cell r="E29">
            <v>29055726</v>
          </cell>
        </row>
      </sheetData>
      <sheetData sheetId="334">
        <row r="29">
          <cell r="E29">
            <v>29055726</v>
          </cell>
        </row>
      </sheetData>
      <sheetData sheetId="335">
        <row r="29">
          <cell r="E29">
            <v>29055726</v>
          </cell>
        </row>
      </sheetData>
      <sheetData sheetId="336">
        <row r="29">
          <cell r="E29">
            <v>29055726</v>
          </cell>
        </row>
      </sheetData>
      <sheetData sheetId="337">
        <row r="29">
          <cell r="E29">
            <v>29055726</v>
          </cell>
        </row>
      </sheetData>
      <sheetData sheetId="338">
        <row r="29">
          <cell r="E29">
            <v>0</v>
          </cell>
        </row>
      </sheetData>
      <sheetData sheetId="339">
        <row r="29">
          <cell r="E29">
            <v>29055726</v>
          </cell>
        </row>
      </sheetData>
      <sheetData sheetId="340">
        <row r="29">
          <cell r="E29">
            <v>29055726</v>
          </cell>
        </row>
      </sheetData>
      <sheetData sheetId="341">
        <row r="29">
          <cell r="E29">
            <v>29055726</v>
          </cell>
        </row>
      </sheetData>
      <sheetData sheetId="342">
        <row r="29">
          <cell r="E29">
            <v>29055726</v>
          </cell>
        </row>
      </sheetData>
      <sheetData sheetId="343">
        <row r="29">
          <cell r="E29">
            <v>29055726</v>
          </cell>
        </row>
      </sheetData>
      <sheetData sheetId="344">
        <row r="29">
          <cell r="E29">
            <v>29055726</v>
          </cell>
        </row>
      </sheetData>
      <sheetData sheetId="345">
        <row r="29">
          <cell r="E29">
            <v>29055726</v>
          </cell>
        </row>
      </sheetData>
      <sheetData sheetId="346">
        <row r="29">
          <cell r="E29">
            <v>29055726</v>
          </cell>
        </row>
      </sheetData>
      <sheetData sheetId="347">
        <row r="29">
          <cell r="E29">
            <v>29055726</v>
          </cell>
        </row>
      </sheetData>
      <sheetData sheetId="348">
        <row r="29">
          <cell r="E29">
            <v>29055726</v>
          </cell>
        </row>
      </sheetData>
      <sheetData sheetId="349">
        <row r="29">
          <cell r="E29">
            <v>29055726</v>
          </cell>
        </row>
      </sheetData>
      <sheetData sheetId="350">
        <row r="29">
          <cell r="E29">
            <v>29055726</v>
          </cell>
        </row>
      </sheetData>
      <sheetData sheetId="351">
        <row r="29">
          <cell r="E29">
            <v>29055726</v>
          </cell>
        </row>
      </sheetData>
      <sheetData sheetId="352">
        <row r="29">
          <cell r="E29">
            <v>29055726</v>
          </cell>
        </row>
      </sheetData>
      <sheetData sheetId="353">
        <row r="29">
          <cell r="E29">
            <v>29055726</v>
          </cell>
        </row>
      </sheetData>
      <sheetData sheetId="354">
        <row r="29">
          <cell r="E29">
            <v>29055726</v>
          </cell>
        </row>
      </sheetData>
      <sheetData sheetId="355">
        <row r="29">
          <cell r="E29">
            <v>29055726</v>
          </cell>
        </row>
      </sheetData>
      <sheetData sheetId="356">
        <row r="29">
          <cell r="E29">
            <v>29055726</v>
          </cell>
        </row>
      </sheetData>
      <sheetData sheetId="357">
        <row r="29">
          <cell r="E29">
            <v>29055726</v>
          </cell>
        </row>
      </sheetData>
      <sheetData sheetId="358">
        <row r="29">
          <cell r="E29">
            <v>29055726</v>
          </cell>
        </row>
      </sheetData>
      <sheetData sheetId="359">
        <row r="29">
          <cell r="E29">
            <v>29055726</v>
          </cell>
        </row>
      </sheetData>
      <sheetData sheetId="360">
        <row r="29">
          <cell r="E29">
            <v>29055726</v>
          </cell>
        </row>
      </sheetData>
      <sheetData sheetId="361">
        <row r="29">
          <cell r="E29">
            <v>29055726</v>
          </cell>
        </row>
      </sheetData>
      <sheetData sheetId="362">
        <row r="29">
          <cell r="E29">
            <v>29055726</v>
          </cell>
        </row>
      </sheetData>
      <sheetData sheetId="363">
        <row r="29">
          <cell r="E29">
            <v>29055726</v>
          </cell>
        </row>
      </sheetData>
      <sheetData sheetId="364">
        <row r="29">
          <cell r="E29">
            <v>29055726</v>
          </cell>
        </row>
      </sheetData>
      <sheetData sheetId="365">
        <row r="29">
          <cell r="E29">
            <v>0</v>
          </cell>
        </row>
      </sheetData>
      <sheetData sheetId="366">
        <row r="29">
          <cell r="E29">
            <v>0</v>
          </cell>
        </row>
      </sheetData>
      <sheetData sheetId="367">
        <row r="29">
          <cell r="E29">
            <v>0</v>
          </cell>
        </row>
      </sheetData>
      <sheetData sheetId="368">
        <row r="29">
          <cell r="E29">
            <v>29055726</v>
          </cell>
        </row>
      </sheetData>
      <sheetData sheetId="369">
        <row r="29">
          <cell r="E29">
            <v>29055726</v>
          </cell>
        </row>
      </sheetData>
      <sheetData sheetId="370">
        <row r="29">
          <cell r="E29">
            <v>29055726</v>
          </cell>
        </row>
      </sheetData>
      <sheetData sheetId="371">
        <row r="29">
          <cell r="E29">
            <v>29055726</v>
          </cell>
        </row>
      </sheetData>
      <sheetData sheetId="372">
        <row r="29">
          <cell r="E29">
            <v>29055726</v>
          </cell>
        </row>
      </sheetData>
      <sheetData sheetId="373">
        <row r="29">
          <cell r="E29">
            <v>0</v>
          </cell>
        </row>
      </sheetData>
      <sheetData sheetId="374">
        <row r="29">
          <cell r="E29">
            <v>0</v>
          </cell>
        </row>
      </sheetData>
      <sheetData sheetId="375">
        <row r="29">
          <cell r="E29">
            <v>29055726</v>
          </cell>
        </row>
      </sheetData>
      <sheetData sheetId="376">
        <row r="29">
          <cell r="E29">
            <v>0</v>
          </cell>
        </row>
      </sheetData>
      <sheetData sheetId="377">
        <row r="29">
          <cell r="E29">
            <v>29055726</v>
          </cell>
        </row>
      </sheetData>
      <sheetData sheetId="378">
        <row r="29">
          <cell r="E29">
            <v>29055726</v>
          </cell>
        </row>
      </sheetData>
      <sheetData sheetId="379">
        <row r="29">
          <cell r="E29">
            <v>29055726</v>
          </cell>
        </row>
      </sheetData>
      <sheetData sheetId="380">
        <row r="29">
          <cell r="E29">
            <v>29055726</v>
          </cell>
        </row>
      </sheetData>
      <sheetData sheetId="381">
        <row r="29">
          <cell r="E29">
            <v>0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29">
          <cell r="E29">
            <v>29055726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29">
          <cell r="E29">
            <v>29055726</v>
          </cell>
        </row>
      </sheetData>
      <sheetData sheetId="403" refreshError="1"/>
      <sheetData sheetId="404" refreshError="1"/>
      <sheetData sheetId="405" refreshError="1"/>
      <sheetData sheetId="406">
        <row r="29">
          <cell r="E29">
            <v>29055726</v>
          </cell>
        </row>
      </sheetData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29">
          <cell r="E29">
            <v>29055726</v>
          </cell>
        </row>
      </sheetData>
      <sheetData sheetId="429"/>
      <sheetData sheetId="430">
        <row r="29">
          <cell r="E29">
            <v>29055726</v>
          </cell>
        </row>
      </sheetData>
      <sheetData sheetId="431">
        <row r="29">
          <cell r="E29">
            <v>29055726</v>
          </cell>
        </row>
      </sheetData>
      <sheetData sheetId="432">
        <row r="29">
          <cell r="E29">
            <v>29055726</v>
          </cell>
        </row>
      </sheetData>
      <sheetData sheetId="433">
        <row r="29">
          <cell r="E29">
            <v>29055726</v>
          </cell>
        </row>
      </sheetData>
      <sheetData sheetId="434">
        <row r="29">
          <cell r="E29">
            <v>29055726</v>
          </cell>
        </row>
      </sheetData>
      <sheetData sheetId="435"/>
      <sheetData sheetId="436">
        <row r="29">
          <cell r="E29">
            <v>0</v>
          </cell>
        </row>
      </sheetData>
      <sheetData sheetId="437">
        <row r="29">
          <cell r="E29">
            <v>29055726</v>
          </cell>
        </row>
      </sheetData>
      <sheetData sheetId="438"/>
      <sheetData sheetId="439"/>
      <sheetData sheetId="440"/>
      <sheetData sheetId="441">
        <row r="29">
          <cell r="E29">
            <v>29055726</v>
          </cell>
        </row>
      </sheetData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>
        <row r="29">
          <cell r="E29">
            <v>29055726</v>
          </cell>
        </row>
      </sheetData>
      <sheetData sheetId="516">
        <row r="29">
          <cell r="E29">
            <v>29055726</v>
          </cell>
        </row>
      </sheetData>
      <sheetData sheetId="517">
        <row r="29">
          <cell r="E29">
            <v>29055726</v>
          </cell>
        </row>
      </sheetData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29">
          <cell r="E29">
            <v>29055726</v>
          </cell>
        </row>
      </sheetData>
      <sheetData sheetId="530">
        <row r="29">
          <cell r="E29">
            <v>29055726</v>
          </cell>
        </row>
      </sheetData>
      <sheetData sheetId="531">
        <row r="29">
          <cell r="E29">
            <v>29055726</v>
          </cell>
        </row>
      </sheetData>
      <sheetData sheetId="532">
        <row r="29">
          <cell r="E29">
            <v>0</v>
          </cell>
        </row>
      </sheetData>
      <sheetData sheetId="533">
        <row r="29">
          <cell r="E29">
            <v>0</v>
          </cell>
        </row>
      </sheetData>
      <sheetData sheetId="534">
        <row r="29">
          <cell r="E29">
            <v>29055726</v>
          </cell>
        </row>
      </sheetData>
      <sheetData sheetId="535">
        <row r="29">
          <cell r="E29">
            <v>29055726</v>
          </cell>
        </row>
      </sheetData>
      <sheetData sheetId="536">
        <row r="29">
          <cell r="E29">
            <v>29055726</v>
          </cell>
        </row>
      </sheetData>
      <sheetData sheetId="537">
        <row r="29">
          <cell r="E29">
            <v>0</v>
          </cell>
        </row>
      </sheetData>
      <sheetData sheetId="538">
        <row r="29">
          <cell r="E29">
            <v>29055726</v>
          </cell>
        </row>
      </sheetData>
      <sheetData sheetId="539">
        <row r="29">
          <cell r="E29">
            <v>0</v>
          </cell>
        </row>
      </sheetData>
      <sheetData sheetId="540">
        <row r="29">
          <cell r="E29">
            <v>29055726</v>
          </cell>
        </row>
      </sheetData>
      <sheetData sheetId="541">
        <row r="29">
          <cell r="E29">
            <v>29055726</v>
          </cell>
        </row>
      </sheetData>
      <sheetData sheetId="542">
        <row r="29">
          <cell r="E29">
            <v>29055726</v>
          </cell>
        </row>
      </sheetData>
      <sheetData sheetId="543">
        <row r="29">
          <cell r="E29">
            <v>29055726</v>
          </cell>
        </row>
      </sheetData>
      <sheetData sheetId="544">
        <row r="29">
          <cell r="E29">
            <v>29055726</v>
          </cell>
        </row>
      </sheetData>
      <sheetData sheetId="545">
        <row r="29">
          <cell r="E29">
            <v>29055726</v>
          </cell>
        </row>
      </sheetData>
      <sheetData sheetId="546">
        <row r="29">
          <cell r="E29">
            <v>29055726</v>
          </cell>
        </row>
      </sheetData>
      <sheetData sheetId="547">
        <row r="29">
          <cell r="E29">
            <v>29055726</v>
          </cell>
        </row>
      </sheetData>
      <sheetData sheetId="548">
        <row r="29">
          <cell r="E29">
            <v>29055726</v>
          </cell>
        </row>
      </sheetData>
      <sheetData sheetId="549">
        <row r="29">
          <cell r="E29">
            <v>29055726</v>
          </cell>
        </row>
      </sheetData>
      <sheetData sheetId="550">
        <row r="29">
          <cell r="E29">
            <v>29055726</v>
          </cell>
        </row>
      </sheetData>
      <sheetData sheetId="551">
        <row r="29">
          <cell r="E29">
            <v>0</v>
          </cell>
        </row>
      </sheetData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9">
          <cell r="E29">
            <v>29055726</v>
          </cell>
        </row>
      </sheetData>
      <sheetData sheetId="663">
        <row r="29">
          <cell r="E29">
            <v>29055726</v>
          </cell>
        </row>
      </sheetData>
      <sheetData sheetId="664">
        <row r="29">
          <cell r="E29">
            <v>29055726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9">
          <cell r="E29">
            <v>0</v>
          </cell>
        </row>
      </sheetData>
      <sheetData sheetId="679"/>
      <sheetData sheetId="680"/>
      <sheetData sheetId="681">
        <row r="29">
          <cell r="E29">
            <v>29055726</v>
          </cell>
        </row>
      </sheetData>
      <sheetData sheetId="682">
        <row r="29">
          <cell r="E29">
            <v>29055726</v>
          </cell>
        </row>
      </sheetData>
      <sheetData sheetId="683">
        <row r="29">
          <cell r="E29">
            <v>29055726</v>
          </cell>
        </row>
      </sheetData>
      <sheetData sheetId="684">
        <row r="29">
          <cell r="E29">
            <v>0</v>
          </cell>
        </row>
      </sheetData>
      <sheetData sheetId="685">
        <row r="29">
          <cell r="E29">
            <v>29055726</v>
          </cell>
        </row>
      </sheetData>
      <sheetData sheetId="686">
        <row r="29">
          <cell r="E29">
            <v>29055726</v>
          </cell>
        </row>
      </sheetData>
      <sheetData sheetId="687">
        <row r="29">
          <cell r="E29">
            <v>29055726</v>
          </cell>
        </row>
      </sheetData>
      <sheetData sheetId="688">
        <row r="29">
          <cell r="E29">
            <v>29055726</v>
          </cell>
        </row>
      </sheetData>
      <sheetData sheetId="689">
        <row r="29">
          <cell r="E29">
            <v>0</v>
          </cell>
        </row>
      </sheetData>
      <sheetData sheetId="690">
        <row r="29">
          <cell r="E29">
            <v>29055726</v>
          </cell>
        </row>
      </sheetData>
      <sheetData sheetId="691">
        <row r="29">
          <cell r="E29">
            <v>29055726</v>
          </cell>
        </row>
      </sheetData>
      <sheetData sheetId="692">
        <row r="29">
          <cell r="E29">
            <v>29055726</v>
          </cell>
        </row>
      </sheetData>
      <sheetData sheetId="693">
        <row r="29">
          <cell r="E29">
            <v>29055726</v>
          </cell>
        </row>
      </sheetData>
      <sheetData sheetId="694">
        <row r="29">
          <cell r="E29">
            <v>29055726</v>
          </cell>
        </row>
      </sheetData>
      <sheetData sheetId="695">
        <row r="29">
          <cell r="E29">
            <v>29055726</v>
          </cell>
        </row>
      </sheetData>
      <sheetData sheetId="696">
        <row r="29">
          <cell r="E29">
            <v>29055726</v>
          </cell>
        </row>
      </sheetData>
      <sheetData sheetId="697">
        <row r="29">
          <cell r="E29">
            <v>29055726</v>
          </cell>
        </row>
      </sheetData>
      <sheetData sheetId="698">
        <row r="29">
          <cell r="E29">
            <v>29055726</v>
          </cell>
        </row>
      </sheetData>
      <sheetData sheetId="699">
        <row r="29">
          <cell r="E29">
            <v>29055726</v>
          </cell>
        </row>
      </sheetData>
      <sheetData sheetId="700">
        <row r="29">
          <cell r="E29">
            <v>29055726</v>
          </cell>
        </row>
      </sheetData>
      <sheetData sheetId="701">
        <row r="29">
          <cell r="E29">
            <v>29055726</v>
          </cell>
        </row>
      </sheetData>
      <sheetData sheetId="702">
        <row r="29">
          <cell r="E29">
            <v>29055726</v>
          </cell>
        </row>
      </sheetData>
      <sheetData sheetId="703">
        <row r="29">
          <cell r="E29">
            <v>29055726</v>
          </cell>
        </row>
      </sheetData>
      <sheetData sheetId="704"/>
      <sheetData sheetId="705"/>
      <sheetData sheetId="706">
        <row r="29">
          <cell r="E29">
            <v>29055726</v>
          </cell>
        </row>
      </sheetData>
      <sheetData sheetId="707"/>
      <sheetData sheetId="708"/>
      <sheetData sheetId="709"/>
      <sheetData sheetId="710"/>
      <sheetData sheetId="711"/>
      <sheetData sheetId="712">
        <row r="29">
          <cell r="E29">
            <v>29055726</v>
          </cell>
        </row>
      </sheetData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29">
          <cell r="E29">
            <v>29055726</v>
          </cell>
        </row>
      </sheetData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>
        <row r="29">
          <cell r="E29">
            <v>29055726</v>
          </cell>
        </row>
      </sheetData>
      <sheetData sheetId="757">
        <row r="29">
          <cell r="E29">
            <v>29055726</v>
          </cell>
        </row>
      </sheetData>
      <sheetData sheetId="758">
        <row r="29">
          <cell r="E29">
            <v>29055726</v>
          </cell>
        </row>
      </sheetData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>
        <row r="29">
          <cell r="E29">
            <v>29055726</v>
          </cell>
        </row>
      </sheetData>
      <sheetData sheetId="772">
        <row r="29">
          <cell r="E29">
            <v>29055726</v>
          </cell>
        </row>
      </sheetData>
      <sheetData sheetId="773">
        <row r="29">
          <cell r="E29">
            <v>29055726</v>
          </cell>
        </row>
      </sheetData>
      <sheetData sheetId="774">
        <row r="29">
          <cell r="E29">
            <v>0</v>
          </cell>
        </row>
      </sheetData>
      <sheetData sheetId="775">
        <row r="29">
          <cell r="E29">
            <v>0</v>
          </cell>
        </row>
      </sheetData>
      <sheetData sheetId="776">
        <row r="29">
          <cell r="E29">
            <v>0</v>
          </cell>
        </row>
      </sheetData>
      <sheetData sheetId="777">
        <row r="29">
          <cell r="E29">
            <v>0</v>
          </cell>
        </row>
      </sheetData>
      <sheetData sheetId="778">
        <row r="29">
          <cell r="E29">
            <v>29055726</v>
          </cell>
        </row>
      </sheetData>
      <sheetData sheetId="779">
        <row r="29">
          <cell r="E29">
            <v>0</v>
          </cell>
        </row>
      </sheetData>
      <sheetData sheetId="780">
        <row r="29">
          <cell r="E29">
            <v>29055726</v>
          </cell>
        </row>
      </sheetData>
      <sheetData sheetId="781">
        <row r="29">
          <cell r="E29">
            <v>0</v>
          </cell>
        </row>
      </sheetData>
      <sheetData sheetId="782">
        <row r="29">
          <cell r="E29">
            <v>29055726</v>
          </cell>
        </row>
      </sheetData>
      <sheetData sheetId="783">
        <row r="29">
          <cell r="E29">
            <v>29055726</v>
          </cell>
        </row>
      </sheetData>
      <sheetData sheetId="784">
        <row r="29">
          <cell r="E29">
            <v>29055726</v>
          </cell>
        </row>
      </sheetData>
      <sheetData sheetId="785">
        <row r="29">
          <cell r="E29">
            <v>29055726</v>
          </cell>
        </row>
      </sheetData>
      <sheetData sheetId="786">
        <row r="29">
          <cell r="E29">
            <v>0</v>
          </cell>
        </row>
      </sheetData>
      <sheetData sheetId="787">
        <row r="29">
          <cell r="E29">
            <v>29055726</v>
          </cell>
        </row>
      </sheetData>
      <sheetData sheetId="788">
        <row r="29">
          <cell r="E29">
            <v>29055726</v>
          </cell>
        </row>
      </sheetData>
      <sheetData sheetId="789">
        <row r="29">
          <cell r="E29">
            <v>29055726</v>
          </cell>
        </row>
      </sheetData>
      <sheetData sheetId="790">
        <row r="29">
          <cell r="E29">
            <v>29055726</v>
          </cell>
        </row>
      </sheetData>
      <sheetData sheetId="791">
        <row r="29">
          <cell r="E29">
            <v>29055726</v>
          </cell>
        </row>
      </sheetData>
      <sheetData sheetId="792">
        <row r="29">
          <cell r="E29">
            <v>29055726</v>
          </cell>
        </row>
      </sheetData>
      <sheetData sheetId="793"/>
      <sheetData sheetId="794"/>
      <sheetData sheetId="795">
        <row r="29">
          <cell r="E29">
            <v>0</v>
          </cell>
        </row>
      </sheetData>
      <sheetData sheetId="796"/>
      <sheetData sheetId="797"/>
      <sheetData sheetId="798">
        <row r="29">
          <cell r="E29">
            <v>29055726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>
        <row r="29">
          <cell r="E29">
            <v>29055726</v>
          </cell>
        </row>
      </sheetData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>
        <row r="29">
          <cell r="E29">
            <v>29055726</v>
          </cell>
        </row>
      </sheetData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29">
          <cell r="E29">
            <v>29055726</v>
          </cell>
        </row>
      </sheetData>
      <sheetData sheetId="829">
        <row r="29">
          <cell r="E29">
            <v>29055726</v>
          </cell>
        </row>
      </sheetData>
      <sheetData sheetId="830">
        <row r="29">
          <cell r="E29">
            <v>29055726</v>
          </cell>
        </row>
      </sheetData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>
        <row r="29">
          <cell r="E29">
            <v>0</v>
          </cell>
        </row>
      </sheetData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29">
          <cell r="E29">
            <v>29055726</v>
          </cell>
        </row>
      </sheetData>
      <sheetData sheetId="856">
        <row r="29">
          <cell r="E29">
            <v>29055726</v>
          </cell>
        </row>
      </sheetData>
      <sheetData sheetId="857">
        <row r="29">
          <cell r="E29">
            <v>29055726</v>
          </cell>
        </row>
      </sheetData>
      <sheetData sheetId="858">
        <row r="29">
          <cell r="E29">
            <v>0</v>
          </cell>
        </row>
      </sheetData>
      <sheetData sheetId="859">
        <row r="29">
          <cell r="E29">
            <v>0</v>
          </cell>
        </row>
      </sheetData>
      <sheetData sheetId="860">
        <row r="29">
          <cell r="E29">
            <v>0</v>
          </cell>
        </row>
      </sheetData>
      <sheetData sheetId="861">
        <row r="29">
          <cell r="E29">
            <v>0</v>
          </cell>
        </row>
      </sheetData>
      <sheetData sheetId="862">
        <row r="29">
          <cell r="E29">
            <v>29055726</v>
          </cell>
        </row>
      </sheetData>
      <sheetData sheetId="863">
        <row r="29">
          <cell r="E29">
            <v>0</v>
          </cell>
        </row>
      </sheetData>
      <sheetData sheetId="864">
        <row r="29">
          <cell r="E29">
            <v>29055726</v>
          </cell>
        </row>
      </sheetData>
      <sheetData sheetId="865">
        <row r="29">
          <cell r="E29">
            <v>0</v>
          </cell>
        </row>
      </sheetData>
      <sheetData sheetId="866">
        <row r="29">
          <cell r="E29">
            <v>29055726</v>
          </cell>
        </row>
      </sheetData>
      <sheetData sheetId="867">
        <row r="29">
          <cell r="E29">
            <v>29055726</v>
          </cell>
        </row>
      </sheetData>
      <sheetData sheetId="868">
        <row r="29">
          <cell r="E29">
            <v>29055726</v>
          </cell>
        </row>
      </sheetData>
      <sheetData sheetId="869">
        <row r="29">
          <cell r="E29">
            <v>29055726</v>
          </cell>
        </row>
      </sheetData>
      <sheetData sheetId="870">
        <row r="29">
          <cell r="E29">
            <v>0</v>
          </cell>
        </row>
      </sheetData>
      <sheetData sheetId="871">
        <row r="29">
          <cell r="E29">
            <v>29055726</v>
          </cell>
        </row>
      </sheetData>
      <sheetData sheetId="872">
        <row r="29">
          <cell r="E29">
            <v>29055726</v>
          </cell>
        </row>
      </sheetData>
      <sheetData sheetId="873">
        <row r="29">
          <cell r="E29">
            <v>29055726</v>
          </cell>
        </row>
      </sheetData>
      <sheetData sheetId="874">
        <row r="29">
          <cell r="E29">
            <v>29055726</v>
          </cell>
        </row>
      </sheetData>
      <sheetData sheetId="875">
        <row r="29">
          <cell r="E29">
            <v>29055726</v>
          </cell>
        </row>
      </sheetData>
      <sheetData sheetId="876">
        <row r="29">
          <cell r="E29">
            <v>29055726</v>
          </cell>
        </row>
      </sheetData>
      <sheetData sheetId="877"/>
      <sheetData sheetId="878"/>
      <sheetData sheetId="879"/>
      <sheetData sheetId="880">
        <row r="29">
          <cell r="E29">
            <v>29055726</v>
          </cell>
        </row>
      </sheetData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>
        <row r="29">
          <cell r="E29">
            <v>29055726</v>
          </cell>
        </row>
      </sheetData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Entry"/>
      <sheetName val="Sheet1 "/>
      <sheetName val="Sheet2"/>
      <sheetName val="Sheet3"/>
      <sheetName val="Profit &amp; Loss"/>
      <sheetName val="Liabiliteis"/>
      <sheetName val="Assets"/>
      <sheetName val="C-OFF"/>
      <sheetName val="C-OFF SCSD"/>
      <sheetName val="acct"/>
      <sheetName val="Tables - Kit Codes"/>
      <sheetName val="Download LYear Data"/>
      <sheetName val="Tables - MAU's"/>
      <sheetName val="unpaid ledger "/>
      <sheetName val="Cust"/>
    </sheetNames>
    <sheetDataSet>
      <sheetData sheetId="0"/>
      <sheetData sheetId="1" refreshError="1">
        <row r="1">
          <cell r="B1" t="str">
            <v>SAUDI PAK COMMERCIAL BANK LIMITED</v>
          </cell>
        </row>
        <row r="2">
          <cell r="B2" t="str">
            <v>STATEMENT OF AFFAIR</v>
          </cell>
        </row>
        <row r="3">
          <cell r="B3" t="str">
            <v>AS ON JUNE 30, 2003</v>
          </cell>
          <cell r="N3" t="str">
            <v>MONDAY</v>
          </cell>
        </row>
        <row r="6">
          <cell r="B6" t="str">
            <v>LIABILITIES</v>
          </cell>
          <cell r="D6" t="str">
            <v>Bhawalpur</v>
          </cell>
          <cell r="E6" t="str">
            <v>Multan</v>
          </cell>
          <cell r="F6" t="str">
            <v>R.Y.Khan</v>
          </cell>
          <cell r="G6" t="str">
            <v>Faisalabad</v>
          </cell>
          <cell r="H6" t="str">
            <v>Gujranwala</v>
          </cell>
          <cell r="I6" t="str">
            <v>Lhr. Main</v>
          </cell>
          <cell r="J6" t="str">
            <v>Lhr.Defence</v>
          </cell>
          <cell r="K6" t="str">
            <v>Lhr.Gulb.</v>
          </cell>
          <cell r="L6" t="str">
            <v>Lhr.Peco Road</v>
          </cell>
          <cell r="M6" t="str">
            <v>Lhr.Allama</v>
          </cell>
          <cell r="N6" t="str">
            <v>Lhr.Circular</v>
          </cell>
          <cell r="O6" t="str">
            <v>Sialkot</v>
          </cell>
        </row>
        <row r="7">
          <cell r="B7" t="str">
            <v>CAPITAL AND RESERVES</v>
          </cell>
        </row>
        <row r="8">
          <cell r="B8" t="str">
            <v>PROFIT &amp; LOSS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O8">
            <v>0</v>
          </cell>
        </row>
        <row r="9">
          <cell r="B9" t="str">
            <v>RESERVE FUND &amp; OTHER RESERVES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O9">
            <v>0</v>
          </cell>
        </row>
        <row r="10">
          <cell r="B10" t="str">
            <v>SHARE CAPITAL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O10">
            <v>0</v>
          </cell>
        </row>
        <row r="11">
          <cell r="B11" t="str">
            <v>SURPLUS ON REVALUATION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O11">
            <v>0</v>
          </cell>
        </row>
        <row r="12">
          <cell r="B12" t="str">
            <v>UNAPPROPIATE LOSS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O12">
            <v>0</v>
          </cell>
        </row>
        <row r="13">
          <cell r="C13" t="str">
            <v>T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B14" t="str">
            <v>PROVISIONS</v>
          </cell>
        </row>
        <row r="15">
          <cell r="B15" t="str">
            <v>PROVISION FOR DOUBTFUL DEBTS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O15">
            <v>0</v>
          </cell>
        </row>
        <row r="16">
          <cell r="B16" t="str">
            <v>PROVISIONS FOR TAXATION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O16">
            <v>0</v>
          </cell>
        </row>
        <row r="17">
          <cell r="C17" t="str">
            <v>T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 t="str">
            <v>BORROWING FROM SBP</v>
          </cell>
        </row>
        <row r="19">
          <cell r="B19" t="str">
            <v>OTHER BORROWINGS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O19">
            <v>0</v>
          </cell>
        </row>
        <row r="20">
          <cell r="B20" t="str">
            <v>REFINANCE PART-I</v>
          </cell>
          <cell r="D20">
            <v>0</v>
          </cell>
          <cell r="E20">
            <v>30000000</v>
          </cell>
          <cell r="F20">
            <v>0</v>
          </cell>
          <cell r="G20">
            <v>2010000</v>
          </cell>
          <cell r="H20">
            <v>14000000</v>
          </cell>
          <cell r="I20">
            <v>102900000</v>
          </cell>
          <cell r="J20">
            <v>0</v>
          </cell>
          <cell r="K20">
            <v>97400000</v>
          </cell>
          <cell r="O20">
            <v>22700000</v>
          </cell>
        </row>
        <row r="21">
          <cell r="B21" t="str">
            <v>REFINANCE PART-II</v>
          </cell>
          <cell r="D21">
            <v>0</v>
          </cell>
          <cell r="E21">
            <v>0</v>
          </cell>
          <cell r="F21">
            <v>0</v>
          </cell>
          <cell r="G21">
            <v>67000000.009999998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O21">
            <v>0</v>
          </cell>
        </row>
        <row r="24">
          <cell r="C24" t="str">
            <v>T</v>
          </cell>
          <cell r="D24">
            <v>0</v>
          </cell>
          <cell r="E24">
            <v>30000000</v>
          </cell>
          <cell r="F24">
            <v>0</v>
          </cell>
          <cell r="G24">
            <v>69010000.00999999</v>
          </cell>
          <cell r="H24">
            <v>14000000</v>
          </cell>
          <cell r="I24">
            <v>102900000</v>
          </cell>
          <cell r="J24">
            <v>0</v>
          </cell>
          <cell r="K24">
            <v>97400000</v>
          </cell>
          <cell r="L24">
            <v>0</v>
          </cell>
          <cell r="M24">
            <v>0</v>
          </cell>
          <cell r="N24">
            <v>0</v>
          </cell>
          <cell r="O24">
            <v>22700000</v>
          </cell>
        </row>
        <row r="25">
          <cell r="B25" t="str">
            <v xml:space="preserve">BORROWING FROM BANKS </v>
          </cell>
        </row>
        <row r="26">
          <cell r="B26" t="str">
            <v>CALL MONEY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O26">
            <v>0</v>
          </cell>
        </row>
        <row r="27">
          <cell r="B27" t="str">
            <v>DEPOSIT ACCOUNTS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O27">
            <v>0</v>
          </cell>
        </row>
        <row r="28">
          <cell r="B28" t="str">
            <v>FINANCING FROM OTHERS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O28">
            <v>0</v>
          </cell>
        </row>
        <row r="31">
          <cell r="C31" t="str">
            <v>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 t="str">
            <v>DUE TO BANKS - Abroad</v>
          </cell>
          <cell r="C32" t="str">
            <v>T</v>
          </cell>
        </row>
        <row r="33">
          <cell r="B33" t="str">
            <v>DUE TO HO/ BRANCHES BORROWINGS</v>
          </cell>
          <cell r="D33">
            <v>0</v>
          </cell>
          <cell r="E33">
            <v>88075000</v>
          </cell>
          <cell r="F33">
            <v>0</v>
          </cell>
          <cell r="G33">
            <v>20000000</v>
          </cell>
          <cell r="H33">
            <v>0</v>
          </cell>
          <cell r="I33">
            <v>726000000</v>
          </cell>
          <cell r="J33">
            <v>0</v>
          </cell>
          <cell r="K33">
            <v>829600000</v>
          </cell>
          <cell r="O33">
            <v>0</v>
          </cell>
        </row>
        <row r="34">
          <cell r="B34" t="str">
            <v>DUE TO HO/BRN FCY</v>
          </cell>
          <cell r="D34">
            <v>0</v>
          </cell>
          <cell r="E34">
            <v>57158686.590000004</v>
          </cell>
          <cell r="F34">
            <v>0</v>
          </cell>
          <cell r="G34">
            <v>0</v>
          </cell>
          <cell r="H34">
            <v>0</v>
          </cell>
          <cell r="I34">
            <v>321232503.06</v>
          </cell>
          <cell r="J34">
            <v>0</v>
          </cell>
          <cell r="K34">
            <v>199038767.18000001</v>
          </cell>
          <cell r="O34">
            <v>0</v>
          </cell>
        </row>
        <row r="35">
          <cell r="B35" t="str">
            <v>DUE TO HO/BRN LCY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O35">
            <v>0</v>
          </cell>
        </row>
        <row r="38">
          <cell r="C38" t="str">
            <v>T</v>
          </cell>
          <cell r="D38">
            <v>0</v>
          </cell>
          <cell r="E38">
            <v>145233686.59</v>
          </cell>
          <cell r="F38">
            <v>0</v>
          </cell>
          <cell r="G38">
            <v>20000000</v>
          </cell>
          <cell r="H38">
            <v>0</v>
          </cell>
          <cell r="I38">
            <v>1047232503.0599999</v>
          </cell>
          <cell r="J38">
            <v>0</v>
          </cell>
          <cell r="K38">
            <v>1028638767.1800001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DEPOSITS - Local Currency</v>
          </cell>
        </row>
        <row r="40">
          <cell r="B40" t="str">
            <v>CALL DEPOSIT RECEIPT</v>
          </cell>
          <cell r="D40">
            <v>1381404</v>
          </cell>
          <cell r="E40">
            <v>232300</v>
          </cell>
          <cell r="F40">
            <v>1262048</v>
          </cell>
          <cell r="G40">
            <v>11750500</v>
          </cell>
          <cell r="H40">
            <v>250660</v>
          </cell>
          <cell r="I40">
            <v>2587910</v>
          </cell>
          <cell r="J40">
            <v>16873900</v>
          </cell>
          <cell r="K40">
            <v>83943206</v>
          </cell>
          <cell r="L40">
            <v>1199197</v>
          </cell>
          <cell r="N40">
            <v>428313</v>
          </cell>
          <cell r="O40">
            <v>0</v>
          </cell>
        </row>
        <row r="41">
          <cell r="B41" t="str">
            <v>CURRENT ACCOUNTS</v>
          </cell>
          <cell r="D41">
            <v>18303724.239999998</v>
          </cell>
          <cell r="E41">
            <v>53895751.020000003</v>
          </cell>
          <cell r="F41">
            <v>13799972.15</v>
          </cell>
          <cell r="G41">
            <v>39337269.710000001</v>
          </cell>
          <cell r="H41">
            <v>173176661.93000001</v>
          </cell>
          <cell r="I41">
            <v>101355754.23999999</v>
          </cell>
          <cell r="J41">
            <v>7208053.5300000003</v>
          </cell>
          <cell r="K41">
            <v>210340062.00999999</v>
          </cell>
          <cell r="L41">
            <v>6701704</v>
          </cell>
          <cell r="M41">
            <v>35091672.119999997</v>
          </cell>
          <cell r="N41">
            <v>25897906.41</v>
          </cell>
          <cell r="O41">
            <v>22937065.09</v>
          </cell>
        </row>
        <row r="42">
          <cell r="B42" t="str">
            <v>FED. GOVT. US$ BONDS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O42">
            <v>0</v>
          </cell>
        </row>
        <row r="43">
          <cell r="B43" t="str">
            <v>FIXED TERM DEPOSIT</v>
          </cell>
          <cell r="D43">
            <v>890000</v>
          </cell>
          <cell r="E43">
            <v>15662000</v>
          </cell>
          <cell r="F43">
            <v>850000</v>
          </cell>
          <cell r="G43">
            <v>16415800</v>
          </cell>
          <cell r="H43">
            <v>21391040</v>
          </cell>
          <cell r="I43">
            <v>951020556</v>
          </cell>
          <cell r="J43">
            <v>136615000</v>
          </cell>
          <cell r="K43">
            <v>134539623</v>
          </cell>
          <cell r="L43">
            <v>255900000</v>
          </cell>
          <cell r="M43">
            <v>9610000</v>
          </cell>
          <cell r="O43">
            <v>141016568</v>
          </cell>
        </row>
        <row r="44">
          <cell r="B44" t="str">
            <v>PRUD. GOLD TERM DEP.</v>
          </cell>
          <cell r="D44">
            <v>0</v>
          </cell>
          <cell r="E44">
            <v>0</v>
          </cell>
          <cell r="F44">
            <v>0</v>
          </cell>
          <cell r="G44">
            <v>1450000</v>
          </cell>
          <cell r="H44">
            <v>0</v>
          </cell>
          <cell r="I44">
            <v>0</v>
          </cell>
          <cell r="J44">
            <v>0</v>
          </cell>
          <cell r="K44">
            <v>130328.1</v>
          </cell>
          <cell r="O44">
            <v>0</v>
          </cell>
        </row>
        <row r="45">
          <cell r="B45" t="str">
            <v>PRUDENTIAL MAH. PLAN</v>
          </cell>
          <cell r="D45">
            <v>3610000</v>
          </cell>
          <cell r="E45">
            <v>5700000</v>
          </cell>
          <cell r="F45">
            <v>6400000</v>
          </cell>
          <cell r="G45">
            <v>200000</v>
          </cell>
          <cell r="H45">
            <v>29431408</v>
          </cell>
          <cell r="I45">
            <v>0</v>
          </cell>
          <cell r="J45">
            <v>23500000</v>
          </cell>
          <cell r="K45">
            <v>511470295.74000001</v>
          </cell>
          <cell r="L45">
            <v>59950000</v>
          </cell>
          <cell r="O45">
            <v>0</v>
          </cell>
        </row>
        <row r="46">
          <cell r="B46" t="str">
            <v>PRUDENTIAL SILVER</v>
          </cell>
          <cell r="D46">
            <v>11968.48</v>
          </cell>
          <cell r="E46">
            <v>116297.19</v>
          </cell>
          <cell r="F46">
            <v>0</v>
          </cell>
          <cell r="G46">
            <v>0</v>
          </cell>
          <cell r="H46">
            <v>125137474.63</v>
          </cell>
          <cell r="I46">
            <v>1414024.7</v>
          </cell>
          <cell r="J46">
            <v>453.36</v>
          </cell>
          <cell r="K46">
            <v>0</v>
          </cell>
          <cell r="O46">
            <v>10000000</v>
          </cell>
        </row>
        <row r="47">
          <cell r="B47" t="str">
            <v>SAVINGS ACCOUNTS</v>
          </cell>
          <cell r="D47">
            <v>8969251.2300000004</v>
          </cell>
          <cell r="E47">
            <v>7007471.6699999999</v>
          </cell>
          <cell r="F47">
            <v>9431439.8900000006</v>
          </cell>
          <cell r="G47">
            <v>51687426.969999999</v>
          </cell>
          <cell r="H47">
            <v>6271864.5</v>
          </cell>
          <cell r="I47">
            <v>24024158.109999999</v>
          </cell>
          <cell r="J47">
            <v>7674964.6600000001</v>
          </cell>
          <cell r="K47">
            <v>40198677.780000001</v>
          </cell>
          <cell r="L47">
            <v>13319345.210000001</v>
          </cell>
          <cell r="M47">
            <v>9709822</v>
          </cell>
          <cell r="N47">
            <v>923419.28</v>
          </cell>
          <cell r="O47">
            <v>41107340.700000003</v>
          </cell>
        </row>
        <row r="48">
          <cell r="B48" t="str">
            <v>SHORT NOTICE DEPOSIT</v>
          </cell>
          <cell r="D48">
            <v>0</v>
          </cell>
          <cell r="E48">
            <v>18793169.370000001</v>
          </cell>
          <cell r="F48">
            <v>700000</v>
          </cell>
          <cell r="G48">
            <v>5909125</v>
          </cell>
          <cell r="H48">
            <v>10869847</v>
          </cell>
          <cell r="I48">
            <v>18510045</v>
          </cell>
          <cell r="J48">
            <v>0</v>
          </cell>
          <cell r="K48">
            <v>0</v>
          </cell>
          <cell r="O48">
            <v>6105065</v>
          </cell>
        </row>
        <row r="49">
          <cell r="B49" t="str">
            <v>SUPER PROFIT SCHEME</v>
          </cell>
          <cell r="D49">
            <v>7356334.4800000004</v>
          </cell>
          <cell r="E49">
            <v>39901047.600000001</v>
          </cell>
          <cell r="F49">
            <v>20065291.039999999</v>
          </cell>
          <cell r="G49">
            <v>136340461.63999999</v>
          </cell>
          <cell r="H49">
            <v>37796818.640000001</v>
          </cell>
          <cell r="I49">
            <v>1453671837.22</v>
          </cell>
          <cell r="J49">
            <v>770989561.47000003</v>
          </cell>
          <cell r="K49">
            <v>765164159.72000003</v>
          </cell>
          <cell r="L49">
            <v>200750536.58000001</v>
          </cell>
          <cell r="M49">
            <v>200363.43</v>
          </cell>
          <cell r="N49">
            <v>42792823</v>
          </cell>
          <cell r="O49">
            <v>172346127.72</v>
          </cell>
        </row>
        <row r="52">
          <cell r="C52" t="str">
            <v>T</v>
          </cell>
          <cell r="D52">
            <v>40522682.43</v>
          </cell>
          <cell r="E52">
            <v>141308036.85000002</v>
          </cell>
          <cell r="F52">
            <v>52508751.079999998</v>
          </cell>
          <cell r="G52">
            <v>263090583.31999999</v>
          </cell>
          <cell r="H52">
            <v>404325774.69999999</v>
          </cell>
          <cell r="I52">
            <v>2552584285.27</v>
          </cell>
          <cell r="J52">
            <v>962861933.01999998</v>
          </cell>
          <cell r="K52">
            <v>1745786352.3499999</v>
          </cell>
          <cell r="L52">
            <v>537820782.78999996</v>
          </cell>
          <cell r="M52">
            <v>54611857.549999997</v>
          </cell>
          <cell r="N52">
            <v>70042461.689999998</v>
          </cell>
          <cell r="O52">
            <v>393512166.50999999</v>
          </cell>
        </row>
        <row r="53">
          <cell r="B53" t="str">
            <v>DEPOSITS - Foreign Currency</v>
          </cell>
        </row>
        <row r="54">
          <cell r="B54" t="str">
            <v>CURRENT ACCOUNT FCY</v>
          </cell>
          <cell r="D54">
            <v>4944.88</v>
          </cell>
          <cell r="E54">
            <v>1334708.79</v>
          </cell>
          <cell r="F54">
            <v>0</v>
          </cell>
          <cell r="G54">
            <v>11128.76</v>
          </cell>
          <cell r="H54">
            <v>114762.55</v>
          </cell>
          <cell r="I54">
            <v>1655107.41</v>
          </cell>
          <cell r="J54">
            <v>1698813.91</v>
          </cell>
          <cell r="K54">
            <v>596683183.67999995</v>
          </cell>
          <cell r="L54">
            <v>2492796.85</v>
          </cell>
          <cell r="O54">
            <v>2391242.77</v>
          </cell>
        </row>
        <row r="55">
          <cell r="B55" t="str">
            <v>FIXED TERM DEPOSIT FCY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3063010</v>
          </cell>
          <cell r="K55">
            <v>310416909.87</v>
          </cell>
          <cell r="O55">
            <v>0</v>
          </cell>
        </row>
        <row r="56">
          <cell r="B56" t="str">
            <v>SAVING ACCOUNT FCY</v>
          </cell>
          <cell r="D56">
            <v>185421.28</v>
          </cell>
          <cell r="E56">
            <v>2603177.9500000002</v>
          </cell>
          <cell r="F56">
            <v>94769.15</v>
          </cell>
          <cell r="G56">
            <v>11261745.140000001</v>
          </cell>
          <cell r="H56">
            <v>13375173.01</v>
          </cell>
          <cell r="I56">
            <v>70691130.159999996</v>
          </cell>
          <cell r="J56">
            <v>20696708.329999998</v>
          </cell>
          <cell r="K56">
            <v>154848290.38</v>
          </cell>
          <cell r="N56">
            <v>582356.35</v>
          </cell>
          <cell r="O56">
            <v>23021772.129999999</v>
          </cell>
        </row>
        <row r="57">
          <cell r="B57" t="str">
            <v>SHORT NOTICE DEPOSIT FCY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O57">
            <v>0</v>
          </cell>
        </row>
        <row r="60">
          <cell r="C60" t="str">
            <v>T</v>
          </cell>
          <cell r="D60">
            <v>190366.16</v>
          </cell>
          <cell r="E60">
            <v>3937886.74</v>
          </cell>
          <cell r="F60">
            <v>94769.15</v>
          </cell>
          <cell r="G60">
            <v>11272873.9</v>
          </cell>
          <cell r="H60">
            <v>13489935.560000001</v>
          </cell>
          <cell r="I60">
            <v>72346237.569999993</v>
          </cell>
          <cell r="J60">
            <v>25458532.239999998</v>
          </cell>
          <cell r="K60">
            <v>1061948383.9299999</v>
          </cell>
          <cell r="L60">
            <v>2492796.85</v>
          </cell>
          <cell r="M60">
            <v>0</v>
          </cell>
          <cell r="N60">
            <v>582356.35</v>
          </cell>
          <cell r="O60">
            <v>25413014.899999999</v>
          </cell>
        </row>
        <row r="61">
          <cell r="B61" t="str">
            <v>MARGIN ACCOUNTS</v>
          </cell>
        </row>
        <row r="62">
          <cell r="B62" t="str">
            <v>ACCEPTANCE</v>
          </cell>
          <cell r="D62">
            <v>0</v>
          </cell>
          <cell r="E62">
            <v>8198800</v>
          </cell>
          <cell r="F62">
            <v>0</v>
          </cell>
          <cell r="G62">
            <v>9049121</v>
          </cell>
          <cell r="H62">
            <v>0</v>
          </cell>
          <cell r="I62">
            <v>10151740</v>
          </cell>
          <cell r="J62">
            <v>0</v>
          </cell>
          <cell r="K62">
            <v>10359600</v>
          </cell>
          <cell r="O62">
            <v>0</v>
          </cell>
        </row>
        <row r="63">
          <cell r="B63" t="str">
            <v>GUARANTEES</v>
          </cell>
          <cell r="D63">
            <v>460000</v>
          </cell>
          <cell r="E63">
            <v>7284612</v>
          </cell>
          <cell r="F63">
            <v>0</v>
          </cell>
          <cell r="G63">
            <v>7133437</v>
          </cell>
          <cell r="H63">
            <v>3371881</v>
          </cell>
          <cell r="I63">
            <v>97684921</v>
          </cell>
          <cell r="J63">
            <v>16334490</v>
          </cell>
          <cell r="K63">
            <v>46053408</v>
          </cell>
          <cell r="L63">
            <v>174300</v>
          </cell>
          <cell r="M63">
            <v>908375</v>
          </cell>
          <cell r="O63">
            <v>0</v>
          </cell>
        </row>
        <row r="64">
          <cell r="B64" t="str">
            <v>LETTER OF CREDIT</v>
          </cell>
          <cell r="D64">
            <v>0</v>
          </cell>
          <cell r="E64">
            <v>4192000</v>
          </cell>
          <cell r="F64">
            <v>0</v>
          </cell>
          <cell r="G64">
            <v>5318586</v>
          </cell>
          <cell r="H64">
            <v>3891000</v>
          </cell>
          <cell r="I64">
            <v>9727700</v>
          </cell>
          <cell r="J64">
            <v>1812098.65</v>
          </cell>
          <cell r="K64">
            <v>50672800</v>
          </cell>
          <cell r="L64">
            <v>189000</v>
          </cell>
          <cell r="N64">
            <v>1391000</v>
          </cell>
          <cell r="O64">
            <v>963500</v>
          </cell>
        </row>
        <row r="65">
          <cell r="B65" t="str">
            <v>OTHERS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315000</v>
          </cell>
          <cell r="J65">
            <v>0</v>
          </cell>
          <cell r="K65">
            <v>237000</v>
          </cell>
          <cell r="O65">
            <v>0</v>
          </cell>
        </row>
        <row r="68">
          <cell r="C68" t="str">
            <v>T</v>
          </cell>
          <cell r="D68">
            <v>460000</v>
          </cell>
          <cell r="E68">
            <v>19675412</v>
          </cell>
          <cell r="F68">
            <v>0</v>
          </cell>
          <cell r="G68">
            <v>21501144</v>
          </cell>
          <cell r="H68">
            <v>7262881</v>
          </cell>
          <cell r="I68">
            <v>117879361</v>
          </cell>
          <cell r="J68">
            <v>18146588.649999999</v>
          </cell>
          <cell r="K68">
            <v>107322808</v>
          </cell>
          <cell r="L68">
            <v>363300</v>
          </cell>
          <cell r="M68">
            <v>908375</v>
          </cell>
          <cell r="N68">
            <v>1391000</v>
          </cell>
          <cell r="O68">
            <v>963500</v>
          </cell>
        </row>
        <row r="69">
          <cell r="B69" t="str">
            <v>TOTAL DEPOSITS</v>
          </cell>
          <cell r="C69" t="str">
            <v>T</v>
          </cell>
          <cell r="D69">
            <v>41173048.589999996</v>
          </cell>
          <cell r="E69">
            <v>164921335.59000003</v>
          </cell>
          <cell r="F69">
            <v>52603520.229999997</v>
          </cell>
          <cell r="G69">
            <v>295864601.21999997</v>
          </cell>
          <cell r="H69">
            <v>425078591.25999999</v>
          </cell>
          <cell r="I69">
            <v>2742809883.8400002</v>
          </cell>
          <cell r="J69">
            <v>1006467053.91</v>
          </cell>
          <cell r="K69">
            <v>2915057544.2799997</v>
          </cell>
          <cell r="L69">
            <v>540676879.63999999</v>
          </cell>
          <cell r="M69">
            <v>55520232.549999997</v>
          </cell>
          <cell r="N69">
            <v>72015818.039999992</v>
          </cell>
          <cell r="O69">
            <v>419888681.40999997</v>
          </cell>
        </row>
        <row r="71">
          <cell r="B71" t="str">
            <v>BILLS PAYABLE</v>
          </cell>
        </row>
        <row r="72">
          <cell r="B72" t="str">
            <v>PAY ORDER ISSUED</v>
          </cell>
          <cell r="D72">
            <v>24619.59</v>
          </cell>
          <cell r="E72">
            <v>810682.96</v>
          </cell>
          <cell r="F72">
            <v>3963</v>
          </cell>
          <cell r="G72">
            <v>40045</v>
          </cell>
          <cell r="H72">
            <v>1430643.92</v>
          </cell>
          <cell r="I72">
            <v>22879037</v>
          </cell>
          <cell r="J72">
            <v>12352570</v>
          </cell>
          <cell r="K72">
            <v>17180917.300000001</v>
          </cell>
          <cell r="L72">
            <v>403093</v>
          </cell>
          <cell r="M72">
            <v>19140</v>
          </cell>
          <cell r="N72">
            <v>1010639</v>
          </cell>
          <cell r="O72">
            <v>5257</v>
          </cell>
        </row>
        <row r="73">
          <cell r="B73" t="str">
            <v>REMIT PAYABLE</v>
          </cell>
          <cell r="D73">
            <v>100000</v>
          </cell>
          <cell r="E73">
            <v>868343</v>
          </cell>
          <cell r="F73">
            <v>0</v>
          </cell>
          <cell r="G73">
            <v>1072946.19</v>
          </cell>
          <cell r="H73">
            <v>114400</v>
          </cell>
          <cell r="I73">
            <v>5522452.04</v>
          </cell>
          <cell r="J73">
            <v>29127.82</v>
          </cell>
          <cell r="K73">
            <v>1654945</v>
          </cell>
          <cell r="O73">
            <v>0</v>
          </cell>
        </row>
        <row r="76">
          <cell r="C76" t="str">
            <v>T</v>
          </cell>
          <cell r="D76">
            <v>124619.59</v>
          </cell>
          <cell r="E76">
            <v>1679025.96</v>
          </cell>
          <cell r="F76">
            <v>3963</v>
          </cell>
          <cell r="G76">
            <v>1112991.19</v>
          </cell>
          <cell r="H76">
            <v>1545043.92</v>
          </cell>
          <cell r="I76">
            <v>28401489.039999999</v>
          </cell>
          <cell r="J76">
            <v>12381697.82</v>
          </cell>
          <cell r="K76">
            <v>18835862.300000001</v>
          </cell>
          <cell r="L76">
            <v>403093</v>
          </cell>
          <cell r="M76">
            <v>19140</v>
          </cell>
          <cell r="N76">
            <v>1010639</v>
          </cell>
          <cell r="O76">
            <v>5257</v>
          </cell>
        </row>
        <row r="77">
          <cell r="B77" t="str">
            <v>LEASE LIABILITY</v>
          </cell>
          <cell r="C77" t="str">
            <v>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O77">
            <v>0</v>
          </cell>
        </row>
        <row r="78">
          <cell r="B78" t="str">
            <v>SUNDRY CREDITORS</v>
          </cell>
          <cell r="C78" t="str">
            <v>T</v>
          </cell>
          <cell r="D78">
            <v>2559505.1800000002</v>
          </cell>
          <cell r="E78">
            <v>2919794.85</v>
          </cell>
          <cell r="F78">
            <v>3858544.6400000001</v>
          </cell>
          <cell r="G78">
            <v>11462107.870000001</v>
          </cell>
          <cell r="H78">
            <v>3945372.21</v>
          </cell>
          <cell r="I78">
            <v>138160837.56999999</v>
          </cell>
          <cell r="J78">
            <v>7382537.3300000001</v>
          </cell>
          <cell r="K78">
            <v>39919176.859999999</v>
          </cell>
          <cell r="L78">
            <v>4169445.34</v>
          </cell>
          <cell r="M78">
            <v>82909.469999999987</v>
          </cell>
          <cell r="N78">
            <v>623560.30000000005</v>
          </cell>
          <cell r="O78">
            <v>7820187.25</v>
          </cell>
        </row>
        <row r="79">
          <cell r="B79" t="str">
            <v>INCOME ACCOUNT</v>
          </cell>
          <cell r="C79" t="str">
            <v>T</v>
          </cell>
          <cell r="D79">
            <v>2058761.7</v>
          </cell>
          <cell r="E79">
            <v>14799146.539999999</v>
          </cell>
          <cell r="F79">
            <v>1398929.2</v>
          </cell>
          <cell r="G79">
            <v>23058929.449999999</v>
          </cell>
          <cell r="H79">
            <v>35432473.890000001</v>
          </cell>
          <cell r="I79">
            <v>131439355.09</v>
          </cell>
          <cell r="J79">
            <v>32137322.760000002</v>
          </cell>
          <cell r="K79">
            <v>121605561.19</v>
          </cell>
          <cell r="L79">
            <v>8944513.9299999997</v>
          </cell>
          <cell r="M79">
            <v>520521</v>
          </cell>
          <cell r="N79">
            <v>542091.17000000004</v>
          </cell>
          <cell r="O79">
            <v>15596279.970000001</v>
          </cell>
        </row>
        <row r="81">
          <cell r="B81" t="str">
            <v>SUB-TOTAL</v>
          </cell>
          <cell r="D81">
            <v>45915935.060000002</v>
          </cell>
          <cell r="E81">
            <v>359552989.53000009</v>
          </cell>
          <cell r="F81">
            <v>57864957.07</v>
          </cell>
          <cell r="G81">
            <v>420508629.73999995</v>
          </cell>
          <cell r="H81">
            <v>480001481.27999997</v>
          </cell>
          <cell r="I81">
            <v>4190944068.6000004</v>
          </cell>
          <cell r="J81">
            <v>1058368611.8200001</v>
          </cell>
          <cell r="K81">
            <v>4221456911.8100004</v>
          </cell>
          <cell r="L81">
            <v>554193931.90999997</v>
          </cell>
          <cell r="M81">
            <v>56142803.019999996</v>
          </cell>
          <cell r="N81">
            <v>74192108.50999999</v>
          </cell>
          <cell r="O81">
            <v>466010405.63</v>
          </cell>
        </row>
        <row r="84">
          <cell r="B84" t="str">
            <v>CONTINGENT LIABILITY</v>
          </cell>
          <cell r="D84" t="str">
            <v>Bhawalpur</v>
          </cell>
          <cell r="E84" t="str">
            <v>Multan</v>
          </cell>
          <cell r="F84" t="str">
            <v>R.Y.Khan</v>
          </cell>
          <cell r="G84" t="str">
            <v>Faisalabad</v>
          </cell>
          <cell r="H84" t="str">
            <v>GujranwaJa</v>
          </cell>
          <cell r="I84" t="str">
            <v>Lhr. Main</v>
          </cell>
          <cell r="J84" t="str">
            <v>Lhr.Defence</v>
          </cell>
          <cell r="K84" t="str">
            <v>Lhr.Gulb.</v>
          </cell>
          <cell r="L84" t="str">
            <v>Lhr.Peco Road</v>
          </cell>
          <cell r="M84" t="str">
            <v>Lhr.Allama</v>
          </cell>
          <cell r="N84" t="str">
            <v>Lhr.Circular</v>
          </cell>
          <cell r="O84" t="str">
            <v>Sialkot</v>
          </cell>
        </row>
        <row r="86">
          <cell r="B86" t="str">
            <v>ACCEPTANCE</v>
          </cell>
          <cell r="D86">
            <v>0</v>
          </cell>
          <cell r="E86">
            <v>82872000</v>
          </cell>
          <cell r="F86">
            <v>0</v>
          </cell>
          <cell r="G86">
            <v>154314814</v>
          </cell>
          <cell r="H86">
            <v>84432000</v>
          </cell>
          <cell r="I86">
            <v>281725500</v>
          </cell>
          <cell r="J86">
            <v>1237300</v>
          </cell>
          <cell r="K86">
            <v>92770000</v>
          </cell>
          <cell r="O86">
            <v>3466000</v>
          </cell>
        </row>
        <row r="87">
          <cell r="B87" t="str">
            <v>FDBC</v>
          </cell>
          <cell r="D87">
            <v>0</v>
          </cell>
          <cell r="E87">
            <v>13698000</v>
          </cell>
          <cell r="F87">
            <v>0</v>
          </cell>
          <cell r="G87">
            <v>68157000</v>
          </cell>
          <cell r="H87">
            <v>10687000</v>
          </cell>
          <cell r="I87">
            <v>465130559</v>
          </cell>
          <cell r="J87">
            <v>2595505.2599999998</v>
          </cell>
          <cell r="K87">
            <v>211843000</v>
          </cell>
          <cell r="O87">
            <v>25545000</v>
          </cell>
        </row>
        <row r="88">
          <cell r="B88" t="str">
            <v>FORWARD CONTRACT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O88">
            <v>0</v>
          </cell>
        </row>
        <row r="89">
          <cell r="B89" t="str">
            <v>LETTER OF CREDIT (Cont. lib)</v>
          </cell>
          <cell r="D89">
            <v>0</v>
          </cell>
          <cell r="E89">
            <v>94499000</v>
          </cell>
          <cell r="F89">
            <v>0</v>
          </cell>
          <cell r="G89">
            <v>108789111</v>
          </cell>
          <cell r="H89">
            <v>211368500</v>
          </cell>
          <cell r="I89">
            <v>549710724</v>
          </cell>
          <cell r="J89">
            <v>6512395</v>
          </cell>
          <cell r="K89">
            <v>660751645</v>
          </cell>
          <cell r="N89">
            <v>30574200</v>
          </cell>
          <cell r="O89">
            <v>3343000</v>
          </cell>
        </row>
        <row r="90">
          <cell r="B90" t="str">
            <v>LETTER OF GUARANTEE</v>
          </cell>
          <cell r="D90">
            <v>2850000</v>
          </cell>
          <cell r="E90">
            <v>96420527.390000001</v>
          </cell>
          <cell r="F90">
            <v>0</v>
          </cell>
          <cell r="G90">
            <v>50786322</v>
          </cell>
          <cell r="H90">
            <v>20547418</v>
          </cell>
          <cell r="I90">
            <v>1471837908.3</v>
          </cell>
          <cell r="J90">
            <v>350576590</v>
          </cell>
          <cell r="K90">
            <v>995654038</v>
          </cell>
          <cell r="L90">
            <v>1722500</v>
          </cell>
          <cell r="M90">
            <v>908375</v>
          </cell>
          <cell r="O90">
            <v>3250000</v>
          </cell>
        </row>
        <row r="91">
          <cell r="B91" t="str">
            <v>OBC/ IBC</v>
          </cell>
          <cell r="D91">
            <v>68291</v>
          </cell>
          <cell r="E91">
            <v>3850178</v>
          </cell>
          <cell r="F91">
            <v>0</v>
          </cell>
          <cell r="G91">
            <v>900000</v>
          </cell>
          <cell r="H91">
            <v>1294733</v>
          </cell>
          <cell r="I91">
            <v>29215459</v>
          </cell>
          <cell r="J91">
            <v>38982979.600000001</v>
          </cell>
          <cell r="K91">
            <v>14470089.98</v>
          </cell>
          <cell r="L91">
            <v>23160</v>
          </cell>
          <cell r="N91">
            <v>11638</v>
          </cell>
          <cell r="O91">
            <v>40530</v>
          </cell>
        </row>
        <row r="92">
          <cell r="B92" t="str">
            <v>REPO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O92">
            <v>0</v>
          </cell>
        </row>
        <row r="93">
          <cell r="B93" t="str">
            <v>SECURITY STOCK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O93">
            <v>0</v>
          </cell>
        </row>
        <row r="94">
          <cell r="B94" t="str">
            <v>TREASURY DEALS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O94">
            <v>0</v>
          </cell>
        </row>
        <row r="95">
          <cell r="B95" t="str">
            <v>RECEIVABLE (PIBs)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O95">
            <v>0</v>
          </cell>
        </row>
        <row r="98">
          <cell r="C98" t="str">
            <v>T</v>
          </cell>
          <cell r="D98">
            <v>2918291</v>
          </cell>
          <cell r="E98">
            <v>291339705.38999999</v>
          </cell>
          <cell r="F98">
            <v>0</v>
          </cell>
          <cell r="G98">
            <v>382947247</v>
          </cell>
          <cell r="H98">
            <v>328329651</v>
          </cell>
          <cell r="I98">
            <v>2797620150.3000002</v>
          </cell>
          <cell r="J98">
            <v>399904769.86000001</v>
          </cell>
          <cell r="K98">
            <v>1975488772.98</v>
          </cell>
          <cell r="L98">
            <v>1745660</v>
          </cell>
          <cell r="M98">
            <v>908375</v>
          </cell>
          <cell r="N98">
            <v>30585838</v>
          </cell>
          <cell r="O98">
            <v>35644530</v>
          </cell>
        </row>
        <row r="99">
          <cell r="B99" t="str">
            <v>GRAND TOTAL</v>
          </cell>
          <cell r="D99">
            <v>48834226.060000002</v>
          </cell>
          <cell r="E99">
            <v>650892694.92000008</v>
          </cell>
          <cell r="F99">
            <v>57864957.07</v>
          </cell>
          <cell r="G99">
            <v>803455876.74000001</v>
          </cell>
          <cell r="H99">
            <v>808331132.27999997</v>
          </cell>
          <cell r="I99">
            <v>6988564218.9000006</v>
          </cell>
          <cell r="J99">
            <v>1458273381.6800001</v>
          </cell>
          <cell r="K99">
            <v>6196945684.7900009</v>
          </cell>
          <cell r="L99">
            <v>555939591.90999997</v>
          </cell>
          <cell r="M99">
            <v>57051178.019999996</v>
          </cell>
          <cell r="N99">
            <v>104777946.50999999</v>
          </cell>
          <cell r="O99">
            <v>501654935.63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M-F (2)"/>
      <sheetName val="MTM-P (2)"/>
      <sheetName val="EDM"/>
      <sheetName val="DALY"/>
      <sheetName val="O-N"/>
      <sheetName val="F-HL"/>
      <sheetName val="F-RR"/>
      <sheetName val="F-REP"/>
      <sheetName val="TB-HOL"/>
      <sheetName val="T.RR"/>
      <sheetName val="T.REP"/>
      <sheetName val="P-RR"/>
      <sheetName val="P-REP"/>
      <sheetName val="TFC-H"/>
      <sheetName val="TFC-RR"/>
      <sheetName val="SHR"/>
      <sheetName val="SHR-RR"/>
      <sheetName val="ARHB"/>
      <sheetName val="BAD"/>
      <sheetName val="NIT"/>
      <sheetName val="BR-PCMNT"/>
      <sheetName val="CALL-B"/>
      <sheetName val="CALL-L"/>
      <sheetName val="COI"/>
      <sheetName val="CLEAN"/>
      <sheetName val="SUM"/>
      <sheetName val="WEEKLY"/>
      <sheetName val="ANA1"/>
      <sheetName val="ALL"/>
      <sheetName val="BAL"/>
      <sheetName val="SHDW"/>
      <sheetName val="M-SUM"/>
      <sheetName val="MTM-F"/>
      <sheetName val="MTM-P"/>
      <sheetName val="MTM-T"/>
      <sheetName val="Market"/>
      <sheetName val="PKRV"/>
      <sheetName val="PREV"/>
      <sheetName val="MATU"/>
      <sheetName val="SUM1"/>
      <sheetName val="LIQU"/>
      <sheetName val="BR"/>
      <sheetName val="MTM-TB"/>
      <sheetName val="SUMM2"/>
      <sheetName val="HO"/>
      <sheetName val="ANA"/>
      <sheetName val="SLR"/>
      <sheetName val="EXP"/>
      <sheetName val="TBPR"/>
      <sheetName val="MAT"/>
      <sheetName val="BK"/>
      <sheetName val="FWD"/>
      <sheetName val="HIGH"/>
      <sheetName val="KH-57"/>
      <sheetName val="ACCR"/>
      <sheetName val="SBP"/>
      <sheetName val="IN-EXP"/>
      <sheetName val="IN-EXP (2)"/>
      <sheetName val="COUP"/>
      <sheetName val="NET"/>
      <sheetName val="GAP"/>
      <sheetName val="Sheet2"/>
      <sheetName val="FIB"/>
      <sheetName val="MM"/>
      <sheetName val="SM-PK"/>
      <sheetName val="PROV"/>
      <sheetName val="IPS"/>
      <sheetName val="Sheet3"/>
      <sheetName val="DR-MTM"/>
      <sheetName val="Sheet4"/>
      <sheetName val="PRE-CLO"/>
      <sheetName val="Sheet1"/>
      <sheetName val="PIB-HL"/>
      <sheetName val="MARCH"/>
      <sheetName val="F_HL"/>
      <sheetName val="F_RR"/>
      <sheetName val="F_REP"/>
      <sheetName val="@IB-HL"/>
      <sheetName val="Chart Data"/>
      <sheetName val="Master Data Entry"/>
      <sheetName val="Return-on-investment analysis"/>
      <sheetName val="MicroShots"/>
      <sheetName val="Cash Flow Data Entry"/>
      <sheetName val="Cash Flow 4 Periods"/>
      <sheetName val="Summary Analysis"/>
      <sheetName val="Market Value Analysis"/>
      <sheetName val="Quick Analysis 4 Periods"/>
      <sheetName val="A"/>
      <sheetName val="Sheet1 "/>
      <sheetName val="fmh.js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G3">
            <v>38077</v>
          </cell>
        </row>
        <row r="4">
          <cell r="AN4">
            <v>38084</v>
          </cell>
        </row>
        <row r="5">
          <cell r="G5">
            <v>38077</v>
          </cell>
          <cell r="K5">
            <v>38077</v>
          </cell>
          <cell r="AN5">
            <v>0</v>
          </cell>
        </row>
        <row r="12">
          <cell r="G12" t="str">
            <v>FACE VALUE</v>
          </cell>
          <cell r="K12" t="str">
            <v xml:space="preserve">ISSUE </v>
          </cell>
          <cell r="AN12" t="str">
            <v>BALANCE</v>
          </cell>
        </row>
        <row r="13">
          <cell r="K13" t="str">
            <v xml:space="preserve"> </v>
          </cell>
          <cell r="AN13" t="str">
            <v xml:space="preserve"> </v>
          </cell>
        </row>
        <row r="18">
          <cell r="G18">
            <v>100000000</v>
          </cell>
          <cell r="K18">
            <v>34627</v>
          </cell>
          <cell r="AN18">
            <v>100000000</v>
          </cell>
        </row>
        <row r="19">
          <cell r="G19">
            <v>27300000</v>
          </cell>
          <cell r="K19">
            <v>34627</v>
          </cell>
          <cell r="AN19">
            <v>27300000</v>
          </cell>
        </row>
        <row r="20">
          <cell r="G20">
            <v>22700000</v>
          </cell>
          <cell r="K20">
            <v>34627</v>
          </cell>
          <cell r="AN20">
            <v>0</v>
          </cell>
        </row>
        <row r="21">
          <cell r="G21">
            <v>50000000</v>
          </cell>
          <cell r="K21">
            <v>34627</v>
          </cell>
          <cell r="AN21">
            <v>50000000</v>
          </cell>
        </row>
        <row r="22">
          <cell r="G22">
            <v>13000000</v>
          </cell>
          <cell r="K22">
            <v>34683</v>
          </cell>
          <cell r="AN22">
            <v>0</v>
          </cell>
        </row>
        <row r="23">
          <cell r="G23">
            <v>100000000</v>
          </cell>
          <cell r="K23">
            <v>34837</v>
          </cell>
          <cell r="AN23">
            <v>100000000</v>
          </cell>
        </row>
        <row r="24">
          <cell r="G24">
            <v>175000000</v>
          </cell>
          <cell r="K24">
            <v>34683</v>
          </cell>
          <cell r="AN24">
            <v>175000000</v>
          </cell>
        </row>
        <row r="25">
          <cell r="G25">
            <v>12000000</v>
          </cell>
          <cell r="K25">
            <v>34683</v>
          </cell>
          <cell r="AN25">
            <v>0</v>
          </cell>
        </row>
        <row r="26">
          <cell r="G26">
            <v>100000000</v>
          </cell>
          <cell r="K26">
            <v>34809</v>
          </cell>
          <cell r="AN26">
            <v>100000000</v>
          </cell>
        </row>
        <row r="27">
          <cell r="G27">
            <v>25000000</v>
          </cell>
          <cell r="K27">
            <v>34809</v>
          </cell>
          <cell r="AN27">
            <v>25000000</v>
          </cell>
        </row>
        <row r="31">
          <cell r="G31">
            <v>625000000</v>
          </cell>
          <cell r="K31" t="str">
            <v xml:space="preserve"> </v>
          </cell>
          <cell r="AN31">
            <v>577300000</v>
          </cell>
        </row>
        <row r="32">
          <cell r="AN32" t="str">
            <v xml:space="preserve"> </v>
          </cell>
        </row>
        <row r="53">
          <cell r="G53" t="str">
            <v>STEPS FOR BOND YIELD FROM HP</v>
          </cell>
        </row>
        <row r="55">
          <cell r="G55" t="str">
            <v xml:space="preserve">FIRST SELECTE THE CALCULATOR ON "FINANCIAL MODE"   </v>
          </cell>
        </row>
        <row r="56">
          <cell r="G56" t="str">
            <v>SELECT BOND</v>
          </cell>
        </row>
        <row r="57">
          <cell r="G57" t="str">
            <v xml:space="preserve">PUT THE PURCHASE DATE IN THE ORDER " MM.DATEYEAR"    SAY 28-AUG-2001.'   "08.282001" AND PRESS SETTLEMENT  </v>
          </cell>
        </row>
        <row r="58">
          <cell r="G58" t="str">
            <v xml:space="preserve">PUT THE MATURITY  DATE IN THE ORDER " MM.DATEYEAR"    SAY 14-JAN-2002.'   "01.142002" AND PRESS MATURITY </v>
          </cell>
        </row>
        <row r="59">
          <cell r="G59" t="str">
            <v>PUT THE COUPON RATE SAY "15" AND PERSS COUPON</v>
          </cell>
        </row>
        <row r="60">
          <cell r="G60" t="str">
            <v>PUT FACE VALUE SAY 100 AND PRESS CALL</v>
          </cell>
        </row>
        <row r="61">
          <cell r="G61" t="str">
            <v xml:space="preserve">PRESS MORE </v>
          </cell>
        </row>
        <row r="62">
          <cell r="G62" t="str">
            <v>NOW 2 OPTIONS ARE AVAILABLE :   (A) YIELD FROM PRICE     (B)  PRICE FROM YIELD</v>
          </cell>
        </row>
        <row r="63">
          <cell r="G63" t="str">
            <v>TO FIND YIELD IF PRICE IS GIVEN:  SAY 101.4350</v>
          </cell>
        </row>
        <row r="64">
          <cell r="G64" t="str">
            <v>PUT THE PRICE 101.4350  AND   GET THE YIELD  SAY   10.85</v>
          </cell>
        </row>
      </sheetData>
      <sheetData sheetId="6" refreshError="1">
        <row r="1">
          <cell r="I1" t="str">
            <v>05 YRS</v>
          </cell>
        </row>
        <row r="4">
          <cell r="AI4">
            <v>0</v>
          </cell>
        </row>
        <row r="5">
          <cell r="E5">
            <v>38077</v>
          </cell>
          <cell r="H5">
            <v>38077</v>
          </cell>
        </row>
        <row r="10">
          <cell r="AI10" t="str">
            <v>905425-750</v>
          </cell>
        </row>
        <row r="13">
          <cell r="E13" t="str">
            <v>FACE VALUE</v>
          </cell>
          <cell r="H13" t="str">
            <v xml:space="preserve">ISSUE </v>
          </cell>
          <cell r="I13" t="str">
            <v>TENOR</v>
          </cell>
          <cell r="AI13" t="str">
            <v>BALANCE</v>
          </cell>
        </row>
        <row r="14">
          <cell r="AI14" t="str">
            <v xml:space="preserve"> </v>
          </cell>
        </row>
        <row r="17">
          <cell r="E17">
            <v>0</v>
          </cell>
          <cell r="H17">
            <v>34627</v>
          </cell>
          <cell r="I17" t="str">
            <v>10 YRS</v>
          </cell>
          <cell r="AI17">
            <v>0</v>
          </cell>
        </row>
        <row r="26">
          <cell r="E26" t="str">
            <v xml:space="preserve"> </v>
          </cell>
          <cell r="H26" t="str">
            <v xml:space="preserve"> </v>
          </cell>
          <cell r="AI26">
            <v>0</v>
          </cell>
        </row>
        <row r="27">
          <cell r="E27">
            <v>0</v>
          </cell>
          <cell r="AI27">
            <v>0</v>
          </cell>
        </row>
      </sheetData>
      <sheetData sheetId="7" refreshError="1">
        <row r="5">
          <cell r="D5">
            <v>38077</v>
          </cell>
          <cell r="G5">
            <v>38077</v>
          </cell>
        </row>
        <row r="12">
          <cell r="D12" t="str">
            <v>FACE VALUE</v>
          </cell>
          <cell r="G12" t="str">
            <v>ISSUE DATE</v>
          </cell>
        </row>
        <row r="15">
          <cell r="D15" t="str">
            <v xml:space="preserve"> </v>
          </cell>
        </row>
        <row r="17">
          <cell r="D17">
            <v>0</v>
          </cell>
          <cell r="G17">
            <v>34683</v>
          </cell>
        </row>
        <row r="26">
          <cell r="D26">
            <v>0</v>
          </cell>
        </row>
        <row r="29">
          <cell r="D29" t="str">
            <v xml:space="preserve"> </v>
          </cell>
        </row>
        <row r="31">
          <cell r="G31" t="e">
            <v>#DIV/0!</v>
          </cell>
        </row>
        <row r="32">
          <cell r="G32" t="e">
            <v>#DIV/0!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5">
          <cell r="F5">
            <v>38077</v>
          </cell>
        </row>
        <row r="6">
          <cell r="F6">
            <v>0</v>
          </cell>
        </row>
        <row r="9">
          <cell r="D9" t="str">
            <v>ACTUAL HOLDING</v>
          </cell>
          <cell r="F9" t="str">
            <v xml:space="preserve">                                  BOOK  VALUE</v>
          </cell>
        </row>
        <row r="11">
          <cell r="D11" t="str">
            <v xml:space="preserve">                       FIB'S</v>
          </cell>
          <cell r="F11">
            <v>625000000</v>
          </cell>
        </row>
        <row r="13">
          <cell r="D13" t="str">
            <v xml:space="preserve">                       PIB'S</v>
          </cell>
          <cell r="F13">
            <v>2443800000</v>
          </cell>
        </row>
        <row r="15">
          <cell r="D15" t="str">
            <v xml:space="preserve">                   T-BILLS</v>
          </cell>
          <cell r="F15">
            <v>1439912114.9934599</v>
          </cell>
        </row>
        <row r="17">
          <cell r="F17">
            <v>0</v>
          </cell>
        </row>
        <row r="18">
          <cell r="D18" t="str">
            <v>BORROWING</v>
          </cell>
        </row>
        <row r="20">
          <cell r="D20" t="str">
            <v xml:space="preserve">                      FIB'S</v>
          </cell>
          <cell r="F20">
            <v>0</v>
          </cell>
        </row>
        <row r="21">
          <cell r="F21">
            <v>0</v>
          </cell>
        </row>
        <row r="23">
          <cell r="D23" t="str">
            <v xml:space="preserve">                      PIB'S</v>
          </cell>
          <cell r="F23">
            <v>2300000000</v>
          </cell>
        </row>
        <row r="24">
          <cell r="F24">
            <v>150000000</v>
          </cell>
        </row>
        <row r="26">
          <cell r="D26" t="str">
            <v xml:space="preserve">                      T-BILLS</v>
          </cell>
          <cell r="F26">
            <v>0</v>
          </cell>
        </row>
        <row r="27">
          <cell r="F27">
            <v>98975800</v>
          </cell>
        </row>
        <row r="28">
          <cell r="F28">
            <v>0</v>
          </cell>
        </row>
        <row r="29">
          <cell r="D29" t="str">
            <v xml:space="preserve">           CALL BORROWINGS </v>
          </cell>
          <cell r="F29">
            <v>500000000</v>
          </cell>
        </row>
        <row r="30">
          <cell r="D30">
            <v>0</v>
          </cell>
          <cell r="F30">
            <v>250000000</v>
          </cell>
        </row>
        <row r="32">
          <cell r="D32" t="str">
            <v>TOTAL BORROWING</v>
          </cell>
          <cell r="F32">
            <v>3298975800</v>
          </cell>
        </row>
        <row r="35">
          <cell r="F35">
            <v>0</v>
          </cell>
        </row>
        <row r="36">
          <cell r="D36" t="str">
            <v xml:space="preserve"> LENDING</v>
          </cell>
        </row>
        <row r="38">
          <cell r="D38" t="str">
            <v xml:space="preserve">                       FIB'S</v>
          </cell>
          <cell r="F38">
            <v>0</v>
          </cell>
        </row>
        <row r="39">
          <cell r="F39">
            <v>0</v>
          </cell>
        </row>
        <row r="41">
          <cell r="D41" t="str">
            <v xml:space="preserve">                       PIB'S</v>
          </cell>
          <cell r="F41">
            <v>250000000</v>
          </cell>
        </row>
        <row r="42">
          <cell r="F42">
            <v>0</v>
          </cell>
        </row>
        <row r="44">
          <cell r="D44" t="str">
            <v xml:space="preserve">                      T-BILLS</v>
          </cell>
          <cell r="F44">
            <v>296852800</v>
          </cell>
        </row>
        <row r="45">
          <cell r="F45">
            <v>0</v>
          </cell>
        </row>
        <row r="47">
          <cell r="D47" t="str">
            <v xml:space="preserve">                      TFC'S   KESC</v>
          </cell>
          <cell r="F47">
            <v>0</v>
          </cell>
        </row>
        <row r="49">
          <cell r="D49" t="str">
            <v xml:space="preserve">                      NIT UNITS</v>
          </cell>
          <cell r="F49">
            <v>0</v>
          </cell>
        </row>
        <row r="52">
          <cell r="D52" t="str">
            <v xml:space="preserve">           CALL PLACEMENTS</v>
          </cell>
          <cell r="F52">
            <v>0</v>
          </cell>
        </row>
        <row r="53">
          <cell r="D53">
            <v>0</v>
          </cell>
          <cell r="F53">
            <v>0</v>
          </cell>
        </row>
        <row r="56">
          <cell r="D56" t="str">
            <v>TOTAL  LENDINGS</v>
          </cell>
          <cell r="F56">
            <v>546852800</v>
          </cell>
        </row>
        <row r="59">
          <cell r="D59" t="str">
            <v>COI  LENDING</v>
          </cell>
          <cell r="F59">
            <v>0</v>
          </cell>
        </row>
        <row r="61">
          <cell r="D61" t="str">
            <v>CLEAN / LOP LENDING</v>
          </cell>
          <cell r="F61">
            <v>30000000</v>
          </cell>
        </row>
        <row r="62">
          <cell r="D62" t="str">
            <v>OVERNIGHT CLEAN LENDINGS</v>
          </cell>
          <cell r="F62">
            <v>200000000</v>
          </cell>
        </row>
        <row r="63">
          <cell r="F63">
            <v>0</v>
          </cell>
        </row>
        <row r="64">
          <cell r="D64" t="str">
            <v>SECURITIES HOLDINGS AS ON TODAY</v>
          </cell>
        </row>
        <row r="66">
          <cell r="D66" t="str">
            <v xml:space="preserve">NET  FIB'S                </v>
          </cell>
          <cell r="F66">
            <v>625000000</v>
          </cell>
        </row>
        <row r="67">
          <cell r="D67" t="str">
            <v xml:space="preserve">NET  PIB'S                </v>
          </cell>
          <cell r="F67">
            <v>243800000</v>
          </cell>
        </row>
        <row r="68">
          <cell r="D68" t="str">
            <v>NET PIB`S  (AFTER LIEN AND REPOS)</v>
          </cell>
          <cell r="F68">
            <v>-756200000</v>
          </cell>
        </row>
        <row r="69">
          <cell r="D69" t="str">
            <v xml:space="preserve">PIB QUALIFY FOR  SLR </v>
          </cell>
          <cell r="F69">
            <v>1150900000</v>
          </cell>
        </row>
        <row r="70">
          <cell r="D70" t="str">
            <v>TOTAL  T-BILLS</v>
          </cell>
          <cell r="F70">
            <v>1637789114.9934599</v>
          </cell>
        </row>
        <row r="71">
          <cell r="D71" t="str">
            <v>FIB PLEDGE AGST. TT DISC.</v>
          </cell>
          <cell r="F71">
            <v>-47700000</v>
          </cell>
        </row>
        <row r="73">
          <cell r="D73" t="str">
            <v xml:space="preserve">TOTAL  SECURITIES QUALIFIED FOR SLR  </v>
          </cell>
          <cell r="F73">
            <v>3365989114.9934597</v>
          </cell>
        </row>
        <row r="75">
          <cell r="D75" t="str">
            <v xml:space="preserve">NET UN-INCUMBURRED SECURITIES </v>
          </cell>
          <cell r="F75">
            <v>1271100000</v>
          </cell>
        </row>
        <row r="80">
          <cell r="D80" t="str">
            <v>SHARE CAPITAL OF MICRO FINANCE BANK</v>
          </cell>
          <cell r="F80">
            <v>10000000</v>
          </cell>
        </row>
        <row r="82">
          <cell r="D82" t="str">
            <v xml:space="preserve">CASH IN VAULT (LCY+FCY) </v>
          </cell>
          <cell r="F82">
            <v>305000000</v>
          </cell>
        </row>
        <row r="83">
          <cell r="F83">
            <v>0</v>
          </cell>
        </row>
        <row r="84">
          <cell r="D84" t="str">
            <v>NET SLR MAINTAINED TODAY</v>
          </cell>
          <cell r="F84">
            <v>1586100000</v>
          </cell>
        </row>
        <row r="87">
          <cell r="D87" t="str">
            <v xml:space="preserve">TOTAL TIME &amp; DEMAND LIABILITIES AS ON STAURDAY WEEK ENDED </v>
          </cell>
          <cell r="F87">
            <v>24457000000</v>
          </cell>
        </row>
        <row r="88">
          <cell r="F88">
            <v>0</v>
          </cell>
        </row>
        <row r="89">
          <cell r="D89" t="str">
            <v xml:space="preserve">15.00 %  REQUIREMENT </v>
          </cell>
          <cell r="F89">
            <v>3668550000</v>
          </cell>
        </row>
        <row r="91">
          <cell r="D91">
            <v>0</v>
          </cell>
          <cell r="F91">
            <v>0</v>
          </cell>
        </row>
        <row r="92">
          <cell r="D92" t="str">
            <v>SLR  SURPLUS / (SHORT) MAINTAINED</v>
          </cell>
          <cell r="F92">
            <v>-2082450000</v>
          </cell>
        </row>
        <row r="102">
          <cell r="D102">
            <v>0</v>
          </cell>
        </row>
        <row r="114">
          <cell r="D114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8">
          <cell r="Q8">
            <v>38077</v>
          </cell>
        </row>
        <row r="10">
          <cell r="Q10" t="str">
            <v>BALANCES</v>
          </cell>
          <cell r="R10" t="str">
            <v>W.A.R.R</v>
          </cell>
        </row>
        <row r="12">
          <cell r="Q12">
            <v>1439191743.9934597</v>
          </cell>
          <cell r="R12">
            <v>4.25</v>
          </cell>
        </row>
        <row r="14">
          <cell r="Q14">
            <v>1500000000</v>
          </cell>
          <cell r="R14">
            <v>0</v>
          </cell>
        </row>
        <row r="17">
          <cell r="Q17">
            <v>0</v>
          </cell>
          <cell r="R17">
            <v>0</v>
          </cell>
        </row>
        <row r="18">
          <cell r="Q18">
            <v>2450000000</v>
          </cell>
          <cell r="R18">
            <v>1.6867346938775509</v>
          </cell>
        </row>
        <row r="19">
          <cell r="Q19">
            <v>98975800</v>
          </cell>
          <cell r="R19">
            <v>0</v>
          </cell>
        </row>
        <row r="20">
          <cell r="Q20">
            <v>0</v>
          </cell>
          <cell r="R20">
            <v>0</v>
          </cell>
        </row>
        <row r="21">
          <cell r="Q21">
            <v>0</v>
          </cell>
          <cell r="R21">
            <v>0</v>
          </cell>
        </row>
        <row r="22">
          <cell r="Q22">
            <v>0</v>
          </cell>
          <cell r="R22">
            <v>0</v>
          </cell>
        </row>
        <row r="23">
          <cell r="Q23">
            <v>750000000</v>
          </cell>
          <cell r="R23">
            <v>2.4233333333333333</v>
          </cell>
        </row>
        <row r="24">
          <cell r="Q24">
            <v>3298975800</v>
          </cell>
          <cell r="R24">
            <v>1.8035900718034974</v>
          </cell>
        </row>
        <row r="26">
          <cell r="Q26">
            <v>4738167543.9934597</v>
          </cell>
          <cell r="R26">
            <v>1.9343124125594751</v>
          </cell>
        </row>
        <row r="32">
          <cell r="Q32">
            <v>625000000</v>
          </cell>
          <cell r="R32">
            <v>7.6031476574359376</v>
          </cell>
        </row>
        <row r="33">
          <cell r="Q33">
            <v>2443800000</v>
          </cell>
          <cell r="R33">
            <v>4.8911573246550608</v>
          </cell>
        </row>
        <row r="34">
          <cell r="Q34">
            <v>1439912114.9934599</v>
          </cell>
          <cell r="R34">
            <v>1.7417379310344827</v>
          </cell>
        </row>
        <row r="35">
          <cell r="Q35">
            <v>0</v>
          </cell>
          <cell r="R35">
            <v>0</v>
          </cell>
        </row>
        <row r="36">
          <cell r="Q36">
            <v>0</v>
          </cell>
          <cell r="R36">
            <v>0</v>
          </cell>
        </row>
        <row r="37">
          <cell r="Q37">
            <v>0</v>
          </cell>
          <cell r="R37">
            <v>0</v>
          </cell>
        </row>
        <row r="38">
          <cell r="Q38">
            <v>0</v>
          </cell>
          <cell r="R38">
            <v>0</v>
          </cell>
        </row>
        <row r="39">
          <cell r="Q39">
            <v>0</v>
          </cell>
          <cell r="R39">
            <v>0</v>
          </cell>
        </row>
        <row r="40">
          <cell r="Q40">
            <v>4508712114.9934597</v>
          </cell>
          <cell r="R40">
            <v>4.2612893912738894</v>
          </cell>
        </row>
        <row r="43">
          <cell r="Q43">
            <v>0</v>
          </cell>
          <cell r="R43" t="e">
            <v>#DIV/0!</v>
          </cell>
        </row>
        <row r="44">
          <cell r="Q44">
            <v>0</v>
          </cell>
          <cell r="R44">
            <v>0</v>
          </cell>
        </row>
        <row r="45">
          <cell r="Q45">
            <v>250000000</v>
          </cell>
          <cell r="R45">
            <v>1.5</v>
          </cell>
        </row>
        <row r="46">
          <cell r="Q46">
            <v>296852800</v>
          </cell>
          <cell r="R46">
            <v>1.35</v>
          </cell>
        </row>
        <row r="47">
          <cell r="Q47">
            <v>0</v>
          </cell>
          <cell r="R47">
            <v>0</v>
          </cell>
        </row>
        <row r="48">
          <cell r="Q48">
            <v>0</v>
          </cell>
          <cell r="R48">
            <v>0</v>
          </cell>
        </row>
        <row r="49">
          <cell r="Q49">
            <v>0</v>
          </cell>
          <cell r="R49">
            <v>0</v>
          </cell>
        </row>
        <row r="50">
          <cell r="Q50">
            <v>952602629</v>
          </cell>
          <cell r="R50">
            <v>3.1409600881439514</v>
          </cell>
        </row>
        <row r="51">
          <cell r="Q51">
            <v>230000000</v>
          </cell>
          <cell r="R51">
            <v>5.9239130434782608</v>
          </cell>
        </row>
        <row r="52">
          <cell r="Q52">
            <v>0</v>
          </cell>
          <cell r="R52">
            <v>0</v>
          </cell>
        </row>
        <row r="53">
          <cell r="Q53">
            <v>1729455429</v>
          </cell>
          <cell r="R53" t="e">
            <v>#DIV/0!</v>
          </cell>
        </row>
        <row r="55">
          <cell r="Q55">
            <v>6238167543.9934597</v>
          </cell>
          <cell r="R55" t="e">
            <v>#DIV/0!</v>
          </cell>
        </row>
        <row r="57">
          <cell r="Q57">
            <v>4508712114.9934597</v>
          </cell>
          <cell r="R57">
            <v>4.2612893912738894</v>
          </cell>
        </row>
        <row r="59">
          <cell r="Q59">
            <v>0</v>
          </cell>
          <cell r="R59">
            <v>0</v>
          </cell>
        </row>
        <row r="61">
          <cell r="Q61">
            <v>4508712114.9934597</v>
          </cell>
          <cell r="R61">
            <v>4.2612893912738894</v>
          </cell>
        </row>
        <row r="63">
          <cell r="Q63">
            <v>1729455429</v>
          </cell>
          <cell r="R63" t="e">
            <v>#DIV/0!</v>
          </cell>
        </row>
        <row r="65">
          <cell r="Q65">
            <v>6238167543.9934597</v>
          </cell>
          <cell r="R65" t="e">
            <v>#DIV/0!</v>
          </cell>
        </row>
        <row r="67">
          <cell r="Q67">
            <v>-3298975800</v>
          </cell>
          <cell r="R67">
            <v>1.8035900718034974</v>
          </cell>
        </row>
        <row r="68">
          <cell r="Q68" t="str">
            <v xml:space="preserve"> </v>
          </cell>
        </row>
        <row r="69">
          <cell r="Q69">
            <v>-1500000000</v>
          </cell>
          <cell r="R69">
            <v>0</v>
          </cell>
        </row>
        <row r="71">
          <cell r="Q71">
            <v>-1439191743.9934597</v>
          </cell>
          <cell r="R71">
            <v>4.25</v>
          </cell>
        </row>
        <row r="73">
          <cell r="Q73">
            <v>-6238167543.9934597</v>
          </cell>
          <cell r="R73">
            <v>-1.9343124125594751</v>
          </cell>
        </row>
        <row r="75">
          <cell r="R75" t="e">
            <v>#DIV/0!</v>
          </cell>
        </row>
      </sheetData>
      <sheetData sheetId="46"/>
      <sheetData sheetId="47"/>
      <sheetData sheetId="48"/>
      <sheetData sheetId="49"/>
      <sheetData sheetId="50" refreshError="1">
        <row r="4">
          <cell r="C4" t="str">
            <v>ABN</v>
          </cell>
          <cell r="D4" t="str">
            <v>ABN Amro Bank N.V.</v>
          </cell>
          <cell r="E4" t="str">
            <v>IB</v>
          </cell>
        </row>
        <row r="5">
          <cell r="C5" t="str">
            <v>ABIN</v>
          </cell>
          <cell r="D5" t="str">
            <v>Al Baraka Isl. Inv. Bank</v>
          </cell>
          <cell r="E5" t="str">
            <v>IB</v>
          </cell>
        </row>
        <row r="6">
          <cell r="C6" t="str">
            <v>AFIB</v>
          </cell>
          <cell r="D6" t="str">
            <v>Al Faysal Inv. Bank Ltd.</v>
          </cell>
          <cell r="E6" t="str">
            <v>IB</v>
          </cell>
        </row>
        <row r="7">
          <cell r="C7" t="str">
            <v>ATIB</v>
          </cell>
          <cell r="D7" t="str">
            <v>Al Towfeek Inv. Bank Ltd.</v>
          </cell>
          <cell r="E7" t="str">
            <v>IB</v>
          </cell>
        </row>
        <row r="8">
          <cell r="C8" t="str">
            <v>ABL</v>
          </cell>
          <cell r="D8" t="str">
            <v>Allied Bank of Pakistan Ltd.</v>
          </cell>
          <cell r="E8" t="str">
            <v>CB</v>
          </cell>
        </row>
        <row r="9">
          <cell r="C9" t="str">
            <v>AMEX</v>
          </cell>
          <cell r="D9" t="str">
            <v>American Express Bank Ltd.</v>
          </cell>
          <cell r="E9" t="str">
            <v>IB</v>
          </cell>
        </row>
        <row r="10">
          <cell r="C10" t="str">
            <v>ACB</v>
          </cell>
          <cell r="D10" t="str">
            <v>Askari Commercial Bank Ltd</v>
          </cell>
          <cell r="E10" t="str">
            <v>CB</v>
          </cell>
        </row>
        <row r="11">
          <cell r="C11" t="str">
            <v>AL</v>
          </cell>
          <cell r="D11" t="str">
            <v>Askari Leasing Ltd</v>
          </cell>
          <cell r="E11" t="str">
            <v>L.C</v>
          </cell>
        </row>
        <row r="12">
          <cell r="C12" t="str">
            <v>AIB</v>
          </cell>
          <cell r="D12" t="str">
            <v>Asset Investment Bank</v>
          </cell>
          <cell r="E12" t="str">
            <v>IB</v>
          </cell>
        </row>
        <row r="13">
          <cell r="C13" t="str">
            <v>AIBL</v>
          </cell>
          <cell r="D13" t="str">
            <v>Atlas Inv. Bank Ltd.</v>
          </cell>
          <cell r="E13" t="str">
            <v>IB</v>
          </cell>
        </row>
        <row r="14">
          <cell r="C14" t="str">
            <v>ATL</v>
          </cell>
          <cell r="D14" t="str">
            <v xml:space="preserve">Atlas Leasing </v>
          </cell>
          <cell r="E14" t="str">
            <v>L.C</v>
          </cell>
        </row>
        <row r="15">
          <cell r="C15" t="str">
            <v>BAF</v>
          </cell>
          <cell r="D15" t="str">
            <v>Bank Al Falah Ltd</v>
          </cell>
          <cell r="E15" t="str">
            <v>CB</v>
          </cell>
        </row>
        <row r="16">
          <cell r="C16" t="str">
            <v>BAH</v>
          </cell>
          <cell r="D16" t="str">
            <v>Bank Al -Habib Ltd</v>
          </cell>
          <cell r="E16" t="str">
            <v>CB</v>
          </cell>
        </row>
        <row r="17">
          <cell r="C17" t="str">
            <v>BOC</v>
          </cell>
          <cell r="D17" t="str">
            <v>Bank of Ceylon</v>
          </cell>
          <cell r="E17" t="str">
            <v>IB</v>
          </cell>
        </row>
        <row r="18">
          <cell r="C18" t="str">
            <v>BOT</v>
          </cell>
          <cell r="D18" t="str">
            <v>Bank of Tokyo</v>
          </cell>
          <cell r="E18" t="str">
            <v>IB</v>
          </cell>
        </row>
        <row r="19">
          <cell r="C19" t="str">
            <v>BEL</v>
          </cell>
          <cell r="D19" t="str">
            <v>Bankers Equity Ltd</v>
          </cell>
          <cell r="E19" t="str">
            <v>IB</v>
          </cell>
        </row>
        <row r="20">
          <cell r="C20" t="str">
            <v>Bolan</v>
          </cell>
          <cell r="D20" t="str">
            <v>Bolan Bank Ltd.</v>
          </cell>
          <cell r="E20" t="str">
            <v>L.C</v>
          </cell>
        </row>
        <row r="21">
          <cell r="C21" t="str">
            <v>BB</v>
          </cell>
          <cell r="D21" t="str">
            <v>Bolan Bank Ltd.</v>
          </cell>
          <cell r="E21" t="str">
            <v>CB</v>
          </cell>
        </row>
        <row r="22">
          <cell r="C22" t="str">
            <v>CB</v>
          </cell>
          <cell r="D22" t="str">
            <v>Citibank N.A.</v>
          </cell>
          <cell r="E22" t="str">
            <v>IB</v>
          </cell>
        </row>
        <row r="23">
          <cell r="C23" t="str">
            <v>CAI</v>
          </cell>
          <cell r="D23" t="str">
            <v>Credit Agricole Indosuez</v>
          </cell>
          <cell r="E23" t="str">
            <v>FB</v>
          </cell>
        </row>
        <row r="24">
          <cell r="C24" t="str">
            <v>CIB</v>
          </cell>
          <cell r="D24" t="str">
            <v>Crescent Inv. Bank Ltd.</v>
          </cell>
          <cell r="E24" t="str">
            <v>IB</v>
          </cell>
        </row>
        <row r="25">
          <cell r="C25" t="str">
            <v>CL</v>
          </cell>
          <cell r="D25" t="str">
            <v>Crescent Leasing</v>
          </cell>
          <cell r="E25" t="str">
            <v>L.C</v>
          </cell>
        </row>
        <row r="26">
          <cell r="C26" t="str">
            <v>DBL</v>
          </cell>
          <cell r="D26" t="str">
            <v>Dawood Bank Limited</v>
          </cell>
          <cell r="E26" t="str">
            <v>CB</v>
          </cell>
        </row>
        <row r="27">
          <cell r="C27" t="str">
            <v>DLC</v>
          </cell>
          <cell r="D27" t="str">
            <v>Dawood Leasing Co. Ltd</v>
          </cell>
          <cell r="E27" t="str">
            <v>L.C</v>
          </cell>
        </row>
        <row r="28">
          <cell r="C28" t="str">
            <v>DB</v>
          </cell>
          <cell r="D28" t="str">
            <v>Deutsche Bank A.G</v>
          </cell>
          <cell r="E28" t="str">
            <v>FB</v>
          </cell>
        </row>
        <row r="29">
          <cell r="C29" t="str">
            <v>DOHA</v>
          </cell>
          <cell r="D29" t="str">
            <v>Doha Bank</v>
          </cell>
          <cell r="E29" t="str">
            <v>FB</v>
          </cell>
        </row>
        <row r="30">
          <cell r="C30" t="str">
            <v>EBI</v>
          </cell>
          <cell r="D30" t="str">
            <v>Emirates Bank Internatinal PJSC</v>
          </cell>
          <cell r="E30" t="str">
            <v>FB</v>
          </cell>
        </row>
        <row r="31">
          <cell r="C31" t="str">
            <v>EIB</v>
          </cell>
          <cell r="D31" t="str">
            <v>Escorts Inv. Bank</v>
          </cell>
          <cell r="E31" t="str">
            <v>IB</v>
          </cell>
        </row>
        <row r="32">
          <cell r="C32" t="str">
            <v>FB</v>
          </cell>
          <cell r="D32" t="str">
            <v>Faysal Bank Ltd.</v>
          </cell>
          <cell r="E32" t="str">
            <v>CB</v>
          </cell>
        </row>
        <row r="33">
          <cell r="C33" t="str">
            <v>FIB</v>
          </cell>
          <cell r="D33" t="str">
            <v>Fidelity Inv. Bank Ltd.</v>
          </cell>
          <cell r="E33" t="str">
            <v>IB</v>
          </cell>
        </row>
        <row r="34">
          <cell r="C34" t="str">
            <v>CM</v>
          </cell>
          <cell r="D34" t="str">
            <v>First Crescent Modarba</v>
          </cell>
          <cell r="E34" t="str">
            <v>MD</v>
          </cell>
        </row>
        <row r="35">
          <cell r="C35" t="str">
            <v>FCDC</v>
          </cell>
          <cell r="D35" t="str">
            <v xml:space="preserve">First Credit &amp; Discount Corp. Pvt. Ltd. </v>
          </cell>
          <cell r="E35" t="str">
            <v>MD</v>
          </cell>
        </row>
        <row r="36">
          <cell r="C36" t="str">
            <v>FIIB</v>
          </cell>
          <cell r="D36" t="str">
            <v>First Intil Inv Bank Ltd.</v>
          </cell>
          <cell r="E36" t="str">
            <v>IB</v>
          </cell>
        </row>
        <row r="37">
          <cell r="C37" t="str">
            <v>FL</v>
          </cell>
          <cell r="D37" t="str">
            <v>First Leasing Corp. Ltd.</v>
          </cell>
          <cell r="E37" t="str">
            <v>L.C</v>
          </cell>
        </row>
        <row r="38">
          <cell r="C38" t="str">
            <v>FWB</v>
          </cell>
          <cell r="D38" t="str">
            <v>First Women Bank Ltd</v>
          </cell>
          <cell r="E38" t="str">
            <v>CB</v>
          </cell>
        </row>
        <row r="39">
          <cell r="C39" t="str">
            <v>GS</v>
          </cell>
          <cell r="D39" t="str">
            <v>Global Security</v>
          </cell>
          <cell r="E39" t="str">
            <v>BH</v>
          </cell>
        </row>
        <row r="40">
          <cell r="C40" t="str">
            <v>GM</v>
          </cell>
          <cell r="D40" t="str">
            <v>Guardian Modarba</v>
          </cell>
          <cell r="E40" t="str">
            <v>MD</v>
          </cell>
        </row>
        <row r="41">
          <cell r="C41" t="str">
            <v>HBZ</v>
          </cell>
          <cell r="D41" t="str">
            <v>Habib Bank AG Zurich</v>
          </cell>
          <cell r="E41" t="str">
            <v>FB</v>
          </cell>
        </row>
        <row r="42">
          <cell r="C42" t="str">
            <v>HBL</v>
          </cell>
          <cell r="D42" t="str">
            <v>Habib Bank Ltd.</v>
          </cell>
          <cell r="E42" t="str">
            <v>CB</v>
          </cell>
        </row>
        <row r="43">
          <cell r="C43" t="str">
            <v>HSB</v>
          </cell>
          <cell r="D43" t="str">
            <v>HSBC</v>
          </cell>
          <cell r="E43" t="str">
            <v>FB</v>
          </cell>
        </row>
        <row r="44">
          <cell r="C44" t="str">
            <v>IDBP</v>
          </cell>
          <cell r="D44" t="str">
            <v>Industirical Development of Pakistan</v>
          </cell>
          <cell r="E44" t="str">
            <v>DFI</v>
          </cell>
        </row>
        <row r="45">
          <cell r="C45" t="str">
            <v>IFIC</v>
          </cell>
          <cell r="D45" t="str">
            <v>Int. Fin. Inv. &amp; Comm Bank Ltd</v>
          </cell>
          <cell r="E45" t="str">
            <v>CB</v>
          </cell>
        </row>
        <row r="46">
          <cell r="C46" t="str">
            <v>ICAP</v>
          </cell>
          <cell r="D46" t="str">
            <v>Invest Capital Securities</v>
          </cell>
          <cell r="E46" t="str">
            <v>BH</v>
          </cell>
        </row>
        <row r="47">
          <cell r="C47" t="str">
            <v>ICP</v>
          </cell>
          <cell r="D47" t="str">
            <v>Investment Corp. of Pakistan</v>
          </cell>
          <cell r="E47" t="str">
            <v>DFI</v>
          </cell>
        </row>
        <row r="48">
          <cell r="C48" t="str">
            <v>IIB</v>
          </cell>
          <cell r="D48" t="str">
            <v>Islamic Inv. Bank Ltd.</v>
          </cell>
          <cell r="E48" t="str">
            <v>IB</v>
          </cell>
        </row>
        <row r="49">
          <cell r="C49" t="str">
            <v>JSIB</v>
          </cell>
          <cell r="D49" t="str">
            <v>J.S. Inv. Bank Ltd.</v>
          </cell>
          <cell r="E49" t="str">
            <v>IB</v>
          </cell>
        </row>
        <row r="50">
          <cell r="C50" t="str">
            <v>JSC</v>
          </cell>
          <cell r="D50" t="str">
            <v xml:space="preserve">Jahangir Siddiqui &amp; Co. </v>
          </cell>
          <cell r="E50" t="str">
            <v>BH</v>
          </cell>
        </row>
        <row r="51">
          <cell r="C51" t="str">
            <v>KASB</v>
          </cell>
          <cell r="D51" t="str">
            <v>Khadim Ali Shah Bukhari &amp; Co.</v>
          </cell>
          <cell r="E51" t="str">
            <v>BH</v>
          </cell>
        </row>
        <row r="52">
          <cell r="C52" t="str">
            <v>KASBK</v>
          </cell>
          <cell r="D52" t="str">
            <v>KASB Bank Ltd.</v>
          </cell>
          <cell r="E52" t="str">
            <v>CB</v>
          </cell>
        </row>
        <row r="53">
          <cell r="C53" t="str">
            <v>MB</v>
          </cell>
          <cell r="D53" t="str">
            <v>Mashreq Bank Pakistan Ltd.</v>
          </cell>
          <cell r="E53" t="str">
            <v>CB</v>
          </cell>
        </row>
        <row r="54">
          <cell r="C54" t="str">
            <v>METRO</v>
          </cell>
          <cell r="D54" t="str">
            <v>Metrolpolitan Bank Ltd.</v>
          </cell>
          <cell r="E54" t="str">
            <v>CB</v>
          </cell>
        </row>
        <row r="55">
          <cell r="C55" t="str">
            <v>MCB</v>
          </cell>
          <cell r="D55" t="str">
            <v>Muslim Commercial Bank Ltd</v>
          </cell>
          <cell r="E55" t="str">
            <v>CB</v>
          </cell>
        </row>
        <row r="56">
          <cell r="C56" t="str">
            <v>NBP</v>
          </cell>
          <cell r="D56" t="str">
            <v>National Bank of Pakistan</v>
          </cell>
          <cell r="E56" t="str">
            <v>CB</v>
          </cell>
        </row>
        <row r="57">
          <cell r="C57" t="str">
            <v>NDFC</v>
          </cell>
          <cell r="D57" t="str">
            <v>NDFC</v>
          </cell>
          <cell r="E57" t="str">
            <v>DFI</v>
          </cell>
        </row>
        <row r="58">
          <cell r="C58" t="str">
            <v>NIB</v>
          </cell>
          <cell r="D58" t="str">
            <v>NDLC-IFIC Bank Limited</v>
          </cell>
          <cell r="E58" t="str">
            <v>L.C</v>
          </cell>
        </row>
        <row r="59">
          <cell r="C59" t="str">
            <v>NBPC</v>
          </cell>
          <cell r="D59" t="str">
            <v>National Capital Ltd.</v>
          </cell>
        </row>
        <row r="60">
          <cell r="C60" t="str">
            <v>OMAN</v>
          </cell>
          <cell r="D60" t="str">
            <v>Oman International Bank S.A.O.G</v>
          </cell>
          <cell r="E60" t="str">
            <v>FB</v>
          </cell>
        </row>
        <row r="61">
          <cell r="C61" t="str">
            <v>OIB</v>
          </cell>
          <cell r="D61" t="str">
            <v>Orix Inv. Bank Ltd.</v>
          </cell>
          <cell r="E61" t="str">
            <v>IB</v>
          </cell>
        </row>
        <row r="62">
          <cell r="C62" t="str">
            <v>OL</v>
          </cell>
          <cell r="D62" t="str">
            <v>Orix Leasing</v>
          </cell>
          <cell r="E62" t="str">
            <v>L.C</v>
          </cell>
        </row>
        <row r="63">
          <cell r="C63" t="str">
            <v>PKIC</v>
          </cell>
          <cell r="D63" t="str">
            <v>Pak Kuwait Inv. Co.</v>
          </cell>
          <cell r="E63" t="str">
            <v>IB</v>
          </cell>
        </row>
        <row r="64">
          <cell r="C64" t="str">
            <v>PLHC</v>
          </cell>
          <cell r="D64" t="str">
            <v>Pak Lybia Holding Co.</v>
          </cell>
          <cell r="E64" t="str">
            <v>IB</v>
          </cell>
        </row>
        <row r="65">
          <cell r="C65" t="str">
            <v>POM</v>
          </cell>
          <cell r="D65" t="str">
            <v>Pak Oman Investment Co.</v>
          </cell>
          <cell r="E65" t="str">
            <v>IB</v>
          </cell>
        </row>
        <row r="66">
          <cell r="C66" t="str">
            <v>PICIC</v>
          </cell>
          <cell r="D66" t="str">
            <v>Pak. Ind. Credit. &amp; Inv. Corp</v>
          </cell>
          <cell r="E66" t="str">
            <v>DFI</v>
          </cell>
        </row>
        <row r="67">
          <cell r="C67" t="str">
            <v>PL</v>
          </cell>
          <cell r="D67" t="str">
            <v>Paramount Leasing</v>
          </cell>
          <cell r="E67" t="str">
            <v>L.C</v>
          </cell>
        </row>
        <row r="68">
          <cell r="C68" t="str">
            <v>PCBL</v>
          </cell>
          <cell r="D68" t="str">
            <v>PICIC Commercial Bank Ltd.</v>
          </cell>
          <cell r="E68" t="str">
            <v>CB</v>
          </cell>
        </row>
        <row r="69">
          <cell r="C69" t="str">
            <v>PILCORP</v>
          </cell>
          <cell r="D69" t="str">
            <v>PILCORP</v>
          </cell>
          <cell r="E69" t="str">
            <v>L.C</v>
          </cell>
        </row>
        <row r="70">
          <cell r="C70" t="str">
            <v>PLT</v>
          </cell>
          <cell r="D70" t="str">
            <v>Platinum Commercial Bank Ltd.</v>
          </cell>
          <cell r="E70" t="str">
            <v>PLT</v>
          </cell>
        </row>
        <row r="71">
          <cell r="C71" t="str">
            <v>PRIME</v>
          </cell>
          <cell r="D71" t="str">
            <v>Prime Commercial Bank Ltd.</v>
          </cell>
          <cell r="E71" t="str">
            <v>CB</v>
          </cell>
        </row>
        <row r="72">
          <cell r="C72" t="str">
            <v>RDFC</v>
          </cell>
          <cell r="D72" t="str">
            <v>Reg.Dev. Fin.Corp.</v>
          </cell>
          <cell r="E72" t="str">
            <v>DFI</v>
          </cell>
        </row>
        <row r="73">
          <cell r="C73" t="str">
            <v>RB</v>
          </cell>
          <cell r="D73" t="str">
            <v>Rupali Bank</v>
          </cell>
          <cell r="E73" t="str">
            <v>FB</v>
          </cell>
        </row>
        <row r="74">
          <cell r="C74" t="str">
            <v>SAUDI</v>
          </cell>
          <cell r="D74" t="str">
            <v>SAPICO</v>
          </cell>
          <cell r="E74" t="str">
            <v>IB</v>
          </cell>
        </row>
        <row r="75">
          <cell r="C75" t="str">
            <v>SAPICO</v>
          </cell>
          <cell r="D75" t="str">
            <v>SAPICO</v>
          </cell>
        </row>
        <row r="76">
          <cell r="C76" t="str">
            <v>SPCBL</v>
          </cell>
          <cell r="D76" t="str">
            <v>Saudi Pak Comm.  Bank Ltd.</v>
          </cell>
          <cell r="E76" t="str">
            <v>CB</v>
          </cell>
        </row>
        <row r="77">
          <cell r="C77" t="str">
            <v>SPL</v>
          </cell>
          <cell r="D77" t="str">
            <v>Saudi Pak Leasing</v>
          </cell>
          <cell r="E77" t="str">
            <v>L.C</v>
          </cell>
        </row>
        <row r="78">
          <cell r="C78" t="str">
            <v>SIB</v>
          </cell>
          <cell r="D78" t="str">
            <v>Security Inv. Bank</v>
          </cell>
          <cell r="E78" t="str">
            <v>IB</v>
          </cell>
        </row>
        <row r="79">
          <cell r="C79" t="str">
            <v>SLC</v>
          </cell>
          <cell r="D79" t="str">
            <v>Security Leasing Corp.</v>
          </cell>
          <cell r="E79" t="str">
            <v>L.C</v>
          </cell>
        </row>
        <row r="80">
          <cell r="C80" t="str">
            <v>Strust</v>
          </cell>
          <cell r="D80" t="str">
            <v>Shalimar Trust</v>
          </cell>
          <cell r="E80" t="str">
            <v>Trust</v>
          </cell>
        </row>
        <row r="81">
          <cell r="C81" t="str">
            <v>SBFC</v>
          </cell>
          <cell r="D81" t="str">
            <v>Small Business Fin. Corp.</v>
          </cell>
          <cell r="E81" t="str">
            <v>DFI</v>
          </cell>
        </row>
        <row r="82">
          <cell r="C82" t="str">
            <v>SME</v>
          </cell>
          <cell r="D82" t="str">
            <v>SME Bank Ltd.</v>
          </cell>
          <cell r="E82" t="str">
            <v>CB</v>
          </cell>
        </row>
        <row r="83">
          <cell r="C83" t="str">
            <v>SG</v>
          </cell>
          <cell r="D83" t="str">
            <v>Societe Generale</v>
          </cell>
          <cell r="E83" t="str">
            <v>FB</v>
          </cell>
        </row>
        <row r="84">
          <cell r="C84" t="str">
            <v>SB</v>
          </cell>
          <cell r="D84" t="str">
            <v>Soneri Bank Ltd</v>
          </cell>
          <cell r="E84" t="str">
            <v>CB</v>
          </cell>
        </row>
        <row r="85">
          <cell r="C85" t="str">
            <v>STCH</v>
          </cell>
          <cell r="D85" t="str">
            <v>Standared Chartered Bank</v>
          </cell>
          <cell r="E85" t="str">
            <v>FB</v>
          </cell>
        </row>
        <row r="86">
          <cell r="C86" t="str">
            <v>SBP</v>
          </cell>
          <cell r="D86" t="str">
            <v>State Bank of Pakistan</v>
          </cell>
          <cell r="E86" t="str">
            <v>CB</v>
          </cell>
        </row>
        <row r="87">
          <cell r="C87" t="str">
            <v>SSGC</v>
          </cell>
          <cell r="D87" t="str">
            <v>Sui Southern Gas Co. Ltd</v>
          </cell>
          <cell r="E87" t="str">
            <v>P.L.C.</v>
          </cell>
        </row>
        <row r="88">
          <cell r="C88" t="str">
            <v>BOK</v>
          </cell>
          <cell r="D88" t="str">
            <v>The Bank of Khyber</v>
          </cell>
          <cell r="E88" t="str">
            <v>CB</v>
          </cell>
        </row>
        <row r="89">
          <cell r="C89" t="str">
            <v>BOP</v>
          </cell>
          <cell r="D89" t="str">
            <v>The Bank of Punjab</v>
          </cell>
          <cell r="E89" t="str">
            <v>CB</v>
          </cell>
        </row>
        <row r="90">
          <cell r="C90" t="str">
            <v>TIB</v>
          </cell>
          <cell r="D90" t="str">
            <v>Trust Inv. Bank</v>
          </cell>
          <cell r="E90" t="str">
            <v>IB</v>
          </cell>
        </row>
        <row r="91">
          <cell r="C91" t="str">
            <v>UNB</v>
          </cell>
          <cell r="D91" t="str">
            <v>Union Bank Ltd</v>
          </cell>
          <cell r="E91" t="str">
            <v>CB</v>
          </cell>
        </row>
        <row r="92">
          <cell r="C92" t="str">
            <v>UNLS</v>
          </cell>
          <cell r="D92" t="str">
            <v xml:space="preserve">Union Leasing </v>
          </cell>
          <cell r="E92" t="str">
            <v>L.C</v>
          </cell>
        </row>
        <row r="93">
          <cell r="C93" t="str">
            <v>UBL</v>
          </cell>
          <cell r="D93" t="str">
            <v>United Bank Ltd</v>
          </cell>
          <cell r="E93" t="str">
            <v>CB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86Sup"/>
      <sheetName val="First"/>
      <sheetName val="5086"/>
      <sheetName val="9000"/>
      <sheetName val="IBSD"/>
      <sheetName val="5085"/>
      <sheetName val="5090"/>
      <sheetName val="5083"/>
      <sheetName val="5081"/>
      <sheetName val="6100"/>
      <sheetName val="7020"/>
      <sheetName val="7015"/>
      <sheetName val="7001"/>
      <sheetName val="0196"/>
      <sheetName val="0195"/>
      <sheetName val="0194"/>
      <sheetName val="0191"/>
      <sheetName val="0190"/>
      <sheetName val="0188"/>
      <sheetName val="0187"/>
      <sheetName val="0186"/>
      <sheetName val="0185"/>
      <sheetName val="0184"/>
      <sheetName val="0183"/>
      <sheetName val="0182"/>
      <sheetName val="0181"/>
      <sheetName val="0180"/>
      <sheetName val="0179"/>
      <sheetName val="0178"/>
      <sheetName val="0177"/>
      <sheetName val="0176"/>
      <sheetName val="0175"/>
      <sheetName val="0174"/>
      <sheetName val="0173"/>
      <sheetName val="0172"/>
      <sheetName val="0171"/>
      <sheetName val="0170"/>
      <sheetName val="0169"/>
      <sheetName val="0168"/>
      <sheetName val="0167"/>
      <sheetName val="0166"/>
      <sheetName val="0165"/>
      <sheetName val="0164"/>
      <sheetName val="0163"/>
      <sheetName val="0162"/>
      <sheetName val="0161"/>
      <sheetName val="0160"/>
      <sheetName val="0159"/>
      <sheetName val="0158"/>
      <sheetName val="0157"/>
      <sheetName val="0156"/>
      <sheetName val="0155"/>
      <sheetName val="0153"/>
      <sheetName val="0154"/>
      <sheetName val="0152"/>
      <sheetName val="0151"/>
      <sheetName val="0150"/>
      <sheetName val="0149"/>
      <sheetName val="0148"/>
      <sheetName val="0147"/>
      <sheetName val="0146"/>
      <sheetName val="0145"/>
      <sheetName val="0144"/>
      <sheetName val="0143"/>
      <sheetName val="0142"/>
      <sheetName val="0141"/>
      <sheetName val="0140"/>
      <sheetName val="0139"/>
      <sheetName val="0138"/>
      <sheetName val="0137"/>
      <sheetName val="0136"/>
      <sheetName val="0135"/>
      <sheetName val="0134"/>
      <sheetName val="0133"/>
      <sheetName val="0132"/>
      <sheetName val="0131"/>
      <sheetName val="0130"/>
      <sheetName val="0129"/>
      <sheetName val="0128"/>
      <sheetName val="0127"/>
      <sheetName val="0126"/>
      <sheetName val="0125"/>
      <sheetName val="0124"/>
      <sheetName val="0123"/>
      <sheetName val="0122"/>
      <sheetName val="0121"/>
      <sheetName val="0120"/>
      <sheetName val="0118"/>
      <sheetName val="0117"/>
      <sheetName val="0116"/>
      <sheetName val="0115"/>
      <sheetName val="0113"/>
      <sheetName val="0114"/>
      <sheetName val="0112"/>
      <sheetName val="0111"/>
      <sheetName val="0109"/>
      <sheetName val="0108"/>
      <sheetName val="0107"/>
      <sheetName val="0106"/>
      <sheetName val="0105"/>
      <sheetName val="0104"/>
      <sheetName val="0103"/>
      <sheetName val="0102"/>
      <sheetName val="0101"/>
      <sheetName val="0100"/>
      <sheetName val="0099"/>
      <sheetName val="0098"/>
      <sheetName val="0097"/>
      <sheetName val="0096"/>
      <sheetName val="0095"/>
      <sheetName val="0094"/>
      <sheetName val="0093"/>
      <sheetName val="0092"/>
      <sheetName val="0091"/>
      <sheetName val="0090"/>
      <sheetName val="0089"/>
      <sheetName val="0088"/>
      <sheetName val="0087"/>
      <sheetName val="0086"/>
      <sheetName val="0085"/>
      <sheetName val="0084"/>
      <sheetName val="0083"/>
      <sheetName val="0082"/>
      <sheetName val="0081"/>
      <sheetName val="0080"/>
      <sheetName val="0079"/>
      <sheetName val="0078"/>
      <sheetName val="0077"/>
      <sheetName val="0076"/>
      <sheetName val="0075"/>
      <sheetName val="0074"/>
      <sheetName val="0073"/>
      <sheetName val="0072"/>
      <sheetName val="0071R"/>
      <sheetName val="0071"/>
      <sheetName val="0070"/>
      <sheetName val="0069"/>
      <sheetName val="0068"/>
      <sheetName val="0067"/>
      <sheetName val="0066"/>
      <sheetName val="0065"/>
      <sheetName val="0064"/>
      <sheetName val="0063"/>
      <sheetName val="0062"/>
      <sheetName val="0061"/>
      <sheetName val="0060"/>
      <sheetName val="0059"/>
      <sheetName val="0058"/>
      <sheetName val="0057"/>
      <sheetName val="0056"/>
      <sheetName val="0055"/>
      <sheetName val="0054"/>
      <sheetName val="0053"/>
      <sheetName val="0052"/>
      <sheetName val="0051"/>
      <sheetName val="0050"/>
      <sheetName val="0049"/>
      <sheetName val="0048"/>
      <sheetName val="0047"/>
      <sheetName val="0046"/>
      <sheetName val="0045"/>
      <sheetName val="0044"/>
      <sheetName val="0043"/>
      <sheetName val="0042"/>
      <sheetName val="0041"/>
      <sheetName val="0040"/>
      <sheetName val="0039"/>
      <sheetName val="0038"/>
      <sheetName val="0037"/>
      <sheetName val="0036"/>
      <sheetName val="0035"/>
      <sheetName val="0034"/>
      <sheetName val="0033"/>
      <sheetName val="0032"/>
      <sheetName val="0031"/>
      <sheetName val="0030"/>
      <sheetName val="0029"/>
      <sheetName val="0028"/>
      <sheetName val="0027"/>
      <sheetName val="0026"/>
      <sheetName val="0025"/>
      <sheetName val="0024"/>
      <sheetName val="0023"/>
      <sheetName val="0022"/>
      <sheetName val="0021"/>
      <sheetName val="0020"/>
      <sheetName val="0019"/>
      <sheetName val="0018"/>
      <sheetName val="0017"/>
      <sheetName val="0016"/>
      <sheetName val="0015"/>
      <sheetName val="0014"/>
      <sheetName val="0013"/>
      <sheetName val="0012"/>
      <sheetName val="0011"/>
      <sheetName val="0010"/>
      <sheetName val="0009"/>
      <sheetName val="0008"/>
      <sheetName val="0007"/>
      <sheetName val="0006"/>
      <sheetName val="0005"/>
      <sheetName val="0004"/>
      <sheetName val="0003"/>
      <sheetName val="0002"/>
      <sheetName val="0001 Revised Jan 25 2012"/>
      <sheetName val="Last"/>
      <sheetName val="Cons"/>
      <sheetName val="Directorsw president"/>
      <sheetName val="Parent"/>
      <sheetName val="Directors"/>
      <sheetName val="WCD"/>
      <sheetName val="Subsidaires"/>
      <sheetName val="Subsidaires (2)"/>
      <sheetName val="EMP Fund"/>
      <sheetName val="TFC AGICO"/>
      <sheetName val="Cons (3)"/>
      <sheetName val="Sheet2 (2)"/>
      <sheetName val="0001Superseded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1">
          <cell r="A1" t="str">
            <v xml:space="preserve">Askari  Bank Limited                          Branch Name : </v>
          </cell>
        </row>
        <row r="2">
          <cell r="A2" t="str">
            <v xml:space="preserve">Transactions with related parties                      Code : </v>
          </cell>
        </row>
        <row r="3">
          <cell r="A3">
            <v>40908</v>
          </cell>
        </row>
        <row r="4">
          <cell r="A4" t="str">
            <v>s</v>
          </cell>
        </row>
        <row r="5">
          <cell r="A5" t="str">
            <v xml:space="preserve">Name </v>
          </cell>
        </row>
        <row r="6">
          <cell r="A6" t="str">
            <v xml:space="preserve">Code </v>
          </cell>
          <cell r="B6" t="str">
            <v>.5%)</v>
          </cell>
        </row>
        <row r="8">
          <cell r="A8" t="str">
            <v xml:space="preserve">Sr. </v>
          </cell>
          <cell r="B8" t="str">
            <v>Corporate Entities / Projects</v>
          </cell>
          <cell r="C8" t="str">
            <v xml:space="preserve">Account # </v>
          </cell>
          <cell r="D8" t="str">
            <v>Advances</v>
          </cell>
          <cell r="I8" t="str">
            <v>Deposits</v>
          </cell>
          <cell r="N8" t="str">
            <v>Placements</v>
          </cell>
          <cell r="Q8" t="str">
            <v>Outstanding commitments and contingent liabilities for irrevocable commitments &amp; contingencies as at Dec 31, 2011</v>
          </cell>
          <cell r="R8" t="str">
            <v>Rent of property paid during  2011</v>
          </cell>
          <cell r="S8" t="str">
            <v>Rent of property received during the the year 2011</v>
          </cell>
          <cell r="T8" t="str">
            <v>Insurance claims received during the the year 2011</v>
          </cell>
          <cell r="U8" t="str">
            <v>Insurance premiums paid during the the year 2011</v>
          </cell>
          <cell r="V8" t="str">
            <v>Service charges paid during the the year 2011</v>
          </cell>
          <cell r="W8" t="str">
            <v>Security service charges paid during the the year 2011</v>
          </cell>
          <cell r="X8" t="str">
            <v>Investment in shares of related parties - at cost as at Dec 31, 2011</v>
          </cell>
          <cell r="Y8" t="str">
            <v>Dividends received from related parties during the the year 2011</v>
          </cell>
          <cell r="Z8" t="str">
            <v>Fee, Commission &amp; Brokerage income received during the the year 2011</v>
          </cell>
          <cell r="AA8" t="str">
            <v>Fee, Commission &amp; Brokerage income paid  during the the year 2011</v>
          </cell>
          <cell r="AB8" t="str">
            <v>Any other transactions (Please specify and add column if required)</v>
          </cell>
        </row>
        <row r="9">
          <cell r="D9" t="str">
            <v>Advances given during the the year 2011</v>
          </cell>
          <cell r="E9" t="str">
            <v>Advances repaid during  the the year 2011</v>
          </cell>
          <cell r="F9" t="str">
            <v>Advances as at Dec 31, 2011</v>
          </cell>
          <cell r="G9" t="str">
            <v>Mark-up / interest earned on advances during the the year 2011</v>
          </cell>
          <cell r="H9" t="str">
            <v>Rate of interest / markup received</v>
          </cell>
          <cell r="I9" t="str">
            <v>Deposits received during the the year 2011</v>
          </cell>
          <cell r="J9" t="str">
            <v>Deposits withdrawn during the the year 2011</v>
          </cell>
          <cell r="K9" t="str">
            <v>Deposits as at Dec 31, 2011</v>
          </cell>
          <cell r="L9" t="str">
            <v>Mark-up / interest expensed on deposits during the the year 2011</v>
          </cell>
          <cell r="M9" t="str">
            <v>Rate of interest / markup paid</v>
          </cell>
          <cell r="N9" t="str">
            <v>Placements made during the the year 2011</v>
          </cell>
          <cell r="O9" t="str">
            <v>Placements repaid during the the year 2011</v>
          </cell>
          <cell r="P9" t="str">
            <v>Placements as at Dec 31, 2011</v>
          </cell>
        </row>
        <row r="11">
          <cell r="A11" t="str">
            <v>A</v>
          </cell>
          <cell r="B11" t="str">
            <v>Companies</v>
          </cell>
        </row>
        <row r="12">
          <cell r="A12">
            <v>1</v>
          </cell>
          <cell r="B12" t="str">
            <v>Army Welfare Trust (AWT)</v>
          </cell>
        </row>
        <row r="13">
          <cell r="A13">
            <v>2</v>
          </cell>
          <cell r="B13" t="str">
            <v>PROJECTS OF AWT</v>
          </cell>
        </row>
        <row r="14">
          <cell r="B14" t="str">
            <v xml:space="preserve">      - Nizampur Cement</v>
          </cell>
        </row>
        <row r="15">
          <cell r="B15" t="str">
            <v xml:space="preserve">      - Askari Pharmaceuticals, Phool Nagar</v>
          </cell>
        </row>
        <row r="16">
          <cell r="B16" t="str">
            <v xml:space="preserve">      - Army Welfare Sugar Mills, Badin</v>
          </cell>
        </row>
        <row r="17">
          <cell r="B17" t="str">
            <v xml:space="preserve">      - Army Welfare Shoe Project, Lahore</v>
          </cell>
        </row>
        <row r="18">
          <cell r="B18" t="str">
            <v xml:space="preserve">      - Army Welfare Woolen Mills, Lahore</v>
          </cell>
        </row>
        <row r="19">
          <cell r="B19" t="str">
            <v xml:space="preserve">     -  Executive Director (Services) Sectt</v>
          </cell>
        </row>
        <row r="20">
          <cell r="B20" t="str">
            <v xml:space="preserve">      - Army Welfare Hosiery Project, Rawalpindi</v>
          </cell>
        </row>
        <row r="21">
          <cell r="B21" t="str">
            <v xml:space="preserve">      - Askari CNG</v>
          </cell>
        </row>
        <row r="22">
          <cell r="B22" t="str">
            <v xml:space="preserve">      - Real Estate AWT, Rawalpindi</v>
          </cell>
        </row>
        <row r="23">
          <cell r="B23" t="str">
            <v xml:space="preserve">      - Real Estate AWT, Lahore</v>
          </cell>
        </row>
        <row r="24">
          <cell r="B24" t="str">
            <v xml:space="preserve">      - Real Estate AWT, Peshawar</v>
          </cell>
        </row>
        <row r="25">
          <cell r="B25" t="str">
            <v xml:space="preserve">      - AWT Plaza, Karachi</v>
          </cell>
        </row>
        <row r="26">
          <cell r="B26" t="str">
            <v xml:space="preserve">      - Blue Lagoon, Rawalpindi</v>
          </cell>
        </row>
        <row r="27">
          <cell r="B27" t="str">
            <v xml:space="preserve">      - Lahore  Lagoon</v>
          </cell>
        </row>
        <row r="28">
          <cell r="B28" t="str">
            <v xml:space="preserve">      - Askari Seeds, Okara</v>
          </cell>
        </row>
        <row r="29">
          <cell r="B29" t="str">
            <v xml:space="preserve">      - Army Stud Farm Probynabad, Okara</v>
          </cell>
        </row>
        <row r="30">
          <cell r="B30" t="str">
            <v xml:space="preserve">      - Army Stud Farm Boylejung, Okara</v>
          </cell>
        </row>
        <row r="31">
          <cell r="B31" t="str">
            <v xml:space="preserve">      - Army Farm Rakh, Baikunth</v>
          </cell>
        </row>
        <row r="32">
          <cell r="B32" t="str">
            <v xml:space="preserve">      - Army Farm, Khoski</v>
          </cell>
        </row>
        <row r="33">
          <cell r="B33" t="str">
            <v xml:space="preserve">      - Services Travel, Rawalpindi</v>
          </cell>
        </row>
        <row r="34">
          <cell r="B34" t="str">
            <v xml:space="preserve">      - Askair Travel &amp; Tours (Al-Ghazi Travels, Islamabad)</v>
          </cell>
        </row>
        <row r="35">
          <cell r="B35" t="str">
            <v xml:space="preserve">      - Askari Chartered Services</v>
          </cell>
        </row>
        <row r="36">
          <cell r="B36" t="str">
            <v xml:space="preserve">      - Askari Airport Services</v>
          </cell>
        </row>
        <row r="37">
          <cell r="B37" t="str">
            <v xml:space="preserve">      - Resident Dierctor , Karachi</v>
          </cell>
        </row>
        <row r="38">
          <cell r="B38" t="str">
            <v xml:space="preserve">      - CEO Farms &amp; Seeds</v>
          </cell>
        </row>
        <row r="39">
          <cell r="B39" t="str">
            <v xml:space="preserve">      - CEO Army Projects</v>
          </cell>
        </row>
        <row r="40">
          <cell r="B40" t="str">
            <v xml:space="preserve">      - CEO Real State</v>
          </cell>
        </row>
        <row r="41">
          <cell r="A41">
            <v>3</v>
          </cell>
          <cell r="B41" t="str">
            <v>Askari Cement Limited</v>
          </cell>
        </row>
        <row r="42">
          <cell r="A42">
            <v>4</v>
          </cell>
          <cell r="B42" t="str">
            <v>Askari Information Systems Limited</v>
          </cell>
        </row>
        <row r="43">
          <cell r="A43">
            <v>5</v>
          </cell>
          <cell r="B43" t="str">
            <v>Askari Aviation (Private) Limited</v>
          </cell>
        </row>
        <row r="44">
          <cell r="A44">
            <v>6</v>
          </cell>
          <cell r="B44" t="str">
            <v>Mobil Askari Lubricants Limited</v>
          </cell>
        </row>
        <row r="45">
          <cell r="A45">
            <v>7</v>
          </cell>
          <cell r="B45" t="str">
            <v>Askari Guards (Pvt) Limited     i) Security Services</v>
          </cell>
        </row>
        <row r="46">
          <cell r="B46" t="str">
            <v xml:space="preserve">                                                  ii) Cash in Transit </v>
          </cell>
        </row>
        <row r="47">
          <cell r="A47">
            <v>8</v>
          </cell>
          <cell r="B47" t="str">
            <v>Askari Securities Limited</v>
          </cell>
        </row>
        <row r="48">
          <cell r="A48">
            <v>9</v>
          </cell>
          <cell r="B48" t="str">
            <v>Askari Communication Services (Pvt) Limited</v>
          </cell>
        </row>
        <row r="49">
          <cell r="A49">
            <v>10</v>
          </cell>
          <cell r="B49" t="str">
            <v>Askari General Insurance Company Limited</v>
          </cell>
        </row>
        <row r="50">
          <cell r="A50">
            <v>11</v>
          </cell>
          <cell r="B50" t="str">
            <v>Askari Power Limited</v>
          </cell>
        </row>
        <row r="51">
          <cell r="A51">
            <v>12</v>
          </cell>
          <cell r="B51" t="str">
            <v>Askari Investment Management Limited</v>
          </cell>
        </row>
        <row r="52">
          <cell r="A52">
            <v>13</v>
          </cell>
          <cell r="B52" t="str">
            <v>Askari Income Fund</v>
          </cell>
        </row>
        <row r="53">
          <cell r="A53">
            <v>14</v>
          </cell>
          <cell r="B53" t="str">
            <v>Askari Asset Allocation Fund</v>
          </cell>
        </row>
        <row r="54">
          <cell r="A54">
            <v>15</v>
          </cell>
          <cell r="B54" t="str">
            <v>Askari Islamic Income Fund</v>
          </cell>
        </row>
        <row r="55">
          <cell r="A55">
            <v>16</v>
          </cell>
          <cell r="B55" t="str">
            <v>Askari Islamic Asset Allocation Fund</v>
          </cell>
        </row>
        <row r="56">
          <cell r="A56">
            <v>17</v>
          </cell>
          <cell r="B56" t="str">
            <v>Askari Soverign Cash Fund</v>
          </cell>
        </row>
        <row r="57">
          <cell r="A57">
            <v>18</v>
          </cell>
          <cell r="B57" t="str">
            <v>Askari  Bank Limited Employees Provident Fund</v>
          </cell>
        </row>
        <row r="58">
          <cell r="A58">
            <v>19</v>
          </cell>
          <cell r="B58" t="str">
            <v>Askari  Bank Limited Employees Gratuity Fund</v>
          </cell>
        </row>
        <row r="59">
          <cell r="A59">
            <v>20</v>
          </cell>
          <cell r="B59" t="str">
            <v>Islamabad Stock Exchange (Guarantee) Limited</v>
          </cell>
        </row>
        <row r="60">
          <cell r="A60">
            <v>21</v>
          </cell>
          <cell r="B60" t="str">
            <v>1 Link (Guarantee) Limited</v>
          </cell>
        </row>
        <row r="61">
          <cell r="A61">
            <v>22</v>
          </cell>
          <cell r="B61" t="str">
            <v>Pakistan Export Finance Guarantee Agency Limited</v>
          </cell>
        </row>
        <row r="62">
          <cell r="A62">
            <v>23</v>
          </cell>
          <cell r="B62" t="str">
            <v>Askari Enterprizes (Pvt) Ltd</v>
          </cell>
        </row>
        <row r="63">
          <cell r="A63">
            <v>24</v>
          </cell>
          <cell r="B63" t="str">
            <v>Askari Siddiqsons Development Co. Ltd.</v>
          </cell>
        </row>
        <row r="64">
          <cell r="A64">
            <v>25</v>
          </cell>
          <cell r="B64" t="str">
            <v>Ask Pure (Pvt) Ltd</v>
          </cell>
        </row>
        <row r="65">
          <cell r="A65">
            <v>26</v>
          </cell>
          <cell r="B65" t="str">
            <v>Askari Mapa Gunal ( Pvt) Ltd.</v>
          </cell>
        </row>
        <row r="66">
          <cell r="B66" t="str">
            <v>Sub-Total</v>
          </cell>
        </row>
        <row r="68">
          <cell r="A68" t="str">
            <v>B</v>
          </cell>
          <cell r="B68" t="str">
            <v>Individual</v>
          </cell>
        </row>
        <row r="69">
          <cell r="A69" t="str">
            <v>(a)</v>
          </cell>
          <cell r="B69" t="str">
            <v>Directors / CEO</v>
          </cell>
        </row>
        <row r="70">
          <cell r="A70">
            <v>1</v>
          </cell>
          <cell r="B70" t="str">
            <v>Lt. Gen Javed Iqbal</v>
          </cell>
        </row>
        <row r="71">
          <cell r="A71">
            <v>2</v>
          </cell>
          <cell r="B71" t="str">
            <v>Lt. Gen ( R) Imtiaz Husain</v>
          </cell>
        </row>
        <row r="72">
          <cell r="A72">
            <v>3</v>
          </cell>
          <cell r="B72" t="str">
            <v>Mr.  M.R. Mehkari (President &amp; CEO)</v>
          </cell>
        </row>
        <row r="73">
          <cell r="A73">
            <v>4</v>
          </cell>
          <cell r="B73" t="str">
            <v>Mr. Zafar Alam Khan Sumbal</v>
          </cell>
        </row>
        <row r="74">
          <cell r="A74">
            <v>5</v>
          </cell>
          <cell r="B74" t="str">
            <v>Dr. Bashir Ahmad Khan</v>
          </cell>
        </row>
        <row r="75">
          <cell r="A75">
            <v>6</v>
          </cell>
          <cell r="B75" t="str">
            <v>Muhammad Riyazul Haque</v>
          </cell>
        </row>
        <row r="76">
          <cell r="A76">
            <v>7</v>
          </cell>
          <cell r="B76" t="str">
            <v xml:space="preserve">Mr. Shahid Mahmud </v>
          </cell>
        </row>
        <row r="77">
          <cell r="A77">
            <v>8</v>
          </cell>
          <cell r="B77" t="str">
            <v>Mr. Ali Noormahomed Rattansey</v>
          </cell>
        </row>
        <row r="78">
          <cell r="A78">
            <v>9</v>
          </cell>
          <cell r="B78" t="str">
            <v>Mr. Wazir Ali Khoja</v>
          </cell>
        </row>
        <row r="79">
          <cell r="A79">
            <v>10</v>
          </cell>
          <cell r="B79" t="str">
            <v>Khawaja Jalaluddin Roomi</v>
          </cell>
        </row>
        <row r="80">
          <cell r="A80">
            <v>11</v>
          </cell>
          <cell r="B80" t="str">
            <v>MALIK RIFFAT MEHMOOD</v>
          </cell>
        </row>
        <row r="81">
          <cell r="B81" t="str">
            <v>Sub-Total</v>
          </cell>
        </row>
        <row r="84">
          <cell r="B84" t="str">
            <v>Grand-Total</v>
          </cell>
        </row>
        <row r="86">
          <cell r="A86" t="str">
            <v xml:space="preserve">Notes : </v>
          </cell>
        </row>
        <row r="87">
          <cell r="A87" t="str">
            <v>- Amount should be reported to the last decimal places.</v>
          </cell>
        </row>
        <row r="88">
          <cell r="A88" t="str">
            <v>*  Rate Changed from Oct 2011 (14.00 % down to 12.5%)</v>
          </cell>
        </row>
        <row r="89">
          <cell r="A89" t="str">
            <v>** Rate Changed from Nov 2011 (12.00%  down to 10.50%)</v>
          </cell>
        </row>
        <row r="90">
          <cell r="A90" t="str">
            <v>***  Rate Changed from Nov 2011 (8.00%  down to 7.00%)</v>
          </cell>
        </row>
        <row r="91">
          <cell r="A91" t="str">
            <v>****   Rate Changed from Nov 2011 (9.00%  down to 8.00%)</v>
          </cell>
        </row>
        <row r="96">
          <cell r="A96">
            <v>1</v>
          </cell>
          <cell r="B96" t="str">
            <v>Army Welfare Trust (AWT)</v>
          </cell>
        </row>
        <row r="98">
          <cell r="B98" t="str">
            <v>Mise TDRs</v>
          </cell>
        </row>
        <row r="99">
          <cell r="B99" t="str">
            <v xml:space="preserve">Mise Acc </v>
          </cell>
        </row>
        <row r="101">
          <cell r="B101" t="str">
            <v>AWT Ladies club</v>
          </cell>
        </row>
        <row r="102">
          <cell r="B102" t="str">
            <v xml:space="preserve">AWT welfare Acc </v>
          </cell>
        </row>
        <row r="105">
          <cell r="B105" t="str">
            <v>AWS(IND)</v>
          </cell>
        </row>
        <row r="106">
          <cell r="B106" t="str">
            <v>AWS(ORG)</v>
          </cell>
        </row>
        <row r="110">
          <cell r="B110" t="str">
            <v xml:space="preserve">      - Nizampur Cement</v>
          </cell>
        </row>
        <row r="118">
          <cell r="A118">
            <v>3</v>
          </cell>
          <cell r="B118" t="str">
            <v>Askari Cement Limited</v>
          </cell>
        </row>
        <row r="120">
          <cell r="B120" t="str">
            <v>Askari Cement (Wah)</v>
          </cell>
        </row>
        <row r="127">
          <cell r="A127">
            <v>5</v>
          </cell>
          <cell r="B127" t="str">
            <v>Askari Aviation (Private) Limited</v>
          </cell>
        </row>
        <row r="132">
          <cell r="A132">
            <v>10</v>
          </cell>
          <cell r="B132" t="str">
            <v>Askari General Insurance Company Limited</v>
          </cell>
        </row>
        <row r="143">
          <cell r="A143">
            <v>3</v>
          </cell>
          <cell r="B143" t="str">
            <v>Mr.  M.R. Mehkari (President &amp; CEO)</v>
          </cell>
        </row>
        <row r="149">
          <cell r="A149">
            <v>4</v>
          </cell>
          <cell r="B149" t="str">
            <v>Mr. Zafar Alam Khan Sumbal</v>
          </cell>
        </row>
        <row r="151">
          <cell r="A151">
            <v>5</v>
          </cell>
          <cell r="B151" t="str">
            <v>Dr. Bashir Ahmad Khan</v>
          </cell>
        </row>
        <row r="152">
          <cell r="A152">
            <v>6</v>
          </cell>
          <cell r="B152" t="str">
            <v>Muhammad Riyazul Haque</v>
          </cell>
        </row>
        <row r="153">
          <cell r="A153">
            <v>7</v>
          </cell>
          <cell r="B153" t="str">
            <v xml:space="preserve">Mr. Shahid Mahmud </v>
          </cell>
        </row>
        <row r="154">
          <cell r="A154">
            <v>8</v>
          </cell>
          <cell r="B154" t="str">
            <v>Mr. Ali Noormahomed Rattansey</v>
          </cell>
        </row>
        <row r="155">
          <cell r="A155">
            <v>9</v>
          </cell>
          <cell r="B155" t="str">
            <v>Mr. Wazir Ali Khoja</v>
          </cell>
        </row>
        <row r="156">
          <cell r="A156">
            <v>10</v>
          </cell>
          <cell r="B156" t="str">
            <v>Khawaja Jalaluddin Roomi</v>
          </cell>
        </row>
        <row r="157">
          <cell r="A157">
            <v>11</v>
          </cell>
          <cell r="B157" t="str">
            <v>MALIK RIFFAT MEHMOOD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oss"/>
      <sheetName val=" EQUITY"/>
      <sheetName val="NOTES"/>
      <sheetName val="8.2-9.2"/>
      <sheetName val="Adv"/>
      <sheetName val="F A Sch"/>
      <sheetName val="fin inst"/>
      <sheetName val="CR &amp; INT RISK "/>
      <sheetName val="FV INST"/>
      <sheetName val="Conofrisk"/>
      <sheetName val="Entries"/>
      <sheetName val="Cal"/>
      <sheetName val="eps"/>
      <sheetName val="Info for CFO"/>
      <sheetName val="Dec 05"/>
      <sheetName val="segment cal"/>
      <sheetName val="CR Cal"/>
      <sheetName val="off balance sheet"/>
      <sheetName val="BS PTS"/>
      <sheetName val="PLPTS"/>
      <sheetName val="NOTES PTS"/>
      <sheetName val="Module1"/>
      <sheetName val="C Flow"/>
      <sheetName val="Reconciliation with weekly"/>
      <sheetName val="Outsatnding work"/>
      <sheetName val="CONC OF CRE"/>
      <sheetName val="Written Of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fin inst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 Flow"/>
      <sheetName val=" EQUITY"/>
      <sheetName val="Note 6-8.1"/>
      <sheetName val="Note 8.2-9.2"/>
      <sheetName val="NOTES"/>
      <sheetName val="Note 9.3-9.6"/>
      <sheetName val="Note 10-10.2"/>
      <sheetName val="Sheet1 (2)"/>
      <sheetName val="Prov"/>
      <sheetName val="Sheet2"/>
      <sheetName val="Entries"/>
      <sheetName val="Note 10.3-10.6"/>
      <sheetName val="F A Sch"/>
      <sheetName val="note11.3-13.1"/>
      <sheetName val="Note 17-19"/>
      <sheetName val="Note 20-21"/>
      <sheetName val="Note 22-23.1"/>
      <sheetName val="Note 26-30"/>
      <sheetName val="Note 30.1-32"/>
      <sheetName val="Note 32.1-37.1"/>
      <sheetName val="Note 37.2-38"/>
      <sheetName val="FV INST"/>
      <sheetName val="Note 41-42"/>
      <sheetName val="Note 44"/>
      <sheetName val="Note 45-45.1.1.1"/>
      <sheetName val="Note 45.1.1.2"/>
      <sheetName val="Note 45.3"/>
      <sheetName val="Note 45.3.5"/>
      <sheetName val="Note 45.4"/>
      <sheetName val="Note 44.1"/>
      <sheetName val="2006"/>
      <sheetName val="Islamic"/>
      <sheetName val="Sheet1"/>
      <sheetName val="Cal"/>
      <sheetName val="CFS-Dec"/>
      <sheetName val="Working-CFS"/>
      <sheetName val="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Income"/>
      <sheetName val="Expenses"/>
      <sheetName val="A"/>
      <sheetName val="Assets 2002"/>
      <sheetName val="Liabiliteis 2002"/>
      <sheetName val="Sheet1 "/>
      <sheetName val="Sheet2 (3)"/>
      <sheetName val="Notes1-5"/>
      <sheetName val="Note 9.7-9.8 (2)"/>
      <sheetName val="Note 12(3)"/>
      <sheetName val="TaxWDVJul-Dec02"/>
      <sheetName val="AUDITADJUST (2)"/>
      <sheetName val="AUDITADJUST"/>
      <sheetName val="EFFECT"/>
      <sheetName val="P&amp;L 2002"/>
      <sheetName val="Sheet1 (3)"/>
      <sheetName val="NEWAD"/>
      <sheetName val="SBP-Staggering"/>
      <sheetName val="Assets (3)"/>
      <sheetName val="Liabiliteis (2)"/>
      <sheetName val="Computa.Tax"/>
      <sheetName val="Balance Sheet"/>
      <sheetName val="p&amp;l"/>
      <sheetName val="CashFlow"/>
      <sheetName val="Statement of Ch"/>
      <sheetName val="Notes1-5 OLD"/>
      <sheetName val="Note 3-6"/>
      <sheetName val="Note6"/>
      <sheetName val="Note 7"/>
      <sheetName val="Sheet10"/>
      <sheetName val="Currency-expo"/>
      <sheetName val="Sheet9"/>
      <sheetName val="Note"/>
      <sheetName val="Note6-8.2"/>
      <sheetName val="Note 9.6-9.9"/>
      <sheetName val="Notes10-10.4.2"/>
      <sheetName val="10.5-11.3"/>
      <sheetName val="Note 12 "/>
      <sheetName val="Note16-21.1"/>
      <sheetName val="Note22-23"/>
      <sheetName val="Notes24-26.1"/>
      <sheetName val="Computa.Tax (2)"/>
      <sheetName val="Notes33-34"/>
      <sheetName val="Notes35-36"/>
      <sheetName val="Notes37"/>
      <sheetName val="Notes38-42.1 (2)"/>
      <sheetName val="Com.TaxJul-Dec01"/>
      <sheetName val="Sheet8"/>
      <sheetName val="D Tax2002"/>
      <sheetName val="WKGJul-Dec01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  <sheetName val="KONSOLIDE"/>
      <sheetName val="last qrt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>
        <row r="2">
          <cell r="A2" t="str">
            <v>6.</v>
          </cell>
          <cell r="B2" t="str">
            <v>CASH AND BALANCES WITH TREASURY BANKS</v>
          </cell>
          <cell r="J2" t="str">
            <v>Note</v>
          </cell>
        </row>
        <row r="4">
          <cell r="B4" t="str">
            <v>In hand</v>
          </cell>
        </row>
        <row r="5">
          <cell r="B5" t="str">
            <v xml:space="preserve">  Local currency</v>
          </cell>
        </row>
        <row r="6">
          <cell r="B6" t="str">
            <v xml:space="preserve">  Foreign currency</v>
          </cell>
        </row>
        <row r="8">
          <cell r="B8" t="str">
            <v>With State Bank of Pakistan (SBP) in</v>
          </cell>
        </row>
        <row r="9">
          <cell r="B9" t="str">
            <v xml:space="preserve">  Local currency current account</v>
          </cell>
        </row>
        <row r="10">
          <cell r="B10" t="str">
            <v xml:space="preserve">  Foreign currency account</v>
          </cell>
        </row>
        <row r="11">
          <cell r="B11" t="str">
            <v>Current account</v>
          </cell>
        </row>
        <row r="12">
          <cell r="B12" t="str">
            <v>Special reserve</v>
          </cell>
        </row>
        <row r="14">
          <cell r="B14" t="str">
            <v>With National Bank of Pakistan (NBP) in</v>
          </cell>
        </row>
        <row r="15">
          <cell r="B15" t="str">
            <v xml:space="preserve">  Local currency current account</v>
          </cell>
        </row>
        <row r="18">
          <cell r="A18" t="str">
            <v>7.</v>
          </cell>
          <cell r="B18" t="str">
            <v>BALANCES WITH OTHER BANKS</v>
          </cell>
        </row>
        <row r="20">
          <cell r="B20" t="str">
            <v>In Pakistan</v>
          </cell>
        </row>
        <row r="21">
          <cell r="B21" t="str">
            <v xml:space="preserve">   Current account</v>
          </cell>
        </row>
        <row r="22">
          <cell r="B22" t="str">
            <v xml:space="preserve">   Deposit account</v>
          </cell>
          <cell r="J22" t="str">
            <v>1.2</v>
          </cell>
        </row>
        <row r="24">
          <cell r="B24" t="str">
            <v>Outside Pakistan</v>
          </cell>
        </row>
        <row r="25">
          <cell r="B25" t="str">
            <v xml:space="preserve">   Current account</v>
          </cell>
        </row>
        <row r="26">
          <cell r="B26" t="str">
            <v xml:space="preserve">   Deposit account</v>
          </cell>
        </row>
        <row r="29">
          <cell r="B29" t="str">
            <v xml:space="preserve">Less: Provision against balances with other banks               </v>
          </cell>
          <cell r="J29" t="str">
            <v>1.2</v>
          </cell>
        </row>
        <row r="32">
          <cell r="A32" t="str">
            <v>8.</v>
          </cell>
          <cell r="B32" t="str">
            <v>LENDINGS TO FINANCIAL INSTITUTIONS</v>
          </cell>
        </row>
        <row r="34">
          <cell r="B34" t="str">
            <v>Call money lendings</v>
          </cell>
          <cell r="J34">
            <v>8.1</v>
          </cell>
        </row>
        <row r="35">
          <cell r="B35" t="str">
            <v>Repurchase agreement lendings(Reverse Repo)</v>
          </cell>
          <cell r="J35">
            <v>8.1999999999999993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9.7-9.8"/>
      <sheetName val="Liabiliteis"/>
      <sheetName val="AnnexureA"/>
      <sheetName val="Assets"/>
      <sheetName val="SBP-Staggering"/>
      <sheetName val="Balancesheet"/>
      <sheetName val="P&amp;L"/>
      <sheetName val="Notes7-8"/>
      <sheetName val="Notes 9-10"/>
      <sheetName val="Notes7-8 (2)"/>
      <sheetName val="Notes 9-10 (2)"/>
      <sheetName val="Investment"/>
      <sheetName val="Sheet2"/>
      <sheetName val="Notes 1-6"/>
      <sheetName val="BS"/>
      <sheetName val="Other Assets Notes"/>
      <sheetName val="Notes10.1"/>
      <sheetName val="Sheet5"/>
      <sheetName val="notes 5-6000"/>
      <sheetName val="Stat-Equity"/>
      <sheetName val="A"/>
      <sheetName val="Note6-8.2"/>
      <sheetName val="Note_9_7-9_8"/>
      <sheetName val="Notes_9-10"/>
      <sheetName val="Notes7-8_(2)"/>
      <sheetName val="Notes_9-10_(2)"/>
      <sheetName val="Notes_1-6"/>
      <sheetName val="Other_Assets_Notes"/>
      <sheetName val="Notes10_1"/>
      <sheetName val="notes_5-6000"/>
      <sheetName val="Note6-8_2"/>
      <sheetName val="Regular"/>
      <sheetName val="Cons "/>
      <sheetName val="Sheet6"/>
      <sheetName val="Sheet3"/>
      <sheetName val="Sheet4"/>
      <sheetName val="cash &amp; bank"/>
      <sheetName val="Avsb"/>
      <sheetName val="Mst"/>
    </sheetNames>
    <sheetDataSet>
      <sheetData sheetId="0">
        <row r="604">
          <cell r="Q604">
            <v>261393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>
        <row r="604">
          <cell r="Q604">
            <v>261393</v>
          </cell>
        </row>
        <row r="605">
          <cell r="Q605">
            <v>655246</v>
          </cell>
        </row>
        <row r="606">
          <cell r="Q606">
            <v>432000</v>
          </cell>
        </row>
        <row r="607">
          <cell r="Q607">
            <v>2412885</v>
          </cell>
        </row>
        <row r="608">
          <cell r="Q608">
            <v>4603679</v>
          </cell>
        </row>
        <row r="609">
          <cell r="Q609">
            <v>190777</v>
          </cell>
        </row>
        <row r="610">
          <cell r="Q610">
            <v>1447095</v>
          </cell>
        </row>
        <row r="611">
          <cell r="Q611">
            <v>10003075</v>
          </cell>
        </row>
        <row r="615">
          <cell r="Q615">
            <v>5451937</v>
          </cell>
        </row>
        <row r="616">
          <cell r="Q616">
            <v>4011652</v>
          </cell>
        </row>
        <row r="617">
          <cell r="Q617">
            <v>51183</v>
          </cell>
        </row>
        <row r="618">
          <cell r="Q618">
            <v>232240</v>
          </cell>
        </row>
        <row r="619">
          <cell r="Q619">
            <v>14118</v>
          </cell>
        </row>
        <row r="621">
          <cell r="Q621">
            <v>9761130</v>
          </cell>
        </row>
        <row r="623">
          <cell r="Q623">
            <v>241945</v>
          </cell>
        </row>
        <row r="627">
          <cell r="Q627">
            <v>1166667</v>
          </cell>
        </row>
        <row r="628">
          <cell r="Q628">
            <v>74262</v>
          </cell>
        </row>
        <row r="629">
          <cell r="Q629">
            <v>-998702</v>
          </cell>
        </row>
        <row r="630">
          <cell r="Q630">
            <v>-282</v>
          </cell>
        </row>
        <row r="631">
          <cell r="Q631">
            <v>241945</v>
          </cell>
        </row>
        <row r="634">
          <cell r="Q634">
            <v>1665541</v>
          </cell>
        </row>
        <row r="636">
          <cell r="Q636">
            <v>813488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 BS "/>
      <sheetName val="Con PL "/>
      <sheetName val="Con C Flow "/>
      <sheetName val="Con  EQUITY "/>
      <sheetName val="Con Invest"/>
      <sheetName val="BS"/>
      <sheetName val="P&amp;Loss"/>
      <sheetName val="C Flow"/>
      <sheetName val=" EQUITY"/>
      <sheetName val="Investments"/>
      <sheetName val="NOTES"/>
      <sheetName val="tax"/>
      <sheetName val="investment pro"/>
      <sheetName val="Prov"/>
      <sheetName val="OR"/>
      <sheetName val="OR2"/>
      <sheetName val="CFS-Dec"/>
      <sheetName val="Working-CFS"/>
      <sheetName val="Investments (2)"/>
      <sheetName val="con -wORb"/>
      <sheetName val="con wORp"/>
      <sheetName val="VIS"/>
      <sheetName val="Cal"/>
      <sheetName val="Input_Schluessel"/>
      <sheetName val="bs check"/>
      <sheetName val="download lyear data"/>
      <sheetName val="branch liquidity-dai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cons "/>
      <sheetName val="summary %"/>
      <sheetName val="actual vs bud fund non fund"/>
      <sheetName val="p&amp;l cons Dec"/>
      <sheetName val="VAR dep adv"/>
      <sheetName val="Byude"/>
      <sheetName val="Dep adv Branch"/>
      <sheetName val="Central office (2)"/>
      <sheetName val="Dep Expense (2)"/>
      <sheetName val="Sheet2"/>
      <sheetName val="Sheet1"/>
      <sheetName val="Consolidated"/>
      <sheetName val="Conso-Branches"/>
      <sheetName val="Lahore Region "/>
      <sheetName val="Southern Region "/>
      <sheetName val="Northern Region "/>
      <sheetName val="Central Region"/>
      <sheetName val="BAH"/>
      <sheetName val="MUL"/>
      <sheetName val="RYK"/>
      <sheetName val="FSD"/>
      <sheetName val="GUJ"/>
      <sheetName val="L-MAIN"/>
      <sheetName val="L-DEF"/>
      <sheetName val="L-GUL"/>
      <sheetName val="L-PECO"/>
      <sheetName val="L-ALLAMA"/>
      <sheetName val="L-CIR"/>
      <sheetName val="SKT"/>
      <sheetName val="ISB"/>
      <sheetName val="MIR"/>
      <sheetName val="PSW"/>
      <sheetName val="P-KHYBER"/>
      <sheetName val="PINDI"/>
      <sheetName val="HYD"/>
      <sheetName val="K-MAIN"/>
      <sheetName val="K-GULSHAN"/>
      <sheetName val="K-JODIA"/>
      <sheetName val="K-SHF"/>
      <sheetName val="K-DEF"/>
      <sheetName val="K-CLOTH"/>
      <sheetName val="K-KORANGI"/>
      <sheetName val="K-HYDERI"/>
      <sheetName val="QTA"/>
      <sheetName val="SUK"/>
      <sheetName val="p&amp;l b ac"/>
      <sheetName val="p&amp;l_cons_"/>
      <sheetName val="summary_%"/>
      <sheetName val="actual_vs_bud_fund_non_fund"/>
      <sheetName val="p&amp;l_cons_Dec"/>
      <sheetName val="VAR_dep_adv"/>
      <sheetName val="Dep_adv_Branch"/>
      <sheetName val="Central_office_(2)"/>
      <sheetName val="Dep_Expense_(2)"/>
      <sheetName val="Lahore_Region_"/>
      <sheetName val="Southern_Region_"/>
      <sheetName val="Northern_Region_"/>
      <sheetName val="Central_Region"/>
      <sheetName val="p&amp;l_b_ac"/>
      <sheetName val="A"/>
      <sheetName val="BSDOMOVS"/>
      <sheetName val="NORMAL"/>
      <sheetName val="DB"/>
      <sheetName val="p&amp;l_cons_1"/>
      <sheetName val="summary_%1"/>
      <sheetName val="actual_vs_bud_fund_non_fund1"/>
      <sheetName val="p&amp;l_cons_Dec1"/>
      <sheetName val="VAR_dep_adv1"/>
      <sheetName val="Dep_adv_Branch1"/>
      <sheetName val="Central_office_(2)1"/>
      <sheetName val="Dep_Expense_(2)1"/>
      <sheetName val="Lahore_Region_1"/>
      <sheetName val="Southern_Region_1"/>
      <sheetName val="Northern_Region_1"/>
      <sheetName val="Central_Region1"/>
      <sheetName val="p&amp;l_b_ac1"/>
      <sheetName val="p&amp;l_cons_3"/>
      <sheetName val="summary_%3"/>
      <sheetName val="actual_vs_bud_fund_non_fund3"/>
      <sheetName val="p&amp;l_cons_Dec3"/>
      <sheetName val="VAR_dep_adv3"/>
      <sheetName val="Dep_adv_Branch3"/>
      <sheetName val="Central_office_(2)3"/>
      <sheetName val="Dep_Expense_(2)3"/>
      <sheetName val="Lahore_Region_3"/>
      <sheetName val="Southern_Region_3"/>
      <sheetName val="Northern_Region_3"/>
      <sheetName val="Central_Region3"/>
      <sheetName val="p&amp;l_b_ac3"/>
      <sheetName val="p&amp;l_cons_2"/>
      <sheetName val="summary_%2"/>
      <sheetName val="actual_vs_bud_fund_non_fund2"/>
      <sheetName val="p&amp;l_cons_Dec2"/>
      <sheetName val="VAR_dep_adv2"/>
      <sheetName val="Dep_adv_Branch2"/>
      <sheetName val="Central_office_(2)2"/>
      <sheetName val="Dep_Expense_(2)2"/>
      <sheetName val="Lahore_Region_2"/>
      <sheetName val="Southern_Region_2"/>
      <sheetName val="Northern_Region_2"/>
      <sheetName val="Central_Region2"/>
      <sheetName val="p&amp;l_b_ac2"/>
      <sheetName val="Pub Rel"/>
      <sheetName val="Break-up"/>
      <sheetName val="II- INV CO"/>
      <sheetName val="Tables"/>
      <sheetName val="Rating"/>
      <sheetName val="Co. 400"/>
      <sheetName val="Adv to vendor"/>
      <sheetName val="GP Analysis"/>
      <sheetName val="FundsNW"/>
      <sheetName val="notes1-5"/>
      <sheetName val="MARŻA-bank"/>
      <sheetName val="p&amp;l_cons_4"/>
      <sheetName val="summary_%4"/>
      <sheetName val="actual_vs_bud_fund_non_fund4"/>
      <sheetName val="p&amp;l_cons_Dec4"/>
      <sheetName val="VAR_dep_adv4"/>
      <sheetName val="Dep_adv_Branch4"/>
      <sheetName val="Central_office_(2)4"/>
      <sheetName val="Dep_Expense_(2)4"/>
      <sheetName val="Lahore_Region_4"/>
      <sheetName val="Southern_Region_4"/>
      <sheetName val="Northern_Region_4"/>
      <sheetName val="Central_Region4"/>
      <sheetName val="p&amp;l_b_ac4"/>
      <sheetName val="Adv_to_vendor"/>
      <sheetName val="GP_Analysis"/>
      <sheetName val="brand p&amp;l"/>
      <sheetName val="source"/>
      <sheetName val="Sheet4"/>
      <sheetName val="p&amp;l_cons_6"/>
      <sheetName val="summary_%6"/>
      <sheetName val="actual_vs_bud_fund_non_fund6"/>
      <sheetName val="p&amp;l_cons_Dec6"/>
      <sheetName val="VAR_dep_adv6"/>
      <sheetName val="Dep_adv_Branch6"/>
      <sheetName val="Central_office_(2)6"/>
      <sheetName val="Dep_Expense_(2)6"/>
      <sheetName val="Lahore_Region_6"/>
      <sheetName val="Southern_Region_6"/>
      <sheetName val="Northern_Region_6"/>
      <sheetName val="Central_Region6"/>
      <sheetName val="p&amp;l_b_ac6"/>
      <sheetName val="Adv_to_vendor2"/>
      <sheetName val="GP_Analysis2"/>
      <sheetName val="p&amp;l_cons_5"/>
      <sheetName val="summary_%5"/>
      <sheetName val="actual_vs_bud_fund_non_fund5"/>
      <sheetName val="p&amp;l_cons_Dec5"/>
      <sheetName val="VAR_dep_adv5"/>
      <sheetName val="Dep_adv_Branch5"/>
      <sheetName val="Central_office_(2)5"/>
      <sheetName val="Dep_Expense_(2)5"/>
      <sheetName val="Lahore_Region_5"/>
      <sheetName val="Southern_Region_5"/>
      <sheetName val="Northern_Region_5"/>
      <sheetName val="Central_Region5"/>
      <sheetName val="p&amp;l_b_ac5"/>
      <sheetName val="Adv_to_vendor1"/>
      <sheetName val="GP_Analysis1"/>
      <sheetName val="RC-0997"/>
      <sheetName val="Lists"/>
      <sheetName val="HList"/>
      <sheetName val="ls-uae"/>
      <sheetName val="Sheet1 "/>
      <sheetName val="Pub_Rel"/>
      <sheetName val="Co__400"/>
      <sheetName val="Investments"/>
      <sheetName val="RATES"/>
      <sheetName val="BK"/>
      <sheetName val="BR"/>
      <sheetName val="WORKING FOR SJV"/>
      <sheetName val="acct"/>
      <sheetName val="CARs' 99 Summary Info. (B&amp;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B2" t="str">
            <v xml:space="preserve">Saudi Pak Commercial Bank Limited </v>
          </cell>
        </row>
        <row r="3">
          <cell r="B3" t="str">
            <v>Consolidated</v>
          </cell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3</v>
          </cell>
          <cell r="J3">
            <v>4</v>
          </cell>
          <cell r="K3">
            <v>5</v>
          </cell>
          <cell r="L3">
            <v>6</v>
          </cell>
        </row>
        <row r="4">
          <cell r="B4" t="str">
            <v xml:space="preserve">BALANCE SHEET AS AT </v>
          </cell>
          <cell r="C4" t="str">
            <v>Actual  2001</v>
          </cell>
          <cell r="D4" t="str">
            <v>Actual  2002</v>
          </cell>
          <cell r="E4" t="str">
            <v>Actual Nov-02</v>
          </cell>
          <cell r="F4" t="str">
            <v>Estimated Dec 02</v>
          </cell>
          <cell r="G4" t="str">
            <v xml:space="preserve">Estimated Increase during 2003 over Dec-02 </v>
          </cell>
          <cell r="H4" t="str">
            <v xml:space="preserve">Budgeted 2003 </v>
          </cell>
          <cell r="I4" t="str">
            <v>BUDGET - 2003</v>
          </cell>
        </row>
        <row r="5">
          <cell r="I5" t="str">
            <v>1st QTR</v>
          </cell>
          <cell r="J5" t="str">
            <v>2nd QTR</v>
          </cell>
          <cell r="K5" t="str">
            <v>3rd QTR</v>
          </cell>
          <cell r="L5" t="str">
            <v>4th QTR</v>
          </cell>
        </row>
        <row r="6">
          <cell r="F6" t="str">
            <v>Col 3 /11*12</v>
          </cell>
          <cell r="G6">
            <v>0</v>
          </cell>
          <cell r="H6" t="str">
            <v>Col 4+ Col 5</v>
          </cell>
          <cell r="I6" t="str">
            <v>Col 4+(Col 5 /4)</v>
          </cell>
          <cell r="J6" t="str">
            <v>Col 4+(Col 5 /2)</v>
          </cell>
          <cell r="K6" t="str">
            <v>Col 4+(Col 5* 3/4)</v>
          </cell>
          <cell r="L6" t="str">
            <v>Col 4+ Col 5</v>
          </cell>
        </row>
        <row r="8">
          <cell r="C8">
            <v>0</v>
          </cell>
          <cell r="D8">
            <v>0.11025999952107668</v>
          </cell>
          <cell r="E8">
            <v>50.796950002200902</v>
          </cell>
          <cell r="F8">
            <v>928113.23722708831</v>
          </cell>
          <cell r="G8">
            <v>1739827.2227621612</v>
          </cell>
          <cell r="H8">
            <v>947319.19260935998</v>
          </cell>
          <cell r="I8">
            <v>-3.6563674453645945E-2</v>
          </cell>
          <cell r="J8">
            <v>-1.4204774580430239</v>
          </cell>
          <cell r="K8">
            <v>-4.5928650535643101E-2</v>
          </cell>
          <cell r="L8">
            <v>0.30150736402720213</v>
          </cell>
        </row>
        <row r="9">
          <cell r="B9" t="str">
            <v>ASSETS</v>
          </cell>
        </row>
        <row r="10">
          <cell r="B10" t="str">
            <v>Balance with SBP</v>
          </cell>
          <cell r="C10">
            <v>216628</v>
          </cell>
          <cell r="D10">
            <v>800456.12100000004</v>
          </cell>
          <cell r="E10">
            <v>746045.53099999996</v>
          </cell>
          <cell r="F10">
            <v>834377.23672727274</v>
          </cell>
          <cell r="G10">
            <v>384171.33775999991</v>
          </cell>
          <cell r="H10">
            <v>1187355.7647599999</v>
          </cell>
          <cell r="I10">
            <v>758636.64303749998</v>
          </cell>
          <cell r="J10">
            <v>908976.69749166653</v>
          </cell>
          <cell r="K10">
            <v>1069167.0186125</v>
          </cell>
          <cell r="L10">
            <v>1237435.3263999999</v>
          </cell>
        </row>
        <row r="11">
          <cell r="B11" t="str">
            <v>Cash in hand &amp; balances with NBP</v>
          </cell>
          <cell r="C11">
            <v>183406</v>
          </cell>
          <cell r="D11">
            <v>181281.842</v>
          </cell>
          <cell r="E11">
            <v>514363.821</v>
          </cell>
          <cell r="F11">
            <v>594975.3792727273</v>
          </cell>
          <cell r="G11">
            <v>70854</v>
          </cell>
          <cell r="H11">
            <v>255032.2</v>
          </cell>
          <cell r="I11">
            <v>189072.7</v>
          </cell>
          <cell r="J11">
            <v>211059.20000000001</v>
          </cell>
          <cell r="K11">
            <v>233045.7</v>
          </cell>
          <cell r="L11">
            <v>255032.2</v>
          </cell>
        </row>
        <row r="12">
          <cell r="B12" t="str">
            <v>Balances with other banks</v>
          </cell>
          <cell r="C12">
            <v>464908</v>
          </cell>
          <cell r="D12">
            <v>566534.97900000005</v>
          </cell>
          <cell r="E12">
            <v>357098.239</v>
          </cell>
          <cell r="F12">
            <v>410929.1072727273</v>
          </cell>
          <cell r="G12">
            <v>-309100.90000000002</v>
          </cell>
          <cell r="H12">
            <v>239362.5</v>
          </cell>
          <cell r="I12">
            <v>162583.375</v>
          </cell>
          <cell r="J12">
            <v>188009.75</v>
          </cell>
          <cell r="K12">
            <v>213936.125</v>
          </cell>
          <cell r="L12">
            <v>239362.5</v>
          </cell>
        </row>
        <row r="13">
          <cell r="B13" t="str">
            <v>Lending to financial institutions &amp; term placements</v>
          </cell>
          <cell r="C13">
            <v>1533000</v>
          </cell>
          <cell r="D13">
            <v>1345001</v>
          </cell>
          <cell r="E13">
            <v>1182000</v>
          </cell>
          <cell r="F13">
            <v>1289454.5454545454</v>
          </cell>
          <cell r="G13">
            <v>1076168</v>
          </cell>
          <cell r="H13">
            <v>2421167</v>
          </cell>
          <cell r="I13">
            <v>1719683</v>
          </cell>
          <cell r="J13">
            <v>1844524</v>
          </cell>
          <cell r="K13">
            <v>2217382</v>
          </cell>
          <cell r="L13">
            <v>2421167</v>
          </cell>
        </row>
        <row r="14">
          <cell r="B14" t="str">
            <v>Term Finance Certificates &amp; Shares investment</v>
          </cell>
          <cell r="C14">
            <v>0</v>
          </cell>
          <cell r="D14">
            <v>400997</v>
          </cell>
          <cell r="E14">
            <v>260000</v>
          </cell>
          <cell r="F14">
            <v>283636.36363636365</v>
          </cell>
          <cell r="G14">
            <v>400000</v>
          </cell>
          <cell r="H14">
            <v>800997</v>
          </cell>
          <cell r="I14">
            <v>500997</v>
          </cell>
          <cell r="J14">
            <v>600997</v>
          </cell>
          <cell r="K14">
            <v>700997</v>
          </cell>
          <cell r="L14">
            <v>800997</v>
          </cell>
        </row>
        <row r="15">
          <cell r="B15" t="str">
            <v>Investments in Government securities</v>
          </cell>
          <cell r="C15">
            <v>1339732</v>
          </cell>
          <cell r="D15">
            <v>5739497</v>
          </cell>
          <cell r="E15">
            <v>3942603.1940000001</v>
          </cell>
          <cell r="F15">
            <v>4301021.6661818186</v>
          </cell>
          <cell r="G15">
            <v>1322570.29428</v>
          </cell>
          <cell r="H15">
            <v>7062067.29428</v>
          </cell>
          <cell r="I15">
            <v>6875909.9291124996</v>
          </cell>
          <cell r="J15">
            <v>6626930.0924749989</v>
          </cell>
          <cell r="K15">
            <v>6907501.055837499</v>
          </cell>
          <cell r="L15">
            <v>7212305.9791999999</v>
          </cell>
        </row>
        <row r="17">
          <cell r="B17" t="str">
            <v xml:space="preserve">Advances </v>
          </cell>
          <cell r="C17">
            <v>0</v>
          </cell>
          <cell r="D17">
            <v>0</v>
          </cell>
        </row>
        <row r="18">
          <cell r="B18" t="str">
            <v>Performing Advances</v>
          </cell>
        </row>
        <row r="19">
          <cell r="B19" t="str">
            <v xml:space="preserve">  Advances other than EFS and FCEF</v>
          </cell>
          <cell r="C19">
            <v>2573564</v>
          </cell>
          <cell r="D19">
            <v>5984686.3640000001</v>
          </cell>
          <cell r="E19">
            <v>4727907.9690000005</v>
          </cell>
          <cell r="F19">
            <v>6218272.8704545451</v>
          </cell>
          <cell r="G19">
            <v>11549777.838</v>
          </cell>
          <cell r="H19">
            <v>17918327.564999998</v>
          </cell>
          <cell r="I19">
            <v>8519826.3560000006</v>
          </cell>
          <cell r="J19">
            <v>11468933.592333334</v>
          </cell>
          <cell r="K19">
            <v>14955076.362</v>
          </cell>
          <cell r="L19">
            <v>17918327.564999998</v>
          </cell>
        </row>
        <row r="20">
          <cell r="B20" t="str">
            <v xml:space="preserve">  EFS Advances</v>
          </cell>
          <cell r="C20">
            <v>191098</v>
          </cell>
          <cell r="D20">
            <v>423161</v>
          </cell>
          <cell r="E20">
            <v>762805</v>
          </cell>
          <cell r="F20">
            <v>524071</v>
          </cell>
          <cell r="G20">
            <v>1021728</v>
          </cell>
          <cell r="H20">
            <v>1545799</v>
          </cell>
          <cell r="I20">
            <v>1008062</v>
          </cell>
          <cell r="J20">
            <v>1257599</v>
          </cell>
          <cell r="K20">
            <v>1404199</v>
          </cell>
          <cell r="L20">
            <v>1545799</v>
          </cell>
        </row>
        <row r="21">
          <cell r="B21" t="str">
            <v xml:space="preserve">  FCEF Advances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>
            <v>2764662</v>
          </cell>
          <cell r="D22">
            <v>6407847.3640000001</v>
          </cell>
          <cell r="E22">
            <v>5490712.9690000005</v>
          </cell>
          <cell r="F22">
            <v>6742343.8704545451</v>
          </cell>
          <cell r="G22">
            <v>12571505.838</v>
          </cell>
          <cell r="H22">
            <v>19464126.564999998</v>
          </cell>
          <cell r="I22">
            <v>9527888.3560000006</v>
          </cell>
          <cell r="J22">
            <v>12726532.592333334</v>
          </cell>
          <cell r="K22">
            <v>16359275.362</v>
          </cell>
          <cell r="L22">
            <v>19464126.564999998</v>
          </cell>
        </row>
        <row r="23">
          <cell r="B23" t="str">
            <v>Classifed Advances</v>
          </cell>
        </row>
        <row r="24">
          <cell r="B24" t="str">
            <v xml:space="preserve">  Regularised / Restructured</v>
          </cell>
          <cell r="C24">
            <v>314</v>
          </cell>
          <cell r="D24">
            <v>497410</v>
          </cell>
          <cell r="E24">
            <v>456411</v>
          </cell>
          <cell r="F24">
            <v>497410</v>
          </cell>
          <cell r="G24">
            <v>-480771</v>
          </cell>
          <cell r="H24">
            <v>0</v>
          </cell>
          <cell r="I24">
            <v>497410</v>
          </cell>
          <cell r="J24">
            <v>497410</v>
          </cell>
          <cell r="K24">
            <v>0</v>
          </cell>
          <cell r="L24">
            <v>0</v>
          </cell>
        </row>
        <row r="25">
          <cell r="B25" t="str">
            <v xml:space="preserve">  Non performing advances</v>
          </cell>
          <cell r="C25">
            <v>2004878</v>
          </cell>
          <cell r="D25">
            <v>2786563</v>
          </cell>
          <cell r="E25">
            <v>2869275</v>
          </cell>
          <cell r="F25">
            <v>2786338</v>
          </cell>
          <cell r="G25">
            <v>-634369</v>
          </cell>
          <cell r="H25">
            <v>2151969</v>
          </cell>
          <cell r="I25">
            <v>2647718.75</v>
          </cell>
          <cell r="J25">
            <v>2494570.5</v>
          </cell>
          <cell r="K25">
            <v>2326933.25</v>
          </cell>
          <cell r="L25">
            <v>2151969</v>
          </cell>
        </row>
        <row r="26">
          <cell r="B26" t="str">
            <v xml:space="preserve">  Less: Provision (To be Worked out by COK)</v>
          </cell>
          <cell r="C26">
            <v>-2263516</v>
          </cell>
          <cell r="D26">
            <v>-1236448</v>
          </cell>
          <cell r="E26">
            <v>-1301156.5449999999</v>
          </cell>
          <cell r="F26">
            <v>-1419443.5036363637</v>
          </cell>
          <cell r="G26">
            <v>0</v>
          </cell>
          <cell r="H26">
            <v>-1236448</v>
          </cell>
          <cell r="I26">
            <v>-1277698</v>
          </cell>
          <cell r="J26">
            <v>-1315948</v>
          </cell>
          <cell r="K26">
            <v>-1356198</v>
          </cell>
          <cell r="L26">
            <v>-1387448</v>
          </cell>
        </row>
        <row r="27">
          <cell r="C27">
            <v>-258324</v>
          </cell>
          <cell r="D27">
            <v>2047525</v>
          </cell>
          <cell r="E27">
            <v>2024529.4550000001</v>
          </cell>
          <cell r="F27">
            <v>1864304.4963636363</v>
          </cell>
          <cell r="G27">
            <v>-1115140</v>
          </cell>
          <cell r="H27">
            <v>915521</v>
          </cell>
          <cell r="I27">
            <v>1867430.75</v>
          </cell>
          <cell r="J27">
            <v>1676032.5</v>
          </cell>
          <cell r="K27">
            <v>970735.25</v>
          </cell>
          <cell r="L27">
            <v>764521</v>
          </cell>
        </row>
        <row r="28">
          <cell r="C28">
            <v>2506338</v>
          </cell>
          <cell r="D28">
            <v>8455372.3640000001</v>
          </cell>
          <cell r="E28">
            <v>7515242.4240000006</v>
          </cell>
          <cell r="F28">
            <v>8606648.3668181822</v>
          </cell>
          <cell r="G28">
            <v>11456365.838</v>
          </cell>
          <cell r="H28">
            <v>20379647.564999998</v>
          </cell>
          <cell r="I28">
            <v>11395319.106000001</v>
          </cell>
          <cell r="J28">
            <v>14402565.092333334</v>
          </cell>
          <cell r="K28">
            <v>17330010.612</v>
          </cell>
          <cell r="L28">
            <v>20228647.564999998</v>
          </cell>
        </row>
        <row r="29">
          <cell r="B29" t="str">
            <v>Other Assets</v>
          </cell>
        </row>
        <row r="30">
          <cell r="B30" t="str">
            <v>Markup receivable on</v>
          </cell>
        </row>
        <row r="31">
          <cell r="B31" t="str">
            <v xml:space="preserve">   Performing advances</v>
          </cell>
          <cell r="C31">
            <v>259031</v>
          </cell>
          <cell r="D31">
            <v>145407.90100000001</v>
          </cell>
          <cell r="E31">
            <v>520392.62900000002</v>
          </cell>
          <cell r="F31">
            <v>173018.3548</v>
          </cell>
          <cell r="G31">
            <v>173270.75065500004</v>
          </cell>
          <cell r="H31">
            <v>443754.23840500001</v>
          </cell>
          <cell r="I31">
            <v>211683.6907025</v>
          </cell>
          <cell r="J31">
            <v>285636.09701999999</v>
          </cell>
          <cell r="K31">
            <v>370632.7495875</v>
          </cell>
          <cell r="L31">
            <v>443754.23840500001</v>
          </cell>
        </row>
        <row r="32">
          <cell r="B32" t="str">
            <v xml:space="preserve">   Regularised / Restructured advances</v>
          </cell>
          <cell r="C32">
            <v>322</v>
          </cell>
          <cell r="D32">
            <v>50057</v>
          </cell>
          <cell r="E32">
            <v>57801</v>
          </cell>
          <cell r="F32">
            <v>52180</v>
          </cell>
          <cell r="G32">
            <v>-32278</v>
          </cell>
          <cell r="H32">
            <v>16289</v>
          </cell>
          <cell r="I32">
            <v>16812</v>
          </cell>
          <cell r="J32">
            <v>16289</v>
          </cell>
          <cell r="K32">
            <v>16289</v>
          </cell>
          <cell r="L32">
            <v>16289</v>
          </cell>
        </row>
        <row r="33">
          <cell r="B33" t="str">
            <v xml:space="preserve">   Non performing advances</v>
          </cell>
          <cell r="C33">
            <v>46859</v>
          </cell>
          <cell r="D33">
            <v>729581</v>
          </cell>
          <cell r="E33">
            <v>332205</v>
          </cell>
          <cell r="F33">
            <v>725013</v>
          </cell>
          <cell r="G33">
            <v>-179757</v>
          </cell>
          <cell r="H33">
            <v>569257</v>
          </cell>
          <cell r="I33">
            <v>703943.75</v>
          </cell>
          <cell r="J33">
            <v>658504.5</v>
          </cell>
          <cell r="K33">
            <v>610886.25</v>
          </cell>
          <cell r="L33">
            <v>569257</v>
          </cell>
        </row>
        <row r="34">
          <cell r="C34">
            <v>306212</v>
          </cell>
          <cell r="D34">
            <v>925045.90100000007</v>
          </cell>
          <cell r="E34">
            <v>910398.62899999996</v>
          </cell>
          <cell r="F34">
            <v>950211.35479999997</v>
          </cell>
          <cell r="G34">
            <v>-38764.24934499996</v>
          </cell>
          <cell r="H34">
            <v>1029300.238405</v>
          </cell>
          <cell r="I34">
            <v>932439.44070250005</v>
          </cell>
          <cell r="J34">
            <v>960429.59701999999</v>
          </cell>
          <cell r="K34">
            <v>997807.9995875</v>
          </cell>
          <cell r="L34">
            <v>1029300.238405</v>
          </cell>
        </row>
        <row r="35">
          <cell r="B35" t="str">
            <v>Other receivables and prepayments</v>
          </cell>
          <cell r="C35">
            <v>516489</v>
          </cell>
          <cell r="D35">
            <v>627941.11600000004</v>
          </cell>
          <cell r="E35">
            <v>1184120.6170000001</v>
          </cell>
          <cell r="F35">
            <v>1883285.9617636364</v>
          </cell>
          <cell r="G35">
            <v>-912453.17274003918</v>
          </cell>
          <cell r="H35">
            <v>403120.42085996084</v>
          </cell>
          <cell r="I35">
            <v>203098.14264238282</v>
          </cell>
          <cell r="J35">
            <v>513724.54783730465</v>
          </cell>
          <cell r="K35">
            <v>170319.10118496089</v>
          </cell>
          <cell r="L35">
            <v>403120.42085996084</v>
          </cell>
        </row>
        <row r="36">
          <cell r="C36">
            <v>822701</v>
          </cell>
          <cell r="D36">
            <v>1552987.017</v>
          </cell>
          <cell r="E36">
            <v>2094519.246</v>
          </cell>
          <cell r="F36">
            <v>2833497.3165636365</v>
          </cell>
          <cell r="G36">
            <v>-951217.42208503908</v>
          </cell>
          <cell r="H36">
            <v>1432420.6592649608</v>
          </cell>
          <cell r="I36">
            <v>1135537.5833448828</v>
          </cell>
          <cell r="J36">
            <v>1474154.1448573046</v>
          </cell>
          <cell r="K36">
            <v>1168127.1007724609</v>
          </cell>
          <cell r="L36">
            <v>1432420.6592649608</v>
          </cell>
        </row>
        <row r="37">
          <cell r="B37" t="str">
            <v>Operating fixed assets</v>
          </cell>
          <cell r="C37">
            <v>173137</v>
          </cell>
          <cell r="D37">
            <v>405362.33500000002</v>
          </cell>
          <cell r="E37">
            <v>293449.18</v>
          </cell>
          <cell r="F37">
            <v>319844.2690909091</v>
          </cell>
          <cell r="G37">
            <v>200000</v>
          </cell>
          <cell r="H37">
            <v>812227</v>
          </cell>
          <cell r="I37">
            <v>421694</v>
          </cell>
          <cell r="J37">
            <v>689761</v>
          </cell>
          <cell r="K37">
            <v>707955</v>
          </cell>
          <cell r="L37">
            <v>812227</v>
          </cell>
        </row>
        <row r="38">
          <cell r="B38" t="str">
            <v>Deferred tax assets</v>
          </cell>
          <cell r="C38">
            <v>100230</v>
          </cell>
          <cell r="D38">
            <v>729068</v>
          </cell>
          <cell r="E38">
            <v>778777</v>
          </cell>
          <cell r="F38">
            <v>849574.90909090906</v>
          </cell>
          <cell r="G38">
            <v>-66278.909090909059</v>
          </cell>
          <cell r="H38">
            <v>662789.09090909094</v>
          </cell>
          <cell r="I38">
            <v>712498.27272727271</v>
          </cell>
          <cell r="J38">
            <v>695928.54545454541</v>
          </cell>
          <cell r="K38">
            <v>679358.81818181823</v>
          </cell>
          <cell r="L38">
            <v>662789.09090909094</v>
          </cell>
        </row>
        <row r="40">
          <cell r="B40" t="str">
            <v>Total Assets (A)</v>
          </cell>
          <cell r="C40">
            <v>7340080</v>
          </cell>
          <cell r="D40">
            <v>20176557.658</v>
          </cell>
          <cell r="E40">
            <v>17684098.635000002</v>
          </cell>
          <cell r="F40">
            <v>20323959.160109088</v>
          </cell>
          <cell r="G40">
            <v>13583532.238864051</v>
          </cell>
          <cell r="H40">
            <v>35253066.074214049</v>
          </cell>
          <cell r="I40">
            <v>23871931.609222159</v>
          </cell>
          <cell r="J40">
            <v>27642905.522611849</v>
          </cell>
          <cell r="K40">
            <v>31227480.430404276</v>
          </cell>
          <cell r="L40">
            <v>35302384.320774049</v>
          </cell>
        </row>
        <row r="41">
          <cell r="B41" t="str">
            <v>LIABILITIES</v>
          </cell>
        </row>
        <row r="42">
          <cell r="B42" t="str">
            <v>Bills payable</v>
          </cell>
          <cell r="C42">
            <v>34119</v>
          </cell>
          <cell r="D42">
            <v>155476.997</v>
          </cell>
          <cell r="E42">
            <v>118143.39</v>
          </cell>
          <cell r="F42">
            <v>101374.63974545454</v>
          </cell>
          <cell r="G42">
            <v>437816.98105</v>
          </cell>
          <cell r="H42">
            <v>549630.7612500001</v>
          </cell>
          <cell r="I42">
            <v>208736.11706249998</v>
          </cell>
          <cell r="J42">
            <v>319079.86512500001</v>
          </cell>
          <cell r="K42">
            <v>431418.61318750004</v>
          </cell>
          <cell r="L42">
            <v>549630.7612500001</v>
          </cell>
        </row>
        <row r="43">
          <cell r="B43" t="str">
            <v>Borrowings from SBP (Export Refinance)</v>
          </cell>
          <cell r="C43">
            <v>2482852</v>
          </cell>
          <cell r="D43">
            <v>476779</v>
          </cell>
          <cell r="E43">
            <v>4445722</v>
          </cell>
          <cell r="F43">
            <v>828843</v>
          </cell>
          <cell r="G43">
            <v>697557</v>
          </cell>
          <cell r="H43">
            <v>1545799</v>
          </cell>
          <cell r="I43">
            <v>840999</v>
          </cell>
          <cell r="J43">
            <v>1202599</v>
          </cell>
          <cell r="K43">
            <v>1376699</v>
          </cell>
          <cell r="L43">
            <v>1545799</v>
          </cell>
        </row>
        <row r="44">
          <cell r="B44" t="str">
            <v>Loan from SBP</v>
          </cell>
          <cell r="C44">
            <v>1500000</v>
          </cell>
          <cell r="D44">
            <v>3682852</v>
          </cell>
          <cell r="E44">
            <v>3233322</v>
          </cell>
          <cell r="F44">
            <v>2933322</v>
          </cell>
          <cell r="G44">
            <v>0</v>
          </cell>
          <cell r="H44">
            <v>3682852</v>
          </cell>
          <cell r="I44">
            <v>3682852</v>
          </cell>
          <cell r="J44">
            <v>3682852</v>
          </cell>
          <cell r="K44">
            <v>3682852</v>
          </cell>
          <cell r="L44">
            <v>3682852</v>
          </cell>
        </row>
        <row r="45">
          <cell r="B45" t="str">
            <v xml:space="preserve">Deposits </v>
          </cell>
          <cell r="C45">
            <v>5065548</v>
          </cell>
          <cell r="D45">
            <v>12321585.105999999</v>
          </cell>
          <cell r="E45">
            <v>9371275.1659999993</v>
          </cell>
          <cell r="F45">
            <v>11258347.895199999</v>
          </cell>
          <cell r="G45">
            <v>12451820.023</v>
          </cell>
          <cell r="H45">
            <v>23747115.295199998</v>
          </cell>
          <cell r="I45">
            <v>15172732.860749999</v>
          </cell>
          <cell r="J45">
            <v>18179533.94983333</v>
          </cell>
          <cell r="K45">
            <v>21383340.372249998</v>
          </cell>
          <cell r="L45">
            <v>24748706.527999997</v>
          </cell>
        </row>
        <row r="46">
          <cell r="B46" t="str">
            <v xml:space="preserve">Borrowings from SBP </v>
          </cell>
          <cell r="C46">
            <v>0</v>
          </cell>
          <cell r="D46">
            <v>1700000</v>
          </cell>
          <cell r="E46">
            <v>0</v>
          </cell>
          <cell r="F46">
            <v>0</v>
          </cell>
          <cell r="G46">
            <v>300000</v>
          </cell>
          <cell r="H46">
            <v>2000000</v>
          </cell>
          <cell r="I46">
            <v>2000000</v>
          </cell>
          <cell r="J46">
            <v>2000000</v>
          </cell>
          <cell r="K46">
            <v>2000000</v>
          </cell>
          <cell r="L46">
            <v>2000000</v>
          </cell>
        </row>
        <row r="47">
          <cell r="B47" t="str">
            <v>Other liabilities</v>
          </cell>
        </row>
        <row r="48">
          <cell r="B48" t="str">
            <v>Markup Suspense</v>
          </cell>
        </row>
        <row r="49">
          <cell r="B49" t="str">
            <v xml:space="preserve">    Regularised / Restructured advances</v>
          </cell>
          <cell r="C49">
            <v>0</v>
          </cell>
          <cell r="D49">
            <v>15311</v>
          </cell>
          <cell r="E49">
            <v>30224</v>
          </cell>
          <cell r="F49">
            <v>15311</v>
          </cell>
          <cell r="G49">
            <v>0</v>
          </cell>
          <cell r="H49">
            <v>15311</v>
          </cell>
          <cell r="I49">
            <v>15311</v>
          </cell>
          <cell r="J49">
            <v>15311</v>
          </cell>
          <cell r="K49">
            <v>15311</v>
          </cell>
          <cell r="L49">
            <v>15311</v>
          </cell>
        </row>
        <row r="50">
          <cell r="B50" t="str">
            <v xml:space="preserve">    Non performing advances</v>
          </cell>
          <cell r="C50">
            <v>260773</v>
          </cell>
          <cell r="D50">
            <v>352693</v>
          </cell>
          <cell r="E50">
            <v>339908.34100000001</v>
          </cell>
          <cell r="F50">
            <v>361150.8</v>
          </cell>
          <cell r="G50">
            <v>-3665</v>
          </cell>
          <cell r="H50">
            <v>343296</v>
          </cell>
          <cell r="I50">
            <v>345121.5</v>
          </cell>
          <cell r="J50">
            <v>344513</v>
          </cell>
          <cell r="K50">
            <v>343904.5</v>
          </cell>
          <cell r="L50">
            <v>343296</v>
          </cell>
        </row>
        <row r="51">
          <cell r="C51">
            <v>260773</v>
          </cell>
          <cell r="D51">
            <v>368004</v>
          </cell>
          <cell r="E51">
            <v>370132.34100000001</v>
          </cell>
          <cell r="F51">
            <v>376461.8</v>
          </cell>
          <cell r="G51">
            <v>-3665</v>
          </cell>
          <cell r="H51">
            <v>358607</v>
          </cell>
          <cell r="I51">
            <v>360432.5</v>
          </cell>
          <cell r="J51">
            <v>359824</v>
          </cell>
          <cell r="K51">
            <v>359215.5</v>
          </cell>
          <cell r="L51">
            <v>358607</v>
          </cell>
        </row>
        <row r="52">
          <cell r="B52" t="str">
            <v>Other liabilities</v>
          </cell>
          <cell r="C52">
            <v>181351</v>
          </cell>
          <cell r="D52">
            <v>247878.745</v>
          </cell>
          <cell r="E52">
            <v>814254.44</v>
          </cell>
          <cell r="F52">
            <v>1382898.7889090911</v>
          </cell>
          <cell r="G52">
            <v>38416.88645874997</v>
          </cell>
          <cell r="H52">
            <v>731622.56361375004</v>
          </cell>
          <cell r="I52">
            <v>323957.85059531254</v>
          </cell>
          <cell r="J52">
            <v>535400.95187229163</v>
          </cell>
          <cell r="K52">
            <v>479852.64325343753</v>
          </cell>
          <cell r="L52">
            <v>731621.56361375004</v>
          </cell>
        </row>
        <row r="53">
          <cell r="C53">
            <v>442124</v>
          </cell>
          <cell r="D53">
            <v>615882.745</v>
          </cell>
          <cell r="E53">
            <v>1184386.781</v>
          </cell>
          <cell r="F53">
            <v>1759360.5889090912</v>
          </cell>
          <cell r="G53">
            <v>34751.88645874997</v>
          </cell>
          <cell r="H53">
            <v>1090229.56361375</v>
          </cell>
          <cell r="I53">
            <v>684390.35059531254</v>
          </cell>
          <cell r="J53">
            <v>895224.95187229163</v>
          </cell>
          <cell r="K53">
            <v>839068.14325343748</v>
          </cell>
          <cell r="L53">
            <v>1090228.56361375</v>
          </cell>
        </row>
        <row r="54">
          <cell r="B54" t="str">
            <v>Liabilities against assets subject to lease finance</v>
          </cell>
          <cell r="C54">
            <v>13490</v>
          </cell>
          <cell r="D54">
            <v>4406.2550000000001</v>
          </cell>
          <cell r="E54">
            <v>4841.99</v>
          </cell>
          <cell r="F54">
            <v>5282.1709090909089</v>
          </cell>
          <cell r="G54">
            <v>-4406.2550000000001</v>
          </cell>
          <cell r="H54">
            <v>0</v>
          </cell>
          <cell r="I54">
            <v>1429</v>
          </cell>
          <cell r="J54">
            <v>2855</v>
          </cell>
          <cell r="K54">
            <v>4281</v>
          </cell>
          <cell r="L54">
            <v>0</v>
          </cell>
        </row>
        <row r="55">
          <cell r="B55" t="str">
            <v>Total Liabilities (B)</v>
          </cell>
          <cell r="C55">
            <v>9538133</v>
          </cell>
          <cell r="D55">
            <v>18956982.103</v>
          </cell>
          <cell r="E55">
            <v>15124369.327</v>
          </cell>
          <cell r="F55">
            <v>16886530.294763636</v>
          </cell>
          <cell r="G55">
            <v>13917539.63550875</v>
          </cell>
          <cell r="H55">
            <v>32615626.620063748</v>
          </cell>
          <cell r="I55">
            <v>22591139.328407813</v>
          </cell>
          <cell r="J55">
            <v>26282144.766830623</v>
          </cell>
          <cell r="K55">
            <v>29717659.128690936</v>
          </cell>
          <cell r="L55">
            <v>33617216.852863744</v>
          </cell>
        </row>
        <row r="57">
          <cell r="B57" t="str">
            <v>NET ASSETS/LIABILITIES "C=(A-B)"</v>
          </cell>
          <cell r="C57">
            <v>-2198053</v>
          </cell>
          <cell r="D57">
            <v>1219575.5549999997</v>
          </cell>
          <cell r="E57">
            <v>2559729.3080000021</v>
          </cell>
          <cell r="F57">
            <v>3437428.865345452</v>
          </cell>
          <cell r="G57">
            <v>-334007.39664469846</v>
          </cell>
          <cell r="H57">
            <v>2637439.4541503005</v>
          </cell>
          <cell r="I57">
            <v>1280792.2808143459</v>
          </cell>
          <cell r="J57">
            <v>1360760.7557812259</v>
          </cell>
          <cell r="K57">
            <v>1509821.30171334</v>
          </cell>
          <cell r="L57">
            <v>1685167.4679103047</v>
          </cell>
        </row>
        <row r="59">
          <cell r="B59" t="str">
            <v>REPRESENTED BY:</v>
          </cell>
        </row>
        <row r="60">
          <cell r="B60" t="str">
            <v>Capital</v>
          </cell>
          <cell r="C60">
            <v>1166667</v>
          </cell>
          <cell r="D60">
            <v>1500000</v>
          </cell>
          <cell r="E60">
            <v>1500000</v>
          </cell>
          <cell r="F60">
            <v>1500000</v>
          </cell>
          <cell r="G60">
            <v>0</v>
          </cell>
          <cell r="H60">
            <v>1500000</v>
          </cell>
          <cell r="I60">
            <v>1500000</v>
          </cell>
          <cell r="J60">
            <v>1500000</v>
          </cell>
          <cell r="K60">
            <v>1500000</v>
          </cell>
          <cell r="L60">
            <v>1500000</v>
          </cell>
        </row>
        <row r="61">
          <cell r="B61" t="str">
            <v>Reserves</v>
          </cell>
          <cell r="C61">
            <v>-716825</v>
          </cell>
          <cell r="D61">
            <v>-898955.20799999998</v>
          </cell>
          <cell r="E61">
            <v>-492644.38</v>
          </cell>
          <cell r="F61">
            <v>-492644.38</v>
          </cell>
          <cell r="G61">
            <v>0</v>
          </cell>
          <cell r="H61">
            <v>-898955.20799999998</v>
          </cell>
          <cell r="I61">
            <v>-610204.20799999998</v>
          </cell>
          <cell r="J61">
            <v>-610204.20799999998</v>
          </cell>
          <cell r="K61">
            <v>-610204.20799999998</v>
          </cell>
          <cell r="L61">
            <v>-610204.20799999998</v>
          </cell>
        </row>
        <row r="62">
          <cell r="B62" t="str">
            <v>Surplus on revaluation of investment</v>
          </cell>
          <cell r="C62">
            <v>0</v>
          </cell>
          <cell r="D62">
            <v>350969.02399999998</v>
          </cell>
          <cell r="E62">
            <v>0</v>
          </cell>
          <cell r="F62">
            <v>0</v>
          </cell>
          <cell r="G62">
            <v>-300000</v>
          </cell>
          <cell r="H62">
            <v>50969.023999999976</v>
          </cell>
          <cell r="I62">
            <v>250969.02399999998</v>
          </cell>
          <cell r="J62">
            <v>200969.02399999998</v>
          </cell>
          <cell r="K62">
            <v>150969.02399999998</v>
          </cell>
          <cell r="L62">
            <v>90969.023999999976</v>
          </cell>
        </row>
        <row r="63">
          <cell r="B63" t="str">
            <v xml:space="preserve">(Lending)/Borrowing from HO "E=(C-/+D) </v>
          </cell>
          <cell r="C63">
            <v>2767</v>
          </cell>
          <cell r="D63">
            <v>-21191.845999999903</v>
          </cell>
          <cell r="E63">
            <v>1476360.3789999997</v>
          </cell>
          <cell r="F63">
            <v>1388971.4225999997</v>
          </cell>
          <cell r="G63">
            <v>-2075714.4476085003</v>
          </cell>
          <cell r="H63">
            <v>0</v>
          </cell>
          <cell r="I63">
            <v>-841</v>
          </cell>
          <cell r="J63">
            <v>-1038</v>
          </cell>
          <cell r="K63">
            <v>-1109</v>
          </cell>
          <cell r="L63">
            <v>-1234</v>
          </cell>
        </row>
        <row r="64">
          <cell r="B64" t="str">
            <v>Branch profit / (loss)         "D"</v>
          </cell>
          <cell r="C64">
            <v>-2650657</v>
          </cell>
          <cell r="D64">
            <v>288751.47474000003</v>
          </cell>
          <cell r="E64">
            <v>75962.512050000048</v>
          </cell>
          <cell r="F64">
            <v>112988.58551836369</v>
          </cell>
          <cell r="G64">
            <v>301879.82820164057</v>
          </cell>
          <cell r="H64">
            <v>1038106.4455409406</v>
          </cell>
          <cell r="I64">
            <v>140868.50137802036</v>
          </cell>
          <cell r="J64">
            <v>271035.3602586838</v>
          </cell>
          <cell r="K64">
            <v>470164.53164199064</v>
          </cell>
          <cell r="L64">
            <v>705635.35040294076</v>
          </cell>
        </row>
        <row r="66">
          <cell r="B66" t="str">
            <v xml:space="preserve">Total </v>
          </cell>
          <cell r="C66">
            <v>-2198053</v>
          </cell>
          <cell r="D66">
            <v>1219575.4447400002</v>
          </cell>
          <cell r="E66">
            <v>2559678.5110499999</v>
          </cell>
          <cell r="F66">
            <v>2509315.6281183637</v>
          </cell>
          <cell r="G66">
            <v>-2073834.6194068596</v>
          </cell>
          <cell r="H66">
            <v>1690120.2615409405</v>
          </cell>
          <cell r="I66">
            <v>1280792.3173780204</v>
          </cell>
          <cell r="J66">
            <v>1360762.1762586839</v>
          </cell>
          <cell r="K66">
            <v>1509821.3476419905</v>
          </cell>
          <cell r="L66">
            <v>1685167.1664029406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FBP"/>
      <sheetName val="LC"/>
      <sheetName val="ORP"/>
      <sheetName val="ORS"/>
      <sheetName val="FWD PS BK"/>
      <sheetName val="FWD SALE"/>
      <sheetName val="FWD"/>
      <sheetName val="BK"/>
      <sheetName val="BR"/>
      <sheetName val="DF"/>
      <sheetName val="koszty"/>
      <sheetName val="mex95ib"/>
      <sheetName val="data"/>
      <sheetName val="43-45.2"/>
      <sheetName val="DİREKTÖRLÜK DATA F (2003)"/>
      <sheetName val="Scoping"/>
      <sheetName val="Drop down"/>
      <sheetName val="42-44.2"/>
      <sheetName val="sayfa 3"/>
      <sheetName val="acct"/>
      <sheetName val="NORMAL"/>
      <sheetName val="ANA"/>
      <sheetName val="F-RR"/>
      <sheetName val="F-HL"/>
      <sheetName val="SUM"/>
      <sheetName val="F-REP"/>
      <sheetName val="2003"/>
      <sheetName val="budget"/>
      <sheetName val="Year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C4" t="str">
            <v xml:space="preserve">FSD </v>
          </cell>
          <cell r="D4" t="str">
            <v>Faisalabad Branch</v>
          </cell>
          <cell r="E4">
            <v>7801</v>
          </cell>
        </row>
        <row r="5">
          <cell r="C5" t="str">
            <v>FSD2</v>
          </cell>
          <cell r="D5" t="str">
            <v>Satyana Road Branch</v>
          </cell>
          <cell r="E5">
            <v>7802</v>
          </cell>
        </row>
        <row r="6">
          <cell r="C6" t="str">
            <v>GRT</v>
          </cell>
          <cell r="D6" t="str">
            <v>Gujrat Branch</v>
          </cell>
          <cell r="E6">
            <v>7021</v>
          </cell>
        </row>
        <row r="7">
          <cell r="C7" t="str">
            <v>GUB</v>
          </cell>
          <cell r="D7" t="str">
            <v>Gulberg Branch</v>
          </cell>
          <cell r="E7">
            <v>7503</v>
          </cell>
        </row>
        <row r="8">
          <cell r="C8" t="str">
            <v>GUJ</v>
          </cell>
          <cell r="D8" t="str">
            <v>Gujranwala Branch</v>
          </cell>
          <cell r="E8">
            <v>7503</v>
          </cell>
        </row>
        <row r="9">
          <cell r="C9" t="str">
            <v>GUJ</v>
          </cell>
          <cell r="D9" t="str">
            <v>Gujranwala Branch</v>
          </cell>
          <cell r="E9">
            <v>7031</v>
          </cell>
        </row>
        <row r="10">
          <cell r="C10" t="str">
            <v>ISD1</v>
          </cell>
          <cell r="D10" t="str">
            <v>Saudi Pak Tower Branch</v>
          </cell>
          <cell r="E10">
            <v>5801</v>
          </cell>
        </row>
        <row r="11">
          <cell r="C11" t="str">
            <v>ISD2</v>
          </cell>
          <cell r="D11" t="str">
            <v>Awan Arcade Branch</v>
          </cell>
          <cell r="E11">
            <v>6036</v>
          </cell>
        </row>
        <row r="12">
          <cell r="C12" t="str">
            <v>ISD3</v>
          </cell>
          <cell r="D12" t="str">
            <v>Chnagez Plaza Branch</v>
          </cell>
          <cell r="E12">
            <v>5803</v>
          </cell>
        </row>
        <row r="13">
          <cell r="C13" t="str">
            <v>JLM</v>
          </cell>
          <cell r="D13" t="str">
            <v>Jhelum Branch</v>
          </cell>
          <cell r="E13">
            <v>5611</v>
          </cell>
        </row>
        <row r="14">
          <cell r="C14" t="str">
            <v>KHI</v>
          </cell>
          <cell r="D14" t="str">
            <v>Karachi Main Branch</v>
          </cell>
          <cell r="E14">
            <v>6101</v>
          </cell>
        </row>
        <row r="15">
          <cell r="C15" t="str">
            <v>KHI2</v>
          </cell>
          <cell r="D15" t="str">
            <v>Clifton Branch</v>
          </cell>
          <cell r="E15">
            <v>6102</v>
          </cell>
        </row>
        <row r="16">
          <cell r="C16" t="str">
            <v>KHI3</v>
          </cell>
          <cell r="D16" t="str">
            <v>Al-Rahim Tower Branch</v>
          </cell>
          <cell r="E16">
            <v>6103</v>
          </cell>
        </row>
        <row r="17">
          <cell r="C17" t="str">
            <v>KHI4</v>
          </cell>
          <cell r="D17" t="str">
            <v>D.H.A.  Phase 1</v>
          </cell>
          <cell r="E17">
            <v>6106</v>
          </cell>
        </row>
        <row r="18">
          <cell r="C18" t="str">
            <v>KHI5</v>
          </cell>
          <cell r="D18" t="str">
            <v>D.H.A.  26 Street</v>
          </cell>
          <cell r="E18">
            <v>6105</v>
          </cell>
        </row>
        <row r="19">
          <cell r="C19" t="str">
            <v>KHI6</v>
          </cell>
          <cell r="D19" t="str">
            <v>Dadex Branch, Shara-e-Faisal</v>
          </cell>
        </row>
        <row r="20">
          <cell r="C20" t="str">
            <v>LHR</v>
          </cell>
          <cell r="D20" t="str">
            <v>Lahore Main Branch</v>
          </cell>
          <cell r="E20">
            <v>6214</v>
          </cell>
        </row>
        <row r="21">
          <cell r="C21" t="str">
            <v>LHR2</v>
          </cell>
          <cell r="D21" t="str">
            <v>Brandreth Road Branch</v>
          </cell>
          <cell r="E21">
            <v>7502</v>
          </cell>
        </row>
        <row r="22">
          <cell r="C22" t="str">
            <v>LHR4</v>
          </cell>
          <cell r="D22" t="str">
            <v>L..C.C.H.S.  Branch</v>
          </cell>
          <cell r="E22">
            <v>7504</v>
          </cell>
        </row>
        <row r="23">
          <cell r="C23" t="str">
            <v>LHR5</v>
          </cell>
          <cell r="D23" t="str">
            <v>Shadman Market Branch</v>
          </cell>
          <cell r="E23">
            <v>7405</v>
          </cell>
        </row>
        <row r="24">
          <cell r="C24" t="str">
            <v>LHR6</v>
          </cell>
          <cell r="D24" t="str">
            <v>D.H.A. PH. 3, Branch</v>
          </cell>
          <cell r="E24">
            <v>7507</v>
          </cell>
        </row>
        <row r="25">
          <cell r="C25" t="str">
            <v>LHR7</v>
          </cell>
          <cell r="D25" t="str">
            <v>Lahore Cannt Branch</v>
          </cell>
          <cell r="E25">
            <v>7501</v>
          </cell>
        </row>
        <row r="26">
          <cell r="C26" t="str">
            <v>MGR</v>
          </cell>
          <cell r="D26" t="str">
            <v>Maingora Branch, SWT</v>
          </cell>
          <cell r="E26">
            <v>5631</v>
          </cell>
        </row>
        <row r="27">
          <cell r="C27" t="str">
            <v>MLT</v>
          </cell>
          <cell r="D27" t="str">
            <v>Multan Branch</v>
          </cell>
          <cell r="E27">
            <v>7831</v>
          </cell>
        </row>
        <row r="28">
          <cell r="C28" t="str">
            <v>MRD</v>
          </cell>
          <cell r="D28" t="str">
            <v>Mardan Branch</v>
          </cell>
          <cell r="E28">
            <v>5621</v>
          </cell>
        </row>
        <row r="29">
          <cell r="C29" t="str">
            <v>MRP</v>
          </cell>
          <cell r="D29" t="str">
            <v>Mirpur AZ Kashmir Branch</v>
          </cell>
          <cell r="E29">
            <v>5601</v>
          </cell>
        </row>
        <row r="30">
          <cell r="C30" t="str">
            <v>PEW1</v>
          </cell>
          <cell r="D30" t="str">
            <v>Peshawer Main Branch</v>
          </cell>
          <cell r="E30">
            <v>5651</v>
          </cell>
        </row>
        <row r="31">
          <cell r="C31" t="str">
            <v>PEW2</v>
          </cell>
          <cell r="D31" t="str">
            <v>Hyatabad Branch</v>
          </cell>
          <cell r="E31">
            <v>5652</v>
          </cell>
        </row>
        <row r="32">
          <cell r="C32" t="str">
            <v>QTA</v>
          </cell>
          <cell r="D32" t="str">
            <v>Quetta Branch</v>
          </cell>
          <cell r="E32">
            <v>6051</v>
          </cell>
        </row>
        <row r="33">
          <cell r="C33" t="str">
            <v>RVD</v>
          </cell>
          <cell r="D33" t="str">
            <v>Raiwind Branch</v>
          </cell>
          <cell r="E33">
            <v>7301</v>
          </cell>
        </row>
        <row r="34">
          <cell r="C34" t="str">
            <v>RWP</v>
          </cell>
          <cell r="D34" t="str">
            <v>The Mall Road, RWP Branch</v>
          </cell>
          <cell r="E34">
            <v>5851</v>
          </cell>
        </row>
        <row r="35">
          <cell r="C35" t="str">
            <v>SGD</v>
          </cell>
          <cell r="D35" t="str">
            <v>Sargohad Branch</v>
          </cell>
          <cell r="E35">
            <v>7841</v>
          </cell>
        </row>
        <row r="36">
          <cell r="C36" t="str">
            <v>SKT</v>
          </cell>
          <cell r="D36" t="str">
            <v>Sialkot Branch</v>
          </cell>
          <cell r="E36">
            <v>7011</v>
          </cell>
        </row>
      </sheetData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NCurrent"/>
      <sheetName val="CashData"/>
      <sheetName val="Vs Budget"/>
      <sheetName val="ProdDataDec08"/>
      <sheetName val="ProdDataCutstomer"/>
      <sheetName val="ProductGroup"/>
      <sheetName val="Group wise Deposits"/>
      <sheetName val="Bank"/>
      <sheetName val="FCY"/>
      <sheetName val="BrData"/>
      <sheetName val="T24"/>
      <sheetName val="Parameter"/>
      <sheetName val="CCP"/>
      <sheetName val="Sheet1"/>
      <sheetName val="Sheet2"/>
      <sheetName val="Sheet3"/>
      <sheetName val="Non-Statistical Sampling"/>
      <sheetName val="summary"/>
      <sheetName val="2000 Variables"/>
    </sheetNames>
    <sheetDataSet>
      <sheetData sheetId="0" refreshError="1"/>
      <sheetData sheetId="1" refreshError="1">
        <row r="1">
          <cell r="A1" t="str">
            <v>BranchID</v>
          </cell>
          <cell r="B1" t="str">
            <v>Cash</v>
          </cell>
          <cell r="C1" t="str">
            <v>Current</v>
          </cell>
        </row>
        <row r="2">
          <cell r="A2" t="str">
            <v>0002</v>
          </cell>
          <cell r="B2">
            <v>10.691800000000001</v>
          </cell>
          <cell r="C2">
            <v>80.091999999999999</v>
          </cell>
        </row>
        <row r="3">
          <cell r="A3" t="str">
            <v>0003</v>
          </cell>
          <cell r="B3">
            <v>7.4347000000000003</v>
          </cell>
          <cell r="C3">
            <v>599.87509999999997</v>
          </cell>
        </row>
        <row r="4">
          <cell r="A4" t="str">
            <v>0004</v>
          </cell>
          <cell r="B4">
            <v>5.9505999999999997</v>
          </cell>
          <cell r="C4">
            <v>177.78229999999999</v>
          </cell>
        </row>
        <row r="5">
          <cell r="A5" t="str">
            <v>0005</v>
          </cell>
          <cell r="B5">
            <v>84.164599999999993</v>
          </cell>
          <cell r="C5">
            <v>1025.7724000000001</v>
          </cell>
        </row>
        <row r="6">
          <cell r="A6" t="str">
            <v>0006</v>
          </cell>
          <cell r="B6">
            <v>87.159000000000006</v>
          </cell>
          <cell r="C6">
            <v>578.10170000000005</v>
          </cell>
        </row>
        <row r="7">
          <cell r="A7" t="str">
            <v>0007</v>
          </cell>
          <cell r="B7">
            <v>162.3006</v>
          </cell>
          <cell r="C7">
            <v>498.59679999999997</v>
          </cell>
        </row>
        <row r="8">
          <cell r="A8" t="str">
            <v>0008</v>
          </cell>
          <cell r="B8">
            <v>37.261899999999997</v>
          </cell>
          <cell r="C8">
            <v>513.30489999999998</v>
          </cell>
        </row>
        <row r="9">
          <cell r="A9" t="str">
            <v>0009</v>
          </cell>
          <cell r="B9">
            <v>9.202</v>
          </cell>
          <cell r="C9">
            <v>364.04700000000003</v>
          </cell>
        </row>
        <row r="10">
          <cell r="A10" t="str">
            <v>0010</v>
          </cell>
          <cell r="B10">
            <v>5.4309000000000003</v>
          </cell>
          <cell r="C10">
            <v>229.7962</v>
          </cell>
        </row>
        <row r="11">
          <cell r="A11" t="str">
            <v>0011</v>
          </cell>
          <cell r="B11">
            <v>9.3214000000000006</v>
          </cell>
          <cell r="C11">
            <v>317.82510000000002</v>
          </cell>
        </row>
        <row r="12">
          <cell r="A12" t="str">
            <v>0012</v>
          </cell>
          <cell r="B12">
            <v>12.1654</v>
          </cell>
          <cell r="C12">
            <v>287.76679999999999</v>
          </cell>
        </row>
        <row r="13">
          <cell r="A13" t="str">
            <v>0013</v>
          </cell>
          <cell r="B13">
            <v>5.4842000000000004</v>
          </cell>
          <cell r="C13">
            <v>358.9409</v>
          </cell>
        </row>
        <row r="14">
          <cell r="A14" t="str">
            <v>0014</v>
          </cell>
          <cell r="B14">
            <v>8.7149999999999999</v>
          </cell>
          <cell r="C14">
            <v>272.28100000000001</v>
          </cell>
        </row>
        <row r="15">
          <cell r="A15" t="str">
            <v>0015</v>
          </cell>
          <cell r="B15">
            <v>11.128399999999999</v>
          </cell>
          <cell r="C15">
            <v>629.65470000000005</v>
          </cell>
        </row>
        <row r="16">
          <cell r="A16" t="str">
            <v>0016</v>
          </cell>
          <cell r="B16">
            <v>13.015599999999999</v>
          </cell>
          <cell r="C16">
            <v>311.88729999999998</v>
          </cell>
        </row>
        <row r="17">
          <cell r="A17" t="str">
            <v>0017</v>
          </cell>
          <cell r="B17">
            <v>8.6449999999999996</v>
          </cell>
          <cell r="C17">
            <v>163.12989999999999</v>
          </cell>
        </row>
        <row r="18">
          <cell r="A18" t="str">
            <v>0018</v>
          </cell>
          <cell r="B18">
            <v>3.8957999999999999</v>
          </cell>
          <cell r="C18">
            <v>527.71209999999996</v>
          </cell>
        </row>
        <row r="19">
          <cell r="A19" t="str">
            <v>0019</v>
          </cell>
          <cell r="B19">
            <v>8.7097999999999995</v>
          </cell>
          <cell r="C19">
            <v>394.83530000000002</v>
          </cell>
        </row>
        <row r="20">
          <cell r="A20" t="str">
            <v>0020</v>
          </cell>
          <cell r="B20">
            <v>6.2544000000000004</v>
          </cell>
          <cell r="C20">
            <v>254.82419999999999</v>
          </cell>
        </row>
        <row r="21">
          <cell r="A21" t="str">
            <v>0021</v>
          </cell>
          <cell r="B21">
            <v>6.0967000000000002</v>
          </cell>
          <cell r="C21">
            <v>727.71190000000001</v>
          </cell>
        </row>
        <row r="22">
          <cell r="A22" t="str">
            <v>0022</v>
          </cell>
          <cell r="B22">
            <v>2.8174999999999999</v>
          </cell>
          <cell r="C22">
            <v>75.938000000000002</v>
          </cell>
        </row>
        <row r="23">
          <cell r="A23" t="str">
            <v>0023</v>
          </cell>
          <cell r="B23">
            <v>8.2448999999999995</v>
          </cell>
          <cell r="C23">
            <v>235.61349999999999</v>
          </cell>
        </row>
        <row r="24">
          <cell r="A24" t="str">
            <v>0024</v>
          </cell>
          <cell r="B24">
            <v>6.7946</v>
          </cell>
          <cell r="C24">
            <v>320.28579999999999</v>
          </cell>
        </row>
        <row r="25">
          <cell r="A25" t="str">
            <v>0025</v>
          </cell>
          <cell r="B25">
            <v>4.9500999999999999</v>
          </cell>
          <cell r="C25">
            <v>327.86610000000002</v>
          </cell>
        </row>
        <row r="26">
          <cell r="A26" t="str">
            <v>0026</v>
          </cell>
          <cell r="B26">
            <v>12.1312</v>
          </cell>
          <cell r="C26">
            <v>816.94349999999997</v>
          </cell>
        </row>
        <row r="27">
          <cell r="A27" t="str">
            <v>0027</v>
          </cell>
          <cell r="B27">
            <v>11.079499999999999</v>
          </cell>
          <cell r="C27">
            <v>865.88869999999997</v>
          </cell>
        </row>
        <row r="28">
          <cell r="A28" t="str">
            <v>0028</v>
          </cell>
          <cell r="B28">
            <v>74.478200000000001</v>
          </cell>
          <cell r="C28">
            <v>1422.425</v>
          </cell>
        </row>
        <row r="29">
          <cell r="A29" t="str">
            <v>0029</v>
          </cell>
          <cell r="B29">
            <v>14.970700000000001</v>
          </cell>
          <cell r="C29">
            <v>456.98270000000002</v>
          </cell>
        </row>
        <row r="30">
          <cell r="A30" t="str">
            <v>0030</v>
          </cell>
          <cell r="B30">
            <v>12.351699999999999</v>
          </cell>
          <cell r="C30">
            <v>278.93079999999998</v>
          </cell>
        </row>
        <row r="31">
          <cell r="A31" t="str">
            <v>0031</v>
          </cell>
          <cell r="B31">
            <v>16.719100000000001</v>
          </cell>
          <cell r="C31">
            <v>0</v>
          </cell>
        </row>
        <row r="32">
          <cell r="A32" t="str">
            <v>0032</v>
          </cell>
          <cell r="B32">
            <v>51.882599999999996</v>
          </cell>
          <cell r="C32">
            <v>708.90189999999996</v>
          </cell>
        </row>
        <row r="33">
          <cell r="A33" t="str">
            <v>0033</v>
          </cell>
          <cell r="B33">
            <v>34.540399999999998</v>
          </cell>
          <cell r="C33">
            <v>363.35700000000003</v>
          </cell>
        </row>
        <row r="34">
          <cell r="A34" t="str">
            <v>0034</v>
          </cell>
          <cell r="B34">
            <v>122.0414</v>
          </cell>
          <cell r="C34">
            <v>325.0213</v>
          </cell>
        </row>
        <row r="35">
          <cell r="A35" t="str">
            <v>0035</v>
          </cell>
          <cell r="B35">
            <v>85.491799999999998</v>
          </cell>
          <cell r="C35">
            <v>985.76969999999994</v>
          </cell>
        </row>
        <row r="36">
          <cell r="A36" t="str">
            <v>0036</v>
          </cell>
          <cell r="B36">
            <v>86.683000000000007</v>
          </cell>
          <cell r="C36">
            <v>797.54280000000006</v>
          </cell>
        </row>
        <row r="37">
          <cell r="A37" t="str">
            <v>0037</v>
          </cell>
          <cell r="B37">
            <v>41.842300000000002</v>
          </cell>
          <cell r="C37">
            <v>718.86389999999994</v>
          </cell>
        </row>
        <row r="38">
          <cell r="A38" t="str">
            <v>0038</v>
          </cell>
          <cell r="B38">
            <v>13.903600000000001</v>
          </cell>
          <cell r="C38">
            <v>354.03199999999998</v>
          </cell>
        </row>
        <row r="39">
          <cell r="A39" t="str">
            <v>0039</v>
          </cell>
          <cell r="B39">
            <v>35.7667</v>
          </cell>
          <cell r="C39">
            <v>522.56060000000002</v>
          </cell>
        </row>
        <row r="40">
          <cell r="A40" t="str">
            <v>0040</v>
          </cell>
          <cell r="B40">
            <v>4.2752999999999997</v>
          </cell>
          <cell r="C40">
            <v>171.5427</v>
          </cell>
        </row>
        <row r="41">
          <cell r="A41" t="str">
            <v>0041</v>
          </cell>
          <cell r="B41">
            <v>28.712299999999999</v>
          </cell>
          <cell r="C41">
            <v>749.20870000000002</v>
          </cell>
        </row>
        <row r="42">
          <cell r="A42" t="str">
            <v>0042</v>
          </cell>
          <cell r="B42">
            <v>22.92</v>
          </cell>
          <cell r="C42">
            <v>436.09829999999999</v>
          </cell>
        </row>
        <row r="43">
          <cell r="A43" t="str">
            <v>0043</v>
          </cell>
          <cell r="B43">
            <v>11.6104</v>
          </cell>
          <cell r="C43">
            <v>248.42060000000001</v>
          </cell>
        </row>
        <row r="44">
          <cell r="A44" t="str">
            <v>0044</v>
          </cell>
          <cell r="B44">
            <v>22.731999999999999</v>
          </cell>
          <cell r="C44">
            <v>796.3655</v>
          </cell>
        </row>
        <row r="45">
          <cell r="A45" t="str">
            <v>0045</v>
          </cell>
          <cell r="B45">
            <v>12.316599999999999</v>
          </cell>
          <cell r="C45">
            <v>332.96249999999998</v>
          </cell>
        </row>
        <row r="46">
          <cell r="A46" t="str">
            <v>0046</v>
          </cell>
          <cell r="B46">
            <v>23.841000000000001</v>
          </cell>
          <cell r="C46">
            <v>688.17229999999995</v>
          </cell>
        </row>
        <row r="47">
          <cell r="A47" t="str">
            <v>0047</v>
          </cell>
          <cell r="B47">
            <v>39.503700000000002</v>
          </cell>
          <cell r="C47">
            <v>335.86610000000002</v>
          </cell>
        </row>
        <row r="48">
          <cell r="A48" t="str">
            <v>0048</v>
          </cell>
          <cell r="B48">
            <v>10.3247</v>
          </cell>
          <cell r="C48">
            <v>184.82079999999999</v>
          </cell>
        </row>
        <row r="49">
          <cell r="A49" t="str">
            <v>0052</v>
          </cell>
          <cell r="B49">
            <v>16.665099999999999</v>
          </cell>
          <cell r="C49">
            <v>229.02699999999999</v>
          </cell>
        </row>
        <row r="50">
          <cell r="A50" t="str">
            <v>0053</v>
          </cell>
          <cell r="B50">
            <v>35.248800000000003</v>
          </cell>
          <cell r="C50">
            <v>812.3759</v>
          </cell>
        </row>
        <row r="51">
          <cell r="A51" t="str">
            <v>0054</v>
          </cell>
          <cell r="B51">
            <v>18.755299999999998</v>
          </cell>
          <cell r="C51">
            <v>250.0274</v>
          </cell>
        </row>
        <row r="52">
          <cell r="A52" t="str">
            <v>0055</v>
          </cell>
          <cell r="B52">
            <v>14.5969</v>
          </cell>
          <cell r="C52">
            <v>148.34129999999999</v>
          </cell>
        </row>
        <row r="53">
          <cell r="A53" t="str">
            <v>0056</v>
          </cell>
          <cell r="B53">
            <v>33.5488</v>
          </cell>
          <cell r="C53">
            <v>514.50239999999997</v>
          </cell>
        </row>
        <row r="54">
          <cell r="A54" t="str">
            <v>0057</v>
          </cell>
          <cell r="B54">
            <v>13.8576</v>
          </cell>
          <cell r="C54">
            <v>331.94200000000001</v>
          </cell>
        </row>
        <row r="55">
          <cell r="A55" t="str">
            <v>0058</v>
          </cell>
          <cell r="B55">
            <v>19.7134</v>
          </cell>
          <cell r="C55">
            <v>200.60079999999999</v>
          </cell>
        </row>
        <row r="56">
          <cell r="A56" t="str">
            <v>0059</v>
          </cell>
          <cell r="B56">
            <v>4.6825999999999999</v>
          </cell>
          <cell r="C56">
            <v>151.84630000000001</v>
          </cell>
        </row>
        <row r="57">
          <cell r="A57" t="str">
            <v>0060</v>
          </cell>
          <cell r="B57">
            <v>22.986999999999998</v>
          </cell>
          <cell r="C57">
            <v>763.80259999999998</v>
          </cell>
        </row>
        <row r="58">
          <cell r="A58" t="str">
            <v>0061</v>
          </cell>
          <cell r="B58">
            <v>14.868499999999999</v>
          </cell>
          <cell r="C58">
            <v>358.29660000000001</v>
          </cell>
        </row>
        <row r="59">
          <cell r="A59" t="str">
            <v>0062</v>
          </cell>
          <cell r="B59">
            <v>7.6456999999999997</v>
          </cell>
          <cell r="C59">
            <v>182.02770000000001</v>
          </cell>
        </row>
        <row r="60">
          <cell r="A60" t="str">
            <v>0063</v>
          </cell>
          <cell r="B60">
            <v>10.1877</v>
          </cell>
          <cell r="C60">
            <v>349.33670000000001</v>
          </cell>
        </row>
        <row r="61">
          <cell r="A61" t="str">
            <v>0064</v>
          </cell>
          <cell r="B61">
            <v>49.460099999999997</v>
          </cell>
          <cell r="C61">
            <v>501.01490000000001</v>
          </cell>
        </row>
        <row r="62">
          <cell r="A62" t="str">
            <v>0065</v>
          </cell>
          <cell r="B62">
            <v>24.4542</v>
          </cell>
          <cell r="C62">
            <v>241.29689999999999</v>
          </cell>
        </row>
        <row r="63">
          <cell r="A63" t="str">
            <v>0066</v>
          </cell>
          <cell r="B63">
            <v>23.1281</v>
          </cell>
          <cell r="C63">
            <v>427.66320000000002</v>
          </cell>
        </row>
        <row r="64">
          <cell r="A64" t="str">
            <v>0067</v>
          </cell>
          <cell r="B64">
            <v>23.500499999999999</v>
          </cell>
          <cell r="C64">
            <v>332.15839999999997</v>
          </cell>
        </row>
        <row r="65">
          <cell r="A65" t="str">
            <v>0068</v>
          </cell>
          <cell r="B65">
            <v>11.886100000000001</v>
          </cell>
          <cell r="C65">
            <v>324.94709999999998</v>
          </cell>
        </row>
        <row r="66">
          <cell r="A66" t="str">
            <v>0069</v>
          </cell>
          <cell r="B66">
            <v>9.3277999999999999</v>
          </cell>
          <cell r="C66">
            <v>239.24969999999999</v>
          </cell>
        </row>
        <row r="67">
          <cell r="A67" t="str">
            <v>0070</v>
          </cell>
          <cell r="B67">
            <v>36.117800000000003</v>
          </cell>
          <cell r="C67">
            <v>211.34</v>
          </cell>
        </row>
        <row r="68">
          <cell r="A68" t="str">
            <v>0071</v>
          </cell>
          <cell r="B68">
            <v>22.468</v>
          </cell>
          <cell r="C68">
            <v>151.48650000000001</v>
          </cell>
        </row>
        <row r="69">
          <cell r="A69" t="str">
            <v>0072</v>
          </cell>
          <cell r="B69">
            <v>29.129799999999999</v>
          </cell>
          <cell r="C69">
            <v>265.50220000000002</v>
          </cell>
        </row>
        <row r="70">
          <cell r="A70" t="str">
            <v>0073</v>
          </cell>
          <cell r="B70">
            <v>22.089700000000001</v>
          </cell>
          <cell r="C70">
            <v>196.23849999999999</v>
          </cell>
        </row>
        <row r="71">
          <cell r="A71" t="str">
            <v>0074</v>
          </cell>
          <cell r="B71">
            <v>10.9543</v>
          </cell>
          <cell r="C71">
            <v>166.76130000000001</v>
          </cell>
        </row>
        <row r="72">
          <cell r="A72" t="str">
            <v>0075</v>
          </cell>
          <cell r="B72">
            <v>3.3408000000000002</v>
          </cell>
          <cell r="C72">
            <v>250.40960000000001</v>
          </cell>
        </row>
        <row r="73">
          <cell r="A73" t="str">
            <v>0076</v>
          </cell>
          <cell r="B73">
            <v>12.5694</v>
          </cell>
          <cell r="C73">
            <v>398.7756</v>
          </cell>
        </row>
        <row r="74">
          <cell r="A74" t="str">
            <v>0077</v>
          </cell>
          <cell r="B74">
            <v>6.4123999999999999</v>
          </cell>
          <cell r="C74">
            <v>193.24780000000001</v>
          </cell>
        </row>
        <row r="75">
          <cell r="A75" t="str">
            <v>0078</v>
          </cell>
          <cell r="B75">
            <v>20.367999999999999</v>
          </cell>
          <cell r="C75">
            <v>263.1995</v>
          </cell>
        </row>
        <row r="76">
          <cell r="A76" t="str">
            <v>0079</v>
          </cell>
          <cell r="B76">
            <v>14.5063</v>
          </cell>
          <cell r="C76">
            <v>142.97929999999999</v>
          </cell>
        </row>
        <row r="77">
          <cell r="A77" t="str">
            <v>0080</v>
          </cell>
          <cell r="B77">
            <v>7.9398</v>
          </cell>
          <cell r="C77">
            <v>115.42189999999999</v>
          </cell>
        </row>
        <row r="78">
          <cell r="A78" t="str">
            <v>0081</v>
          </cell>
          <cell r="B78">
            <v>28.3812</v>
          </cell>
          <cell r="C78">
            <v>319.34820000000002</v>
          </cell>
        </row>
        <row r="79">
          <cell r="A79" t="str">
            <v>0082</v>
          </cell>
          <cell r="B79">
            <v>32.598599999999998</v>
          </cell>
          <cell r="C79">
            <v>429.68189999999998</v>
          </cell>
        </row>
        <row r="80">
          <cell r="A80" t="str">
            <v>0083</v>
          </cell>
          <cell r="B80">
            <v>41.615499999999997</v>
          </cell>
          <cell r="C80">
            <v>520.98659999999995</v>
          </cell>
        </row>
        <row r="81">
          <cell r="A81" t="str">
            <v>0085</v>
          </cell>
          <cell r="B81">
            <v>30.8978</v>
          </cell>
          <cell r="C81">
            <v>136.8777</v>
          </cell>
        </row>
        <row r="82">
          <cell r="A82" t="str">
            <v>0086</v>
          </cell>
          <cell r="B82">
            <v>7.851</v>
          </cell>
          <cell r="C82">
            <v>262.2953</v>
          </cell>
        </row>
        <row r="83">
          <cell r="A83" t="str">
            <v>0088</v>
          </cell>
          <cell r="B83">
            <v>9.7271999999999998</v>
          </cell>
          <cell r="C83">
            <v>214.0752</v>
          </cell>
        </row>
        <row r="84">
          <cell r="A84" t="str">
            <v>0089</v>
          </cell>
          <cell r="B84">
            <v>3.5872999999999999</v>
          </cell>
          <cell r="C84">
            <v>263.47770000000003</v>
          </cell>
        </row>
        <row r="85">
          <cell r="A85" t="str">
            <v>0091</v>
          </cell>
          <cell r="B85">
            <v>5.2225999999999999</v>
          </cell>
          <cell r="C85">
            <v>617.29819999999995</v>
          </cell>
        </row>
        <row r="86">
          <cell r="A86" t="str">
            <v>0092</v>
          </cell>
          <cell r="B86">
            <v>9.4332999999999991</v>
          </cell>
          <cell r="C86">
            <v>180.53909999999999</v>
          </cell>
        </row>
        <row r="87">
          <cell r="A87" t="str">
            <v>0093</v>
          </cell>
          <cell r="B87">
            <v>15.654</v>
          </cell>
          <cell r="C87">
            <v>249.91839999999999</v>
          </cell>
        </row>
        <row r="88">
          <cell r="A88" t="str">
            <v>0094</v>
          </cell>
          <cell r="B88">
            <v>10.4207</v>
          </cell>
          <cell r="C88">
            <v>386.99349999999998</v>
          </cell>
        </row>
        <row r="89">
          <cell r="A89" t="str">
            <v>0095</v>
          </cell>
          <cell r="B89">
            <v>6.97</v>
          </cell>
          <cell r="C89">
            <v>335.42669999999998</v>
          </cell>
        </row>
        <row r="90">
          <cell r="A90" t="str">
            <v>0096</v>
          </cell>
          <cell r="B90">
            <v>10.9069</v>
          </cell>
          <cell r="C90">
            <v>104.9781</v>
          </cell>
        </row>
        <row r="91">
          <cell r="A91" t="str">
            <v>0097</v>
          </cell>
          <cell r="B91">
            <v>5.6044999999999998</v>
          </cell>
          <cell r="C91">
            <v>397.19889999999998</v>
          </cell>
        </row>
        <row r="92">
          <cell r="A92" t="str">
            <v>0098</v>
          </cell>
          <cell r="B92">
            <v>11.259600000000001</v>
          </cell>
          <cell r="C92">
            <v>163.30170000000001</v>
          </cell>
        </row>
        <row r="93">
          <cell r="A93" t="str">
            <v>0100</v>
          </cell>
          <cell r="B93">
            <v>67.884200000000007</v>
          </cell>
          <cell r="C93">
            <v>361.70240000000001</v>
          </cell>
        </row>
        <row r="94">
          <cell r="A94" t="str">
            <v>0101</v>
          </cell>
          <cell r="B94">
            <v>20.281500000000001</v>
          </cell>
          <cell r="C94">
            <v>161.81809999999999</v>
          </cell>
        </row>
        <row r="95">
          <cell r="A95" t="str">
            <v>0102</v>
          </cell>
          <cell r="B95">
            <v>41.472000000000001</v>
          </cell>
          <cell r="C95">
            <v>304.83370000000002</v>
          </cell>
        </row>
        <row r="96">
          <cell r="A96" t="str">
            <v>0103</v>
          </cell>
          <cell r="B96">
            <v>34.9923</v>
          </cell>
          <cell r="C96">
            <v>316.32299999999998</v>
          </cell>
        </row>
        <row r="97">
          <cell r="A97" t="str">
            <v>0104</v>
          </cell>
          <cell r="B97">
            <v>16.4435</v>
          </cell>
          <cell r="C97">
            <v>300.87900000000002</v>
          </cell>
        </row>
        <row r="98">
          <cell r="A98" t="str">
            <v>0105</v>
          </cell>
          <cell r="B98">
            <v>4.3151999999999999</v>
          </cell>
          <cell r="C98">
            <v>93.056399999999996</v>
          </cell>
        </row>
        <row r="99">
          <cell r="A99" t="str">
            <v>0106</v>
          </cell>
          <cell r="B99">
            <v>13.346</v>
          </cell>
          <cell r="C99">
            <v>192.42009999999999</v>
          </cell>
        </row>
        <row r="100">
          <cell r="A100" t="str">
            <v>0107</v>
          </cell>
          <cell r="B100">
            <v>13.7346</v>
          </cell>
          <cell r="C100">
            <v>451.34679999999997</v>
          </cell>
        </row>
        <row r="101">
          <cell r="A101" t="str">
            <v>0108</v>
          </cell>
          <cell r="B101">
            <v>12.507199999999999</v>
          </cell>
          <cell r="C101">
            <v>275.97050000000002</v>
          </cell>
        </row>
        <row r="102">
          <cell r="A102" t="str">
            <v>0109</v>
          </cell>
          <cell r="B102">
            <v>20.524000000000001</v>
          </cell>
          <cell r="C102">
            <v>194.18629999999999</v>
          </cell>
        </row>
        <row r="103">
          <cell r="A103" t="str">
            <v>0110</v>
          </cell>
          <cell r="B103">
            <v>21.613600000000002</v>
          </cell>
          <cell r="C103">
            <v>217.9024</v>
          </cell>
        </row>
        <row r="104">
          <cell r="A104" t="str">
            <v>0111</v>
          </cell>
          <cell r="B104">
            <v>14.798299999999999</v>
          </cell>
          <cell r="C104">
            <v>150.23099999999999</v>
          </cell>
        </row>
        <row r="105">
          <cell r="A105" t="str">
            <v>0112</v>
          </cell>
          <cell r="B105">
            <v>13.614800000000001</v>
          </cell>
          <cell r="C105">
            <v>162.5463</v>
          </cell>
        </row>
        <row r="106">
          <cell r="A106" t="str">
            <v>0113</v>
          </cell>
          <cell r="B106">
            <v>4.4138999999999999</v>
          </cell>
          <cell r="C106">
            <v>172.95750000000001</v>
          </cell>
        </row>
        <row r="107">
          <cell r="A107" t="str">
            <v>0114</v>
          </cell>
          <cell r="B107">
            <v>24.523299999999999</v>
          </cell>
          <cell r="C107">
            <v>162.61519999999999</v>
          </cell>
        </row>
        <row r="108">
          <cell r="A108" t="str">
            <v>0115</v>
          </cell>
          <cell r="B108">
            <v>5.9859999999999998</v>
          </cell>
          <cell r="C108">
            <v>196.964</v>
          </cell>
        </row>
        <row r="109">
          <cell r="A109" t="str">
            <v>0116</v>
          </cell>
          <cell r="B109">
            <v>9.7454000000000001</v>
          </cell>
          <cell r="C109">
            <v>234.09350000000001</v>
          </cell>
        </row>
        <row r="110">
          <cell r="A110" t="str">
            <v>0117</v>
          </cell>
          <cell r="B110">
            <v>12.1799</v>
          </cell>
          <cell r="C110">
            <v>245.45349999999999</v>
          </cell>
        </row>
        <row r="111">
          <cell r="A111" t="str">
            <v>0118</v>
          </cell>
          <cell r="B111">
            <v>14.751300000000001</v>
          </cell>
          <cell r="C111">
            <v>173.24369999999999</v>
          </cell>
        </row>
        <row r="112">
          <cell r="A112" t="str">
            <v>0119</v>
          </cell>
          <cell r="B112">
            <v>10.6929</v>
          </cell>
          <cell r="C112">
            <v>151.43170000000001</v>
          </cell>
        </row>
        <row r="113">
          <cell r="A113" t="str">
            <v>0120</v>
          </cell>
          <cell r="B113">
            <v>27.809799999999999</v>
          </cell>
          <cell r="C113">
            <v>146.29220000000001</v>
          </cell>
        </row>
        <row r="114">
          <cell r="A114" t="str">
            <v>0121</v>
          </cell>
          <cell r="B114">
            <v>21.047599999999999</v>
          </cell>
          <cell r="C114">
            <v>261.61259999999999</v>
          </cell>
        </row>
        <row r="115">
          <cell r="A115" t="str">
            <v>0122</v>
          </cell>
          <cell r="B115">
            <v>13.2416</v>
          </cell>
          <cell r="C115">
            <v>144.15520000000001</v>
          </cell>
        </row>
        <row r="116">
          <cell r="A116" t="str">
            <v>0123</v>
          </cell>
          <cell r="B116">
            <v>8.5261999999999993</v>
          </cell>
          <cell r="C116">
            <v>157.34710000000001</v>
          </cell>
        </row>
        <row r="117">
          <cell r="A117" t="str">
            <v>0124</v>
          </cell>
          <cell r="B117">
            <v>8.5702999999999996</v>
          </cell>
          <cell r="C117">
            <v>160.66540000000001</v>
          </cell>
        </row>
        <row r="118">
          <cell r="A118" t="str">
            <v>0125</v>
          </cell>
          <cell r="B118">
            <v>8.7508999999999997</v>
          </cell>
          <cell r="C118">
            <v>101.3372</v>
          </cell>
        </row>
        <row r="119">
          <cell r="A119" t="str">
            <v>0126</v>
          </cell>
          <cell r="B119">
            <v>10.035399999999999</v>
          </cell>
          <cell r="C119">
            <v>114.7122</v>
          </cell>
        </row>
        <row r="120">
          <cell r="A120" t="str">
            <v>0127</v>
          </cell>
          <cell r="B120">
            <v>2.5764999999999998</v>
          </cell>
          <cell r="C120">
            <v>97.0946</v>
          </cell>
        </row>
        <row r="121">
          <cell r="A121" t="str">
            <v>0128</v>
          </cell>
          <cell r="B121">
            <v>5.9725999999999999</v>
          </cell>
          <cell r="C121">
            <v>382.30090000000001</v>
          </cell>
        </row>
        <row r="122">
          <cell r="A122" t="str">
            <v>0129</v>
          </cell>
          <cell r="B122">
            <v>10.904</v>
          </cell>
          <cell r="C122">
            <v>129.4537</v>
          </cell>
        </row>
        <row r="123">
          <cell r="A123" t="str">
            <v>0131</v>
          </cell>
          <cell r="B123">
            <v>31.720500000000001</v>
          </cell>
          <cell r="C123">
            <v>294.3553</v>
          </cell>
        </row>
        <row r="124">
          <cell r="A124" t="str">
            <v>0132</v>
          </cell>
          <cell r="B124">
            <v>3.1111</v>
          </cell>
          <cell r="C124">
            <v>97.874799999999993</v>
          </cell>
        </row>
        <row r="125">
          <cell r="A125" t="str">
            <v>0133</v>
          </cell>
          <cell r="B125">
            <v>15.496</v>
          </cell>
          <cell r="C125">
            <v>280.3537</v>
          </cell>
        </row>
        <row r="126">
          <cell r="A126" t="str">
            <v>0134</v>
          </cell>
          <cell r="B126">
            <v>10.475300000000001</v>
          </cell>
          <cell r="C126">
            <v>201.2362</v>
          </cell>
        </row>
        <row r="127">
          <cell r="A127" t="str">
            <v>0135</v>
          </cell>
          <cell r="B127">
            <v>2.7911999999999999</v>
          </cell>
          <cell r="C127">
            <v>141.54689999999999</v>
          </cell>
        </row>
        <row r="128">
          <cell r="A128" t="str">
            <v>0136</v>
          </cell>
          <cell r="B128">
            <v>11.773400000000001</v>
          </cell>
          <cell r="C128">
            <v>163.66390000000001</v>
          </cell>
        </row>
        <row r="129">
          <cell r="A129" t="str">
            <v>0137</v>
          </cell>
          <cell r="B129">
            <v>11.7706</v>
          </cell>
          <cell r="C129">
            <v>240.95410000000001</v>
          </cell>
        </row>
        <row r="130">
          <cell r="A130" t="str">
            <v>0138</v>
          </cell>
          <cell r="B130">
            <v>9.8339999999999996</v>
          </cell>
          <cell r="C130">
            <v>264.07159999999999</v>
          </cell>
        </row>
        <row r="131">
          <cell r="A131" t="str">
            <v>0139</v>
          </cell>
          <cell r="B131">
            <v>9.1157000000000004</v>
          </cell>
          <cell r="C131">
            <v>140.06309999999999</v>
          </cell>
        </row>
        <row r="132">
          <cell r="A132" t="str">
            <v>0140</v>
          </cell>
          <cell r="B132">
            <v>9.1872000000000007</v>
          </cell>
          <cell r="C132">
            <v>127.30249999999999</v>
          </cell>
        </row>
        <row r="133">
          <cell r="A133" t="str">
            <v>0141</v>
          </cell>
          <cell r="B133">
            <v>13.8964</v>
          </cell>
          <cell r="C133">
            <v>200.53819999999999</v>
          </cell>
        </row>
        <row r="134">
          <cell r="A134" t="str">
            <v>0142</v>
          </cell>
          <cell r="B134">
            <v>5.3000999999999996</v>
          </cell>
          <cell r="C134">
            <v>27.528099999999998</v>
          </cell>
        </row>
        <row r="135">
          <cell r="A135" t="str">
            <v>0143</v>
          </cell>
          <cell r="B135">
            <v>15.4383</v>
          </cell>
          <cell r="C135">
            <v>217.7099</v>
          </cell>
        </row>
        <row r="136">
          <cell r="A136" t="str">
            <v>0144</v>
          </cell>
          <cell r="B136">
            <v>10.095000000000001</v>
          </cell>
          <cell r="C136">
            <v>70.794200000000004</v>
          </cell>
        </row>
        <row r="137">
          <cell r="A137" t="str">
            <v>0145</v>
          </cell>
          <cell r="B137">
            <v>5.2003000000000004</v>
          </cell>
          <cell r="C137">
            <v>112.6104</v>
          </cell>
        </row>
        <row r="138">
          <cell r="A138" t="str">
            <v>0146</v>
          </cell>
          <cell r="B138">
            <v>25.162299999999998</v>
          </cell>
          <cell r="C138">
            <v>178.6206</v>
          </cell>
        </row>
        <row r="139">
          <cell r="A139" t="str">
            <v>0147</v>
          </cell>
          <cell r="B139">
            <v>17.424499999999998</v>
          </cell>
          <cell r="C139">
            <v>143.2039</v>
          </cell>
        </row>
        <row r="140">
          <cell r="A140" t="str">
            <v>0148</v>
          </cell>
          <cell r="B140">
            <v>12.4832</v>
          </cell>
          <cell r="C140">
            <v>250.88390000000001</v>
          </cell>
        </row>
        <row r="141">
          <cell r="A141" t="str">
            <v>0149</v>
          </cell>
          <cell r="B141">
            <v>7.5579999999999998</v>
          </cell>
          <cell r="C141">
            <v>72.144999999999996</v>
          </cell>
        </row>
        <row r="142">
          <cell r="A142" t="str">
            <v>0150</v>
          </cell>
          <cell r="B142">
            <v>11.484999999999999</v>
          </cell>
          <cell r="C142">
            <v>115.9721</v>
          </cell>
        </row>
        <row r="143">
          <cell r="A143" t="str">
            <v>0151</v>
          </cell>
          <cell r="B143">
            <v>5.6997</v>
          </cell>
          <cell r="C143">
            <v>76.9131</v>
          </cell>
        </row>
        <row r="144">
          <cell r="A144" t="str">
            <v>0152</v>
          </cell>
          <cell r="B144">
            <v>6.4858000000000002</v>
          </cell>
          <cell r="C144">
            <v>117.4324</v>
          </cell>
        </row>
        <row r="145">
          <cell r="A145" t="str">
            <v>0153</v>
          </cell>
          <cell r="B145">
            <v>9.7683999999999997</v>
          </cell>
          <cell r="C145">
            <v>164.8844</v>
          </cell>
        </row>
        <row r="146">
          <cell r="A146" t="str">
            <v>0154</v>
          </cell>
          <cell r="B146">
            <v>5.4019000000000004</v>
          </cell>
          <cell r="C146">
            <v>256.66899999999998</v>
          </cell>
        </row>
        <row r="147">
          <cell r="A147" t="str">
            <v>0155</v>
          </cell>
          <cell r="B147">
            <v>5.0453999999999999</v>
          </cell>
          <cell r="C147">
            <v>183.2029</v>
          </cell>
        </row>
        <row r="148">
          <cell r="A148" t="str">
            <v>0156</v>
          </cell>
          <cell r="B148">
            <v>7.4417999999999997</v>
          </cell>
          <cell r="C148">
            <v>137.82060000000001</v>
          </cell>
        </row>
        <row r="149">
          <cell r="A149" t="str">
            <v>0157</v>
          </cell>
          <cell r="B149">
            <v>6.5960999999999999</v>
          </cell>
          <cell r="C149">
            <v>195.54320000000001</v>
          </cell>
        </row>
        <row r="150">
          <cell r="A150" t="str">
            <v>0158</v>
          </cell>
          <cell r="B150">
            <v>10.529500000000001</v>
          </cell>
          <cell r="C150">
            <v>141.35599999999999</v>
          </cell>
        </row>
        <row r="151">
          <cell r="A151" t="str">
            <v>0159</v>
          </cell>
          <cell r="B151">
            <v>20.653600000000001</v>
          </cell>
          <cell r="C151">
            <v>99.648099999999999</v>
          </cell>
        </row>
        <row r="152">
          <cell r="A152" t="str">
            <v>0160</v>
          </cell>
          <cell r="B152">
            <v>7.7195999999999998</v>
          </cell>
          <cell r="C152">
            <v>162.9785</v>
          </cell>
        </row>
        <row r="153">
          <cell r="A153" t="str">
            <v>0161</v>
          </cell>
          <cell r="B153">
            <v>11.139200000000001</v>
          </cell>
          <cell r="C153">
            <v>224.86920000000001</v>
          </cell>
        </row>
        <row r="154">
          <cell r="A154" t="str">
            <v>0162</v>
          </cell>
          <cell r="B154">
            <v>2.5247999999999999</v>
          </cell>
          <cell r="C154">
            <v>81.482699999999994</v>
          </cell>
        </row>
        <row r="155">
          <cell r="A155" t="str">
            <v>0163</v>
          </cell>
          <cell r="B155">
            <v>4.5244</v>
          </cell>
          <cell r="C155">
            <v>121.0077</v>
          </cell>
        </row>
        <row r="156">
          <cell r="A156" t="str">
            <v>0164</v>
          </cell>
          <cell r="B156">
            <v>22.3004</v>
          </cell>
          <cell r="C156">
            <v>216.36949999999999</v>
          </cell>
        </row>
        <row r="157">
          <cell r="A157" t="str">
            <v>0165</v>
          </cell>
          <cell r="B157">
            <v>10.7902</v>
          </cell>
          <cell r="C157">
            <v>94.873999999999995</v>
          </cell>
        </row>
        <row r="158">
          <cell r="A158" t="str">
            <v>0166</v>
          </cell>
          <cell r="B158">
            <v>8.2835999999999999</v>
          </cell>
          <cell r="C158">
            <v>123.4379</v>
          </cell>
        </row>
        <row r="159">
          <cell r="A159" t="str">
            <v>0167</v>
          </cell>
          <cell r="B159">
            <v>3.6309999999999998</v>
          </cell>
          <cell r="C159">
            <v>92.088399999999993</v>
          </cell>
        </row>
        <row r="160">
          <cell r="A160" t="str">
            <v>0168</v>
          </cell>
          <cell r="B160">
            <v>12.1234</v>
          </cell>
          <cell r="C160">
            <v>131.31399999999999</v>
          </cell>
        </row>
        <row r="161">
          <cell r="A161" t="str">
            <v>0169</v>
          </cell>
          <cell r="B161">
            <v>15.222799999999999</v>
          </cell>
          <cell r="C161">
            <v>74.783299999999997</v>
          </cell>
        </row>
        <row r="162">
          <cell r="A162" t="str">
            <v>0170</v>
          </cell>
          <cell r="B162">
            <v>6.2526000000000002</v>
          </cell>
          <cell r="C162">
            <v>315.2115</v>
          </cell>
        </row>
        <row r="163">
          <cell r="A163" t="str">
            <v>0171</v>
          </cell>
          <cell r="B163">
            <v>3.7825000000000002</v>
          </cell>
          <cell r="C163">
            <v>97.568799999999996</v>
          </cell>
        </row>
        <row r="164">
          <cell r="A164" t="str">
            <v>0172</v>
          </cell>
          <cell r="B164">
            <v>3.7422</v>
          </cell>
          <cell r="C164">
            <v>41.925800000000002</v>
          </cell>
        </row>
        <row r="165">
          <cell r="A165" t="str">
            <v>0173</v>
          </cell>
          <cell r="B165">
            <v>9.0284999999999993</v>
          </cell>
          <cell r="C165">
            <v>62.462499999999999</v>
          </cell>
        </row>
        <row r="166">
          <cell r="A166" t="str">
            <v>0174</v>
          </cell>
          <cell r="B166">
            <v>4.3132000000000001</v>
          </cell>
          <cell r="C166">
            <v>96.456500000000005</v>
          </cell>
        </row>
        <row r="167">
          <cell r="A167" t="str">
            <v>0175</v>
          </cell>
          <cell r="B167">
            <v>5.4778000000000002</v>
          </cell>
          <cell r="C167">
            <v>126.55840000000001</v>
          </cell>
        </row>
        <row r="168">
          <cell r="A168" t="str">
            <v>0176</v>
          </cell>
          <cell r="B168">
            <v>1.0702</v>
          </cell>
          <cell r="C168">
            <v>15.6342</v>
          </cell>
        </row>
        <row r="169">
          <cell r="A169" t="str">
            <v>0177</v>
          </cell>
          <cell r="B169">
            <v>14.448499999999999</v>
          </cell>
          <cell r="C169">
            <v>211.148</v>
          </cell>
        </row>
        <row r="170">
          <cell r="A170" t="str">
            <v>0178</v>
          </cell>
          <cell r="B170">
            <v>12.8093</v>
          </cell>
          <cell r="C170">
            <v>110.7877</v>
          </cell>
        </row>
        <row r="171">
          <cell r="A171" t="str">
            <v>0179</v>
          </cell>
          <cell r="B171">
            <v>3.9895999999999998</v>
          </cell>
          <cell r="C171">
            <v>94.708500000000001</v>
          </cell>
        </row>
        <row r="172">
          <cell r="A172" t="str">
            <v>0180</v>
          </cell>
          <cell r="B172">
            <v>6.3384999999999998</v>
          </cell>
          <cell r="C172">
            <v>38.246000000000002</v>
          </cell>
        </row>
        <row r="173">
          <cell r="A173" t="str">
            <v>0181</v>
          </cell>
          <cell r="B173">
            <v>13.679600000000001</v>
          </cell>
          <cell r="C173">
            <v>186.78270000000001</v>
          </cell>
        </row>
        <row r="174">
          <cell r="A174" t="str">
            <v>0182</v>
          </cell>
          <cell r="B174">
            <v>2.8523000000000001</v>
          </cell>
          <cell r="C174">
            <v>133.9778</v>
          </cell>
        </row>
        <row r="175">
          <cell r="A175" t="str">
            <v>0183</v>
          </cell>
          <cell r="B175">
            <v>4.4974999999999996</v>
          </cell>
          <cell r="C175">
            <v>172.31229999999999</v>
          </cell>
        </row>
        <row r="176">
          <cell r="A176" t="str">
            <v>0184</v>
          </cell>
          <cell r="B176">
            <v>6.2607999999999997</v>
          </cell>
          <cell r="C176">
            <v>99.857500000000002</v>
          </cell>
        </row>
        <row r="177">
          <cell r="A177" t="str">
            <v>0185</v>
          </cell>
          <cell r="B177">
            <v>11.6858</v>
          </cell>
          <cell r="C177">
            <v>129.03370000000001</v>
          </cell>
        </row>
        <row r="178">
          <cell r="A178" t="str">
            <v>0186</v>
          </cell>
          <cell r="B178">
            <v>8.9475999999999996</v>
          </cell>
          <cell r="C178">
            <v>216.24719999999999</v>
          </cell>
        </row>
        <row r="179">
          <cell r="A179" t="str">
            <v>0187</v>
          </cell>
          <cell r="B179">
            <v>8.0935000000000006</v>
          </cell>
          <cell r="C179">
            <v>76.472300000000004</v>
          </cell>
        </row>
        <row r="180">
          <cell r="A180" t="str">
            <v>0188</v>
          </cell>
          <cell r="B180">
            <v>5.0460000000000003</v>
          </cell>
          <cell r="C180">
            <v>50.988100000000003</v>
          </cell>
        </row>
        <row r="181">
          <cell r="A181" t="str">
            <v>0189</v>
          </cell>
          <cell r="B181">
            <v>2.6720000000000002</v>
          </cell>
          <cell r="C181">
            <v>18.130099999999999</v>
          </cell>
        </row>
        <row r="182">
          <cell r="A182" t="str">
            <v>0190</v>
          </cell>
          <cell r="B182">
            <v>10.494300000000001</v>
          </cell>
          <cell r="C182">
            <v>72.058999999999997</v>
          </cell>
        </row>
        <row r="183">
          <cell r="A183" t="str">
            <v>0191</v>
          </cell>
          <cell r="B183">
            <v>8.4136000000000006</v>
          </cell>
          <cell r="C183">
            <v>135.2466</v>
          </cell>
        </row>
        <row r="184">
          <cell r="A184" t="str">
            <v>0192</v>
          </cell>
          <cell r="B184">
            <v>10.0793</v>
          </cell>
          <cell r="C184">
            <v>130.167</v>
          </cell>
        </row>
        <row r="185">
          <cell r="A185" t="str">
            <v>0193</v>
          </cell>
          <cell r="B185">
            <v>5.7805</v>
          </cell>
          <cell r="C185">
            <v>75.678799999999995</v>
          </cell>
        </row>
        <row r="186">
          <cell r="A186" t="str">
            <v>0194</v>
          </cell>
          <cell r="B186">
            <v>2.2229999999999999</v>
          </cell>
          <cell r="C186">
            <v>82.417000000000002</v>
          </cell>
        </row>
        <row r="187">
          <cell r="A187" t="str">
            <v>0195</v>
          </cell>
          <cell r="B187">
            <v>14.6561</v>
          </cell>
          <cell r="C187">
            <v>159.37139999999999</v>
          </cell>
        </row>
        <row r="188">
          <cell r="A188" t="str">
            <v>0196</v>
          </cell>
          <cell r="B188">
            <v>5.2588999999999997</v>
          </cell>
          <cell r="C188">
            <v>24.996500000000001</v>
          </cell>
        </row>
        <row r="189">
          <cell r="A189" t="str">
            <v>0197</v>
          </cell>
          <cell r="B189">
            <v>3.0133999999999999</v>
          </cell>
          <cell r="C189">
            <v>61.826300000000003</v>
          </cell>
        </row>
        <row r="190">
          <cell r="A190" t="str">
            <v>0198</v>
          </cell>
          <cell r="B190">
            <v>10.4031</v>
          </cell>
          <cell r="C190">
            <v>45.838200000000001</v>
          </cell>
        </row>
        <row r="191">
          <cell r="A191" t="str">
            <v>0199</v>
          </cell>
          <cell r="B191">
            <v>3.2366999999999999</v>
          </cell>
          <cell r="C191">
            <v>53.5383</v>
          </cell>
        </row>
        <row r="192">
          <cell r="A192" t="str">
            <v>0200</v>
          </cell>
          <cell r="B192">
            <v>6.6200999999999999</v>
          </cell>
          <cell r="C192">
            <v>101.7936</v>
          </cell>
        </row>
        <row r="193">
          <cell r="A193" t="str">
            <v>0201</v>
          </cell>
          <cell r="B193">
            <v>3.4741</v>
          </cell>
          <cell r="C193">
            <v>102.8847</v>
          </cell>
        </row>
        <row r="194">
          <cell r="A194" t="str">
            <v>0202</v>
          </cell>
          <cell r="B194">
            <v>9.7889999999999997</v>
          </cell>
          <cell r="C194">
            <v>74.960899999999995</v>
          </cell>
        </row>
        <row r="195">
          <cell r="A195" t="str">
            <v>0203</v>
          </cell>
          <cell r="B195">
            <v>9.9177</v>
          </cell>
          <cell r="C195">
            <v>119.84180000000001</v>
          </cell>
        </row>
        <row r="196">
          <cell r="A196" t="str">
            <v>0204</v>
          </cell>
          <cell r="B196">
            <v>6.8372999999999999</v>
          </cell>
          <cell r="C196">
            <v>135.72919999999999</v>
          </cell>
        </row>
        <row r="197">
          <cell r="A197" t="str">
            <v>0205</v>
          </cell>
          <cell r="B197">
            <v>9.0446000000000009</v>
          </cell>
          <cell r="C197">
            <v>90.184299999999993</v>
          </cell>
        </row>
        <row r="198">
          <cell r="A198" t="str">
            <v>0206</v>
          </cell>
          <cell r="B198">
            <v>31.924199999999999</v>
          </cell>
          <cell r="C198">
            <v>145.10830000000001</v>
          </cell>
        </row>
        <row r="199">
          <cell r="A199" t="str">
            <v>0207</v>
          </cell>
          <cell r="B199">
            <v>1.0015000000000001</v>
          </cell>
          <cell r="C199">
            <v>121.85469999999999</v>
          </cell>
        </row>
        <row r="200">
          <cell r="A200" t="str">
            <v>0208</v>
          </cell>
          <cell r="B200">
            <v>5.3907999999999996</v>
          </cell>
          <cell r="C200">
            <v>80.096299999999999</v>
          </cell>
        </row>
        <row r="201">
          <cell r="A201" t="str">
            <v>0209</v>
          </cell>
          <cell r="B201">
            <v>1.9863</v>
          </cell>
          <cell r="C201">
            <v>14.808999999999999</v>
          </cell>
        </row>
        <row r="202">
          <cell r="A202" t="str">
            <v>0210</v>
          </cell>
          <cell r="B202">
            <v>6.8971</v>
          </cell>
          <cell r="C202">
            <v>46.354599999999998</v>
          </cell>
        </row>
        <row r="203">
          <cell r="A203" t="str">
            <v>0211</v>
          </cell>
          <cell r="B203">
            <v>3.0621999999999998</v>
          </cell>
          <cell r="C203">
            <v>85.408900000000003</v>
          </cell>
        </row>
        <row r="204">
          <cell r="A204" t="str">
            <v>0212</v>
          </cell>
          <cell r="B204">
            <v>5.2514000000000003</v>
          </cell>
          <cell r="C204">
            <v>118.08240000000001</v>
          </cell>
        </row>
        <row r="205">
          <cell r="A205" t="str">
            <v>0213</v>
          </cell>
          <cell r="B205">
            <v>6.0304000000000002</v>
          </cell>
          <cell r="C205">
            <v>231.91650000000001</v>
          </cell>
        </row>
        <row r="206">
          <cell r="A206" t="str">
            <v>0214</v>
          </cell>
          <cell r="B206">
            <v>3.2490000000000001</v>
          </cell>
          <cell r="C206">
            <v>61.037700000000001</v>
          </cell>
        </row>
        <row r="207">
          <cell r="A207" t="str">
            <v>0215</v>
          </cell>
          <cell r="B207">
            <v>2.7328999999999999</v>
          </cell>
          <cell r="C207">
            <v>70.379300000000001</v>
          </cell>
        </row>
        <row r="208">
          <cell r="A208" t="str">
            <v>0216</v>
          </cell>
          <cell r="B208">
            <v>3.081</v>
          </cell>
          <cell r="C208">
            <v>32.993699999999997</v>
          </cell>
        </row>
        <row r="209">
          <cell r="A209" t="str">
            <v>0217</v>
          </cell>
          <cell r="B209">
            <v>4.6261999999999999</v>
          </cell>
          <cell r="C209">
            <v>85.408699999999996</v>
          </cell>
        </row>
        <row r="210">
          <cell r="A210" t="str">
            <v>0218</v>
          </cell>
          <cell r="B210">
            <v>4.1558999999999999</v>
          </cell>
          <cell r="C210">
            <v>34.0227</v>
          </cell>
        </row>
        <row r="211">
          <cell r="A211" t="str">
            <v>0219</v>
          </cell>
          <cell r="B211">
            <v>10.6243</v>
          </cell>
          <cell r="C211">
            <v>481.86070000000001</v>
          </cell>
        </row>
        <row r="212">
          <cell r="A212" t="str">
            <v>0220</v>
          </cell>
          <cell r="B212">
            <v>14.97</v>
          </cell>
          <cell r="C212">
            <v>104.82080000000001</v>
          </cell>
        </row>
        <row r="213">
          <cell r="A213" t="str">
            <v>0221</v>
          </cell>
          <cell r="B213">
            <v>10.936500000000001</v>
          </cell>
          <cell r="C213">
            <v>289.55270000000002</v>
          </cell>
        </row>
        <row r="214">
          <cell r="A214" t="str">
            <v>0222</v>
          </cell>
          <cell r="B214">
            <v>2.5750999999999999</v>
          </cell>
          <cell r="C214">
            <v>88.177000000000007</v>
          </cell>
        </row>
        <row r="215">
          <cell r="A215" t="str">
            <v>0223</v>
          </cell>
          <cell r="B215">
            <v>3.2021000000000002</v>
          </cell>
          <cell r="C215">
            <v>55.198300000000003</v>
          </cell>
        </row>
        <row r="216">
          <cell r="A216" t="str">
            <v>0224</v>
          </cell>
          <cell r="B216">
            <v>1.7029000000000001</v>
          </cell>
          <cell r="C216">
            <v>56.521500000000003</v>
          </cell>
        </row>
        <row r="217">
          <cell r="A217" t="str">
            <v>0225</v>
          </cell>
          <cell r="B217">
            <v>5.5410000000000004</v>
          </cell>
          <cell r="C217">
            <v>44.994900000000001</v>
          </cell>
        </row>
        <row r="218">
          <cell r="A218" t="str">
            <v>0226</v>
          </cell>
          <cell r="B218">
            <v>2.0142000000000002</v>
          </cell>
          <cell r="C218">
            <v>45.080599999999997</v>
          </cell>
        </row>
        <row r="219">
          <cell r="A219" t="str">
            <v>0227</v>
          </cell>
          <cell r="B219">
            <v>2.0802</v>
          </cell>
          <cell r="C219">
            <v>80.299800000000005</v>
          </cell>
        </row>
        <row r="220">
          <cell r="A220" t="str">
            <v>0228</v>
          </cell>
          <cell r="B220">
            <v>5.9916999999999998</v>
          </cell>
          <cell r="C220">
            <v>47.983800000000002</v>
          </cell>
        </row>
        <row r="221">
          <cell r="A221" t="str">
            <v>0229</v>
          </cell>
          <cell r="B221">
            <v>4.1908000000000003</v>
          </cell>
          <cell r="C221">
            <v>13.8596</v>
          </cell>
        </row>
        <row r="222">
          <cell r="A222" t="str">
            <v>0230</v>
          </cell>
          <cell r="B222">
            <v>6.0824999999999996</v>
          </cell>
          <cell r="C222">
            <v>84.104500000000002</v>
          </cell>
        </row>
        <row r="223">
          <cell r="A223" t="str">
            <v>0231</v>
          </cell>
          <cell r="B223">
            <v>4.6988000000000003</v>
          </cell>
          <cell r="C223">
            <v>60.9482</v>
          </cell>
        </row>
        <row r="224">
          <cell r="A224" t="str">
            <v>0233</v>
          </cell>
          <cell r="B224">
            <v>2.1168</v>
          </cell>
          <cell r="C224">
            <v>7.8918999999999997</v>
          </cell>
        </row>
        <row r="225">
          <cell r="A225" t="str">
            <v>0234</v>
          </cell>
          <cell r="B225">
            <v>2.1273</v>
          </cell>
          <cell r="C225">
            <v>21.899799999999999</v>
          </cell>
        </row>
        <row r="226">
          <cell r="A226" t="str">
            <v>0235</v>
          </cell>
          <cell r="B226">
            <v>8.7417999999999996</v>
          </cell>
          <cell r="C226">
            <v>24.728300000000001</v>
          </cell>
        </row>
        <row r="227">
          <cell r="A227" t="str">
            <v>0236</v>
          </cell>
          <cell r="B227">
            <v>3.2524000000000002</v>
          </cell>
          <cell r="C227">
            <v>21.846299999999999</v>
          </cell>
        </row>
        <row r="228">
          <cell r="A228" t="str">
            <v>0237</v>
          </cell>
          <cell r="B228">
            <v>2.988</v>
          </cell>
          <cell r="C228">
            <v>28.902699999999999</v>
          </cell>
        </row>
        <row r="229">
          <cell r="A229" t="str">
            <v>0241</v>
          </cell>
          <cell r="B229">
            <v>4.6833</v>
          </cell>
          <cell r="C229">
            <v>4.9703999999999997</v>
          </cell>
        </row>
        <row r="230">
          <cell r="A230" t="str">
            <v>0242</v>
          </cell>
          <cell r="B230">
            <v>2.1242000000000001</v>
          </cell>
          <cell r="C230">
            <v>12.4964</v>
          </cell>
        </row>
        <row r="231">
          <cell r="A231" t="str">
            <v>0245</v>
          </cell>
          <cell r="B231">
            <v>2.5000000000000001E-2</v>
          </cell>
          <cell r="C231">
            <v>3.0499999999999999E-2</v>
          </cell>
        </row>
        <row r="232">
          <cell r="A232" t="str">
            <v>0404</v>
          </cell>
          <cell r="B232">
            <v>21.661999999999999</v>
          </cell>
          <cell r="C232">
            <v>295.96429999999998</v>
          </cell>
        </row>
        <row r="233">
          <cell r="A233" t="str">
            <v>0407</v>
          </cell>
          <cell r="B233">
            <v>8.7710000000000008</v>
          </cell>
          <cell r="C233">
            <v>194.0119</v>
          </cell>
        </row>
      </sheetData>
      <sheetData sheetId="2" refreshError="1"/>
      <sheetData sheetId="3" refreshError="1">
        <row r="2">
          <cell r="A2" t="str">
            <v>0002</v>
          </cell>
          <cell r="B2">
            <v>57494875.507300004</v>
          </cell>
          <cell r="C2">
            <v>13490053.477</v>
          </cell>
          <cell r="D2">
            <v>900000</v>
          </cell>
          <cell r="E2">
            <v>2503860</v>
          </cell>
        </row>
        <row r="3">
          <cell r="A3" t="str">
            <v>0003</v>
          </cell>
          <cell r="B3">
            <v>572666699.34000003</v>
          </cell>
          <cell r="C3">
            <v>110059579.12</v>
          </cell>
          <cell r="D3">
            <v>314644252</v>
          </cell>
          <cell r="E3">
            <v>4397666</v>
          </cell>
        </row>
        <row r="4">
          <cell r="A4" t="str">
            <v>0004</v>
          </cell>
          <cell r="B4">
            <v>197819055.75890002</v>
          </cell>
          <cell r="C4">
            <v>172177229.99650002</v>
          </cell>
          <cell r="D4">
            <v>200500000</v>
          </cell>
          <cell r="E4">
            <v>380000</v>
          </cell>
        </row>
        <row r="5">
          <cell r="A5" t="str">
            <v>0005</v>
          </cell>
          <cell r="B5">
            <v>816426202.44380009</v>
          </cell>
          <cell r="C5">
            <v>2849326801.1242003</v>
          </cell>
          <cell r="D5">
            <v>15783415228.460001</v>
          </cell>
          <cell r="E5">
            <v>688073599.53000009</v>
          </cell>
        </row>
        <row r="6">
          <cell r="A6" t="str">
            <v>0006</v>
          </cell>
          <cell r="B6">
            <v>427961001.25850004</v>
          </cell>
          <cell r="C6">
            <v>2684779649.7806001</v>
          </cell>
          <cell r="D6">
            <v>6390302090.21</v>
          </cell>
          <cell r="E6">
            <v>173047866</v>
          </cell>
        </row>
        <row r="7">
          <cell r="A7" t="str">
            <v>0007</v>
          </cell>
          <cell r="B7">
            <v>479543242.99600005</v>
          </cell>
          <cell r="C7">
            <v>4753844876.9948006</v>
          </cell>
          <cell r="D7">
            <v>11570217931.9</v>
          </cell>
          <cell r="E7">
            <v>67480675</v>
          </cell>
        </row>
        <row r="8">
          <cell r="A8" t="str">
            <v>0008</v>
          </cell>
          <cell r="B8">
            <v>508911993.6099</v>
          </cell>
          <cell r="C8">
            <v>490212534.35510004</v>
          </cell>
          <cell r="D8">
            <v>1428945145.8500001</v>
          </cell>
          <cell r="E8">
            <v>26866942</v>
          </cell>
        </row>
        <row r="9">
          <cell r="A9" t="str">
            <v>0009</v>
          </cell>
          <cell r="B9">
            <v>469682968.46000004</v>
          </cell>
          <cell r="C9">
            <v>183648407.62</v>
          </cell>
          <cell r="D9">
            <v>21000000</v>
          </cell>
          <cell r="E9">
            <v>4741975</v>
          </cell>
        </row>
        <row r="10">
          <cell r="A10" t="str">
            <v>0010</v>
          </cell>
          <cell r="B10">
            <v>279211771.74000001</v>
          </cell>
          <cell r="C10">
            <v>107468086.54000001</v>
          </cell>
          <cell r="D10">
            <v>155050000</v>
          </cell>
          <cell r="E10">
            <v>21744693</v>
          </cell>
        </row>
        <row r="11">
          <cell r="A11" t="str">
            <v>0011</v>
          </cell>
          <cell r="B11">
            <v>326654278.96090001</v>
          </cell>
          <cell r="C11">
            <v>230751948.3955</v>
          </cell>
          <cell r="D11">
            <v>338312224</v>
          </cell>
          <cell r="E11">
            <v>21450570.580000002</v>
          </cell>
        </row>
        <row r="12">
          <cell r="A12" t="str">
            <v>0012</v>
          </cell>
          <cell r="B12">
            <v>290385729.28740001</v>
          </cell>
          <cell r="C12">
            <v>6620667747.0695</v>
          </cell>
          <cell r="D12">
            <v>2698425590</v>
          </cell>
          <cell r="E12">
            <v>5362797</v>
          </cell>
        </row>
        <row r="13">
          <cell r="A13" t="str">
            <v>0013</v>
          </cell>
          <cell r="B13">
            <v>365457572.95100003</v>
          </cell>
          <cell r="C13">
            <v>13268647.32</v>
          </cell>
          <cell r="D13">
            <v>3000000</v>
          </cell>
          <cell r="E13">
            <v>4339125</v>
          </cell>
        </row>
        <row r="14">
          <cell r="A14" t="str">
            <v>0014</v>
          </cell>
          <cell r="B14">
            <v>301585066.1681</v>
          </cell>
          <cell r="C14">
            <v>4669477311.2589006</v>
          </cell>
          <cell r="D14">
            <v>913537231.25</v>
          </cell>
          <cell r="E14">
            <v>9979114</v>
          </cell>
        </row>
        <row r="15">
          <cell r="A15" t="str">
            <v>0015</v>
          </cell>
          <cell r="B15">
            <v>467362345.12360001</v>
          </cell>
          <cell r="C15">
            <v>153647665.51790002</v>
          </cell>
          <cell r="D15">
            <v>1119207836</v>
          </cell>
          <cell r="E15">
            <v>4557707</v>
          </cell>
        </row>
        <row r="16">
          <cell r="A16" t="str">
            <v>0016</v>
          </cell>
          <cell r="B16">
            <v>422014479.93730003</v>
          </cell>
          <cell r="C16">
            <v>95020180.8838</v>
          </cell>
          <cell r="D16">
            <v>167575356</v>
          </cell>
          <cell r="E16">
            <v>37606799</v>
          </cell>
        </row>
        <row r="17">
          <cell r="A17" t="str">
            <v>0017</v>
          </cell>
          <cell r="B17">
            <v>119464617.4286</v>
          </cell>
          <cell r="C17">
            <v>46836890.373900004</v>
          </cell>
          <cell r="D17">
            <v>47600000</v>
          </cell>
          <cell r="E17">
            <v>0</v>
          </cell>
        </row>
        <row r="18">
          <cell r="A18" t="str">
            <v>0018</v>
          </cell>
          <cell r="B18">
            <v>429113887.14200002</v>
          </cell>
          <cell r="C18">
            <v>892000643.10049999</v>
          </cell>
          <cell r="D18">
            <v>320001000</v>
          </cell>
          <cell r="E18">
            <v>530330902.5</v>
          </cell>
        </row>
        <row r="19">
          <cell r="A19" t="str">
            <v>0019</v>
          </cell>
          <cell r="B19">
            <v>367975429.01910001</v>
          </cell>
          <cell r="C19">
            <v>191080568.20500001</v>
          </cell>
          <cell r="D19">
            <v>718220339</v>
          </cell>
          <cell r="E19">
            <v>25591712</v>
          </cell>
        </row>
        <row r="20">
          <cell r="A20" t="str">
            <v>0020</v>
          </cell>
          <cell r="B20">
            <v>293224889.58140004</v>
          </cell>
          <cell r="C20">
            <v>1608056439.7280002</v>
          </cell>
          <cell r="D20">
            <v>371554330</v>
          </cell>
          <cell r="E20">
            <v>5568155</v>
          </cell>
        </row>
        <row r="21">
          <cell r="A21" t="str">
            <v>0021</v>
          </cell>
          <cell r="B21">
            <v>650145716.49000001</v>
          </cell>
          <cell r="C21">
            <v>115424178.73</v>
          </cell>
          <cell r="D21">
            <v>435570370</v>
          </cell>
          <cell r="E21">
            <v>7765548.0700000003</v>
          </cell>
        </row>
        <row r="22">
          <cell r="A22" t="str">
            <v>0022</v>
          </cell>
          <cell r="B22">
            <v>91330462.9278</v>
          </cell>
          <cell r="C22">
            <v>309533263.7773</v>
          </cell>
          <cell r="D22">
            <v>54220000</v>
          </cell>
          <cell r="E22">
            <v>2195900</v>
          </cell>
        </row>
        <row r="23">
          <cell r="A23" t="str">
            <v>0023</v>
          </cell>
          <cell r="B23">
            <v>278471772.98550004</v>
          </cell>
          <cell r="C23">
            <v>151943705.20550001</v>
          </cell>
          <cell r="D23">
            <v>296998581</v>
          </cell>
          <cell r="E23">
            <v>5739639.5</v>
          </cell>
        </row>
        <row r="24">
          <cell r="A24" t="str">
            <v>0024</v>
          </cell>
          <cell r="B24">
            <v>304005623.6401</v>
          </cell>
          <cell r="C24">
            <v>69546459.220700011</v>
          </cell>
          <cell r="D24">
            <v>77100000</v>
          </cell>
          <cell r="E24">
            <v>11002736</v>
          </cell>
        </row>
        <row r="25">
          <cell r="A25" t="str">
            <v>0025</v>
          </cell>
          <cell r="B25">
            <v>319181005.41900003</v>
          </cell>
          <cell r="C25">
            <v>65020369.676400006</v>
          </cell>
          <cell r="D25">
            <v>90018000</v>
          </cell>
          <cell r="E25">
            <v>310500</v>
          </cell>
        </row>
        <row r="26">
          <cell r="A26" t="str">
            <v>0026</v>
          </cell>
          <cell r="B26">
            <v>849901078.06500006</v>
          </cell>
          <cell r="C26">
            <v>134719584.69800001</v>
          </cell>
          <cell r="D26">
            <v>807728807</v>
          </cell>
          <cell r="E26">
            <v>42622166</v>
          </cell>
        </row>
        <row r="27">
          <cell r="A27" t="str">
            <v>0027</v>
          </cell>
          <cell r="B27">
            <v>786357984.27480006</v>
          </cell>
          <cell r="C27">
            <v>155870782.42470002</v>
          </cell>
          <cell r="D27">
            <v>545679452</v>
          </cell>
          <cell r="E27">
            <v>3398320</v>
          </cell>
        </row>
        <row r="28">
          <cell r="A28" t="str">
            <v>0028</v>
          </cell>
          <cell r="B28">
            <v>5097487824.5489006</v>
          </cell>
          <cell r="C28">
            <v>4546606321.0025005</v>
          </cell>
          <cell r="D28">
            <v>4916404032.0100002</v>
          </cell>
          <cell r="E28">
            <v>45563860.980000004</v>
          </cell>
        </row>
        <row r="29">
          <cell r="A29" t="str">
            <v>0029</v>
          </cell>
          <cell r="B29">
            <v>543156661.95029998</v>
          </cell>
          <cell r="C29">
            <v>1053985862.4243001</v>
          </cell>
          <cell r="D29">
            <v>115069981.7</v>
          </cell>
          <cell r="E29">
            <v>7286249</v>
          </cell>
        </row>
        <row r="30">
          <cell r="A30" t="str">
            <v>0030</v>
          </cell>
          <cell r="B30">
            <v>273101450.72290003</v>
          </cell>
          <cell r="C30">
            <v>514599719.27410001</v>
          </cell>
          <cell r="D30">
            <v>523156565.60000002</v>
          </cell>
          <cell r="E30">
            <v>13882388.350000001</v>
          </cell>
        </row>
        <row r="31">
          <cell r="A31" t="str">
            <v>0031</v>
          </cell>
          <cell r="B31">
            <v>466631167.91170001</v>
          </cell>
          <cell r="C31">
            <v>436355970.75510001</v>
          </cell>
          <cell r="D31">
            <v>4597123696.7600002</v>
          </cell>
          <cell r="E31">
            <v>48623458</v>
          </cell>
        </row>
        <row r="32">
          <cell r="A32" t="str">
            <v>0032</v>
          </cell>
          <cell r="B32">
            <v>716854780.80660009</v>
          </cell>
          <cell r="C32">
            <v>779896031.74260008</v>
          </cell>
          <cell r="D32">
            <v>1668817001.02</v>
          </cell>
          <cell r="E32">
            <v>77086157.400000006</v>
          </cell>
        </row>
        <row r="33">
          <cell r="A33" t="str">
            <v>0033</v>
          </cell>
          <cell r="B33">
            <v>520013672.7626</v>
          </cell>
          <cell r="C33">
            <v>1636648114.7684002</v>
          </cell>
          <cell r="D33">
            <v>671193700.94000006</v>
          </cell>
          <cell r="E33">
            <v>20160765</v>
          </cell>
        </row>
        <row r="34">
          <cell r="A34" t="str">
            <v>0034</v>
          </cell>
          <cell r="B34">
            <v>437807974.95640004</v>
          </cell>
          <cell r="C34">
            <v>1234315160.3885</v>
          </cell>
          <cell r="D34">
            <v>564617048.00900006</v>
          </cell>
          <cell r="E34">
            <v>72142115.150000006</v>
          </cell>
        </row>
        <row r="35">
          <cell r="A35" t="str">
            <v>0035</v>
          </cell>
          <cell r="B35">
            <v>992232073.41340005</v>
          </cell>
          <cell r="C35">
            <v>9019522431.0851002</v>
          </cell>
          <cell r="D35">
            <v>23228402976.82</v>
          </cell>
          <cell r="E35">
            <v>276133511.46000004</v>
          </cell>
        </row>
        <row r="36">
          <cell r="A36" t="str">
            <v>0036</v>
          </cell>
          <cell r="B36">
            <v>802943120.40120006</v>
          </cell>
          <cell r="C36">
            <v>2402689703.8663001</v>
          </cell>
          <cell r="D36">
            <v>180375264</v>
          </cell>
          <cell r="E36">
            <v>25064810</v>
          </cell>
        </row>
        <row r="37">
          <cell r="A37" t="str">
            <v>0037</v>
          </cell>
          <cell r="B37">
            <v>883585100.49670005</v>
          </cell>
          <cell r="C37">
            <v>816517753.20940006</v>
          </cell>
          <cell r="D37">
            <v>407682131</v>
          </cell>
          <cell r="E37">
            <v>152346672.30000001</v>
          </cell>
        </row>
        <row r="38">
          <cell r="A38" t="str">
            <v>0038</v>
          </cell>
          <cell r="B38">
            <v>400474107.73860002</v>
          </cell>
          <cell r="C38">
            <v>202753718.87420002</v>
          </cell>
          <cell r="D38">
            <v>652788514</v>
          </cell>
          <cell r="E38">
            <v>56175036</v>
          </cell>
        </row>
        <row r="39">
          <cell r="A39" t="str">
            <v>0039</v>
          </cell>
          <cell r="B39">
            <v>795536015.63</v>
          </cell>
          <cell r="C39">
            <v>1417090312.4156001</v>
          </cell>
          <cell r="D39">
            <v>871075190.56000006</v>
          </cell>
          <cell r="E39">
            <v>22415180</v>
          </cell>
        </row>
        <row r="40">
          <cell r="A40" t="str">
            <v>0040</v>
          </cell>
          <cell r="B40">
            <v>190207624.88820001</v>
          </cell>
          <cell r="C40">
            <v>81826852.357800007</v>
          </cell>
          <cell r="D40">
            <v>59055000</v>
          </cell>
          <cell r="E40">
            <v>4678115</v>
          </cell>
        </row>
        <row r="41">
          <cell r="A41" t="str">
            <v>0041</v>
          </cell>
          <cell r="B41">
            <v>733858653.70000005</v>
          </cell>
          <cell r="C41">
            <v>383396650.05000001</v>
          </cell>
          <cell r="D41">
            <v>192660000</v>
          </cell>
          <cell r="E41">
            <v>60515394</v>
          </cell>
        </row>
        <row r="42">
          <cell r="A42" t="str">
            <v>0042</v>
          </cell>
          <cell r="B42">
            <v>465249922.8251</v>
          </cell>
          <cell r="C42">
            <v>398205685.32630002</v>
          </cell>
          <cell r="D42">
            <v>81152386</v>
          </cell>
          <cell r="E42">
            <v>1526691</v>
          </cell>
        </row>
        <row r="43">
          <cell r="A43" t="str">
            <v>0043</v>
          </cell>
          <cell r="B43">
            <v>347597134.5363</v>
          </cell>
          <cell r="C43">
            <v>335552143.375</v>
          </cell>
          <cell r="D43">
            <v>125837800</v>
          </cell>
          <cell r="E43">
            <v>10660661.640000001</v>
          </cell>
        </row>
        <row r="44">
          <cell r="A44" t="str">
            <v>0044</v>
          </cell>
          <cell r="B44">
            <v>1023641040.3712001</v>
          </cell>
          <cell r="C44">
            <v>424041684.91040003</v>
          </cell>
          <cell r="D44">
            <v>462654382.33000004</v>
          </cell>
          <cell r="E44">
            <v>38722944.100000001</v>
          </cell>
        </row>
        <row r="45">
          <cell r="A45" t="str">
            <v>0045</v>
          </cell>
          <cell r="B45">
            <v>453384184.08170003</v>
          </cell>
          <cell r="C45">
            <v>507883359.56560004</v>
          </cell>
          <cell r="D45">
            <v>159661000</v>
          </cell>
          <cell r="E45">
            <v>105351486</v>
          </cell>
        </row>
        <row r="46">
          <cell r="A46" t="str">
            <v>0046</v>
          </cell>
          <cell r="B46">
            <v>720241584.50999999</v>
          </cell>
          <cell r="C46">
            <v>91652287.99000001</v>
          </cell>
          <cell r="D46">
            <v>119000000</v>
          </cell>
          <cell r="E46">
            <v>225541</v>
          </cell>
        </row>
        <row r="47">
          <cell r="A47" t="str">
            <v>0047</v>
          </cell>
          <cell r="B47">
            <v>298453606.48250002</v>
          </cell>
          <cell r="C47">
            <v>1408715855.0068002</v>
          </cell>
          <cell r="D47">
            <v>2128251139</v>
          </cell>
          <cell r="E47">
            <v>22751701</v>
          </cell>
        </row>
        <row r="48">
          <cell r="A48" t="str">
            <v>0048</v>
          </cell>
          <cell r="B48">
            <v>186088552.45540002</v>
          </cell>
          <cell r="C48">
            <v>773856691.66060007</v>
          </cell>
          <cell r="D48">
            <v>565157740</v>
          </cell>
          <cell r="E48">
            <v>976240</v>
          </cell>
        </row>
        <row r="49">
          <cell r="A49" t="str">
            <v>0052</v>
          </cell>
          <cell r="B49">
            <v>242867178.53320003</v>
          </cell>
          <cell r="C49">
            <v>200351855.46670002</v>
          </cell>
          <cell r="D49">
            <v>122309307.2</v>
          </cell>
          <cell r="E49">
            <v>5778700</v>
          </cell>
        </row>
        <row r="50">
          <cell r="A50" t="str">
            <v>0053</v>
          </cell>
          <cell r="B50">
            <v>860856249.48500001</v>
          </cell>
          <cell r="C50">
            <v>480889607.9174</v>
          </cell>
          <cell r="D50">
            <v>41596500</v>
          </cell>
          <cell r="E50">
            <v>25099721</v>
          </cell>
        </row>
        <row r="51">
          <cell r="A51" t="str">
            <v>0054</v>
          </cell>
          <cell r="B51">
            <v>313232061.61250001</v>
          </cell>
          <cell r="C51">
            <v>195773043.86680001</v>
          </cell>
          <cell r="D51">
            <v>48630821.400000006</v>
          </cell>
          <cell r="E51">
            <v>25633361</v>
          </cell>
        </row>
        <row r="52">
          <cell r="A52" t="str">
            <v>0055</v>
          </cell>
          <cell r="B52">
            <v>224492656.9914</v>
          </cell>
          <cell r="C52">
            <v>130196913.79030001</v>
          </cell>
          <cell r="D52">
            <v>155786850</v>
          </cell>
          <cell r="E52">
            <v>20769631.5</v>
          </cell>
        </row>
        <row r="53">
          <cell r="A53" t="str">
            <v>0056</v>
          </cell>
          <cell r="B53">
            <v>353634645.96360004</v>
          </cell>
          <cell r="C53">
            <v>710349322.93060005</v>
          </cell>
          <cell r="D53">
            <v>222748966.96000001</v>
          </cell>
          <cell r="E53">
            <v>110123115</v>
          </cell>
        </row>
        <row r="54">
          <cell r="A54" t="str">
            <v>0057</v>
          </cell>
          <cell r="B54">
            <v>428071555.24630004</v>
          </cell>
          <cell r="C54">
            <v>293316600.41140002</v>
          </cell>
          <cell r="D54">
            <v>87586307</v>
          </cell>
          <cell r="E54">
            <v>12072113</v>
          </cell>
        </row>
        <row r="55">
          <cell r="A55" t="str">
            <v>0058</v>
          </cell>
          <cell r="B55">
            <v>271498980.90000004</v>
          </cell>
          <cell r="C55">
            <v>244209944.28</v>
          </cell>
          <cell r="D55">
            <v>74605000</v>
          </cell>
          <cell r="E55">
            <v>32173465</v>
          </cell>
        </row>
        <row r="56">
          <cell r="A56" t="str">
            <v>0059</v>
          </cell>
          <cell r="B56">
            <v>176703529.3996</v>
          </cell>
          <cell r="C56">
            <v>1631612.905</v>
          </cell>
          <cell r="D56">
            <v>0</v>
          </cell>
          <cell r="E56">
            <v>303700</v>
          </cell>
        </row>
        <row r="57">
          <cell r="A57" t="str">
            <v>0060</v>
          </cell>
          <cell r="B57">
            <v>693889788.65640008</v>
          </cell>
          <cell r="C57">
            <v>516398632.0011</v>
          </cell>
          <cell r="D57">
            <v>283040340</v>
          </cell>
          <cell r="E57">
            <v>74685028.640000001</v>
          </cell>
        </row>
        <row r="58">
          <cell r="A58" t="str">
            <v>0061</v>
          </cell>
          <cell r="B58">
            <v>491507671.40200001</v>
          </cell>
          <cell r="C58">
            <v>116030702.93630001</v>
          </cell>
          <cell r="D58">
            <v>19400000</v>
          </cell>
          <cell r="E58">
            <v>23009353</v>
          </cell>
        </row>
        <row r="59">
          <cell r="A59" t="str">
            <v>0062</v>
          </cell>
          <cell r="B59">
            <v>214160908.85620001</v>
          </cell>
          <cell r="C59">
            <v>106319158.3688</v>
          </cell>
          <cell r="D59">
            <v>9300000</v>
          </cell>
          <cell r="E59">
            <v>5876216</v>
          </cell>
        </row>
        <row r="60">
          <cell r="A60" t="str">
            <v>0063</v>
          </cell>
          <cell r="B60">
            <v>421078697.18120003</v>
          </cell>
          <cell r="C60">
            <v>188205312.6162</v>
          </cell>
          <cell r="D60">
            <v>73900000</v>
          </cell>
          <cell r="E60">
            <v>21867672</v>
          </cell>
        </row>
        <row r="61">
          <cell r="A61" t="str">
            <v>0064</v>
          </cell>
          <cell r="B61">
            <v>730212117.11530006</v>
          </cell>
          <cell r="C61">
            <v>199124223.0575</v>
          </cell>
          <cell r="D61">
            <v>936399942</v>
          </cell>
          <cell r="E61">
            <v>20144656</v>
          </cell>
        </row>
        <row r="62">
          <cell r="A62" t="str">
            <v>0065</v>
          </cell>
          <cell r="B62">
            <v>336164613.48860002</v>
          </cell>
          <cell r="C62">
            <v>712332757.48030007</v>
          </cell>
          <cell r="D62">
            <v>93476535.280000001</v>
          </cell>
          <cell r="E62">
            <v>30944585</v>
          </cell>
        </row>
        <row r="63">
          <cell r="A63" t="str">
            <v>0066</v>
          </cell>
          <cell r="B63">
            <v>478862602.42700005</v>
          </cell>
          <cell r="C63">
            <v>2443580384.2175002</v>
          </cell>
          <cell r="D63">
            <v>5340558697.8900003</v>
          </cell>
          <cell r="E63">
            <v>71506495.540000007</v>
          </cell>
        </row>
        <row r="64">
          <cell r="A64" t="str">
            <v>0067</v>
          </cell>
          <cell r="B64">
            <v>340836854.3768</v>
          </cell>
          <cell r="C64">
            <v>91054081.280699998</v>
          </cell>
          <cell r="D64">
            <v>164228846.08000001</v>
          </cell>
          <cell r="E64">
            <v>9646852</v>
          </cell>
        </row>
        <row r="65">
          <cell r="A65" t="str">
            <v>0068</v>
          </cell>
          <cell r="B65">
            <v>373139464.94010001</v>
          </cell>
          <cell r="C65">
            <v>308693675.35750002</v>
          </cell>
          <cell r="D65">
            <v>224956542.5</v>
          </cell>
          <cell r="E65">
            <v>17586307.5</v>
          </cell>
        </row>
        <row r="66">
          <cell r="A66" t="str">
            <v>0069</v>
          </cell>
          <cell r="B66">
            <v>323619417.97320002</v>
          </cell>
          <cell r="C66">
            <v>126437008.3804</v>
          </cell>
          <cell r="D66">
            <v>14427344</v>
          </cell>
          <cell r="E66">
            <v>760066</v>
          </cell>
        </row>
        <row r="67">
          <cell r="A67" t="str">
            <v>0070</v>
          </cell>
          <cell r="B67">
            <v>230209460.69600001</v>
          </cell>
          <cell r="C67">
            <v>682216429.93089998</v>
          </cell>
          <cell r="D67">
            <v>148054001.5</v>
          </cell>
          <cell r="E67">
            <v>2934995</v>
          </cell>
        </row>
        <row r="68">
          <cell r="A68" t="str">
            <v>0071</v>
          </cell>
          <cell r="B68">
            <v>249734590.12300003</v>
          </cell>
          <cell r="C68">
            <v>173775850.0228</v>
          </cell>
          <cell r="D68">
            <v>36822248</v>
          </cell>
          <cell r="E68">
            <v>951300</v>
          </cell>
        </row>
        <row r="69">
          <cell r="A69" t="str">
            <v>0072</v>
          </cell>
          <cell r="B69">
            <v>345882476.2809</v>
          </cell>
          <cell r="C69">
            <v>468788465.74550003</v>
          </cell>
          <cell r="D69">
            <v>216584757.74000001</v>
          </cell>
          <cell r="E69">
            <v>26298085</v>
          </cell>
        </row>
        <row r="70">
          <cell r="A70" t="str">
            <v>0073</v>
          </cell>
          <cell r="B70">
            <v>224061279.68900001</v>
          </cell>
          <cell r="C70">
            <v>230430414.56510001</v>
          </cell>
          <cell r="D70">
            <v>527226223.55000001</v>
          </cell>
          <cell r="E70">
            <v>14069440</v>
          </cell>
        </row>
        <row r="71">
          <cell r="A71" t="str">
            <v>0074</v>
          </cell>
          <cell r="B71">
            <v>240373475.01860002</v>
          </cell>
          <cell r="C71">
            <v>143955616.63159999</v>
          </cell>
          <cell r="D71">
            <v>22600000</v>
          </cell>
          <cell r="E71">
            <v>3633226</v>
          </cell>
        </row>
        <row r="72">
          <cell r="A72" t="str">
            <v>0075</v>
          </cell>
          <cell r="B72">
            <v>244995807.40640002</v>
          </cell>
          <cell r="C72">
            <v>105381265.04900001</v>
          </cell>
          <cell r="D72">
            <v>79385000</v>
          </cell>
          <cell r="E72">
            <v>26021153</v>
          </cell>
        </row>
        <row r="73">
          <cell r="A73" t="str">
            <v>0076</v>
          </cell>
          <cell r="B73">
            <v>281619948.52939999</v>
          </cell>
          <cell r="C73">
            <v>154984555.94730002</v>
          </cell>
          <cell r="D73">
            <v>182995000</v>
          </cell>
          <cell r="E73">
            <v>18246061</v>
          </cell>
        </row>
        <row r="74">
          <cell r="A74" t="str">
            <v>0077</v>
          </cell>
          <cell r="B74">
            <v>197653530.61840001</v>
          </cell>
          <cell r="C74">
            <v>545221299.43449998</v>
          </cell>
          <cell r="D74">
            <v>22849322</v>
          </cell>
          <cell r="E74">
            <v>9517110</v>
          </cell>
        </row>
        <row r="75">
          <cell r="A75" t="str">
            <v>0078</v>
          </cell>
          <cell r="B75">
            <v>343313698.92950004</v>
          </cell>
          <cell r="C75">
            <v>152811100.3475</v>
          </cell>
          <cell r="D75">
            <v>263368434</v>
          </cell>
          <cell r="E75">
            <v>8762552</v>
          </cell>
        </row>
        <row r="76">
          <cell r="A76" t="str">
            <v>0079</v>
          </cell>
          <cell r="B76">
            <v>135289124.41690001</v>
          </cell>
          <cell r="C76">
            <v>354110814.91949999</v>
          </cell>
          <cell r="D76">
            <v>42355000</v>
          </cell>
          <cell r="E76">
            <v>9687392</v>
          </cell>
        </row>
        <row r="77">
          <cell r="A77" t="str">
            <v>0080</v>
          </cell>
          <cell r="B77">
            <v>94421320.101900011</v>
          </cell>
          <cell r="C77">
            <v>84127553.110500008</v>
          </cell>
          <cell r="D77">
            <v>4917000</v>
          </cell>
          <cell r="E77">
            <v>11444916</v>
          </cell>
        </row>
        <row r="78">
          <cell r="A78" t="str">
            <v>0081</v>
          </cell>
          <cell r="B78">
            <v>363880396.96619999</v>
          </cell>
          <cell r="C78">
            <v>607549792.44200003</v>
          </cell>
          <cell r="D78">
            <v>53508624</v>
          </cell>
          <cell r="E78">
            <v>7503225</v>
          </cell>
        </row>
        <row r="79">
          <cell r="A79" t="str">
            <v>0082</v>
          </cell>
          <cell r="B79">
            <v>1066097032.9553001</v>
          </cell>
          <cell r="C79">
            <v>321683461.53750002</v>
          </cell>
          <cell r="D79">
            <v>1289689247.04</v>
          </cell>
          <cell r="E79">
            <v>39985115</v>
          </cell>
        </row>
        <row r="80">
          <cell r="A80" t="str">
            <v>0083</v>
          </cell>
          <cell r="B80">
            <v>699187846.42519999</v>
          </cell>
          <cell r="C80">
            <v>134544315.01000002</v>
          </cell>
          <cell r="D80">
            <v>35827940</v>
          </cell>
          <cell r="E80">
            <v>0</v>
          </cell>
        </row>
        <row r="81">
          <cell r="A81" t="str">
            <v>0085</v>
          </cell>
          <cell r="B81">
            <v>164608939.9321</v>
          </cell>
          <cell r="C81">
            <v>274858052.04839998</v>
          </cell>
          <cell r="D81">
            <v>343438560</v>
          </cell>
          <cell r="E81">
            <v>6725660</v>
          </cell>
        </row>
        <row r="82">
          <cell r="A82" t="str">
            <v>0086</v>
          </cell>
          <cell r="B82">
            <v>306561327</v>
          </cell>
          <cell r="C82">
            <v>139394769.47</v>
          </cell>
          <cell r="D82">
            <v>158685168</v>
          </cell>
          <cell r="E82">
            <v>2981082.7</v>
          </cell>
        </row>
        <row r="83">
          <cell r="A83" t="str">
            <v>0088</v>
          </cell>
          <cell r="B83">
            <v>253209297.36770001</v>
          </cell>
          <cell r="C83">
            <v>38664243.5</v>
          </cell>
          <cell r="D83">
            <v>1600000</v>
          </cell>
          <cell r="E83">
            <v>180000</v>
          </cell>
        </row>
        <row r="84">
          <cell r="A84" t="str">
            <v>0089</v>
          </cell>
          <cell r="B84">
            <v>226779146.81990001</v>
          </cell>
          <cell r="C84">
            <v>144036278.94589999</v>
          </cell>
          <cell r="D84">
            <v>105459159.5</v>
          </cell>
          <cell r="E84">
            <v>6567331</v>
          </cell>
        </row>
        <row r="85">
          <cell r="A85" t="str">
            <v>0091</v>
          </cell>
          <cell r="B85">
            <v>544614190.57000005</v>
          </cell>
          <cell r="C85">
            <v>57253532.090000004</v>
          </cell>
          <cell r="D85">
            <v>1000000</v>
          </cell>
          <cell r="E85">
            <v>221613</v>
          </cell>
        </row>
        <row r="86">
          <cell r="A86" t="str">
            <v>0092</v>
          </cell>
          <cell r="B86">
            <v>167082558.7633</v>
          </cell>
          <cell r="C86">
            <v>179650453.5722</v>
          </cell>
          <cell r="D86">
            <v>23900000</v>
          </cell>
          <cell r="E86">
            <v>180000</v>
          </cell>
        </row>
        <row r="87">
          <cell r="A87" t="str">
            <v>0093</v>
          </cell>
          <cell r="B87">
            <v>295421392.5711</v>
          </cell>
          <cell r="C87">
            <v>138375738.83000001</v>
          </cell>
          <cell r="D87">
            <v>18100000</v>
          </cell>
          <cell r="E87">
            <v>29279222</v>
          </cell>
        </row>
        <row r="88">
          <cell r="A88" t="str">
            <v>0094</v>
          </cell>
          <cell r="B88">
            <v>344955545.48950005</v>
          </cell>
          <cell r="C88">
            <v>414288084.79590005</v>
          </cell>
          <cell r="D88">
            <v>150700000</v>
          </cell>
          <cell r="E88">
            <v>1610756</v>
          </cell>
        </row>
        <row r="89">
          <cell r="A89" t="str">
            <v>0095</v>
          </cell>
          <cell r="B89">
            <v>272752461.64520001</v>
          </cell>
          <cell r="C89">
            <v>89170053.924800009</v>
          </cell>
          <cell r="D89">
            <v>21750000</v>
          </cell>
          <cell r="E89">
            <v>9246093</v>
          </cell>
        </row>
        <row r="90">
          <cell r="A90" t="str">
            <v>0096</v>
          </cell>
          <cell r="B90">
            <v>113483731.80940001</v>
          </cell>
          <cell r="C90">
            <v>108784405.24960001</v>
          </cell>
          <cell r="D90">
            <v>133838484</v>
          </cell>
          <cell r="E90">
            <v>7302135</v>
          </cell>
        </row>
        <row r="91">
          <cell r="A91" t="str">
            <v>0097</v>
          </cell>
          <cell r="B91">
            <v>520086200.43580002</v>
          </cell>
          <cell r="C91">
            <v>29838923.170000002</v>
          </cell>
          <cell r="D91">
            <v>0</v>
          </cell>
          <cell r="E91">
            <v>751760</v>
          </cell>
        </row>
        <row r="92">
          <cell r="A92" t="str">
            <v>0098</v>
          </cell>
          <cell r="B92">
            <v>157067020.12170002</v>
          </cell>
          <cell r="C92">
            <v>213336256.60080001</v>
          </cell>
          <cell r="D92">
            <v>85250000</v>
          </cell>
          <cell r="E92">
            <v>210100</v>
          </cell>
        </row>
        <row r="93">
          <cell r="A93" t="str">
            <v>0100</v>
          </cell>
          <cell r="B93">
            <v>386362953.19210005</v>
          </cell>
          <cell r="C93">
            <v>46646930.660000004</v>
          </cell>
          <cell r="D93">
            <v>9095494</v>
          </cell>
          <cell r="E93">
            <v>8546886</v>
          </cell>
        </row>
        <row r="94">
          <cell r="A94" t="str">
            <v>0101</v>
          </cell>
          <cell r="B94">
            <v>120310844.44500001</v>
          </cell>
          <cell r="C94">
            <v>325683787.38100004</v>
          </cell>
          <cell r="D94">
            <v>65244182</v>
          </cell>
          <cell r="E94">
            <v>257520</v>
          </cell>
        </row>
        <row r="95">
          <cell r="A95" t="str">
            <v>0102</v>
          </cell>
          <cell r="B95">
            <v>489920011.00840002</v>
          </cell>
          <cell r="C95">
            <v>19405792.911800001</v>
          </cell>
          <cell r="D95">
            <v>87723520</v>
          </cell>
          <cell r="E95">
            <v>2526508</v>
          </cell>
        </row>
        <row r="96">
          <cell r="A96" t="str">
            <v>0103</v>
          </cell>
          <cell r="B96">
            <v>412920282.38880002</v>
          </cell>
          <cell r="C96">
            <v>84881930.465800002</v>
          </cell>
          <cell r="D96">
            <v>180364515</v>
          </cell>
          <cell r="E96">
            <v>10227905</v>
          </cell>
        </row>
        <row r="97">
          <cell r="A97" t="str">
            <v>0104</v>
          </cell>
          <cell r="B97">
            <v>366400654.1049</v>
          </cell>
          <cell r="C97">
            <v>41952610.700600006</v>
          </cell>
          <cell r="D97">
            <v>70250000</v>
          </cell>
          <cell r="E97">
            <v>15292988.300000001</v>
          </cell>
        </row>
        <row r="98">
          <cell r="A98" t="str">
            <v>0105</v>
          </cell>
          <cell r="B98">
            <v>101690621.21790001</v>
          </cell>
          <cell r="C98">
            <v>51777098.719999999</v>
          </cell>
          <cell r="D98">
            <v>10680000</v>
          </cell>
          <cell r="E98">
            <v>2216600</v>
          </cell>
        </row>
        <row r="99">
          <cell r="A99" t="str">
            <v>0106</v>
          </cell>
          <cell r="B99">
            <v>216188123.03130001</v>
          </cell>
          <cell r="C99">
            <v>186058638.8642</v>
          </cell>
          <cell r="D99">
            <v>374600000</v>
          </cell>
          <cell r="E99">
            <v>14092812</v>
          </cell>
        </row>
        <row r="100">
          <cell r="A100" t="str">
            <v>0107</v>
          </cell>
          <cell r="B100">
            <v>378998647.46079999</v>
          </cell>
          <cell r="C100">
            <v>121315520.56500001</v>
          </cell>
          <cell r="D100">
            <v>201805698</v>
          </cell>
          <cell r="E100">
            <v>8849442</v>
          </cell>
        </row>
        <row r="101">
          <cell r="A101" t="str">
            <v>0108</v>
          </cell>
          <cell r="B101">
            <v>268933534.2956</v>
          </cell>
          <cell r="C101">
            <v>258148167.67410001</v>
          </cell>
          <cell r="D101">
            <v>41900000</v>
          </cell>
          <cell r="E101">
            <v>3542160</v>
          </cell>
        </row>
        <row r="102">
          <cell r="A102" t="str">
            <v>0109</v>
          </cell>
          <cell r="B102">
            <v>236427972.44930002</v>
          </cell>
          <cell r="C102">
            <v>101606353.9131</v>
          </cell>
          <cell r="D102">
            <v>58320000</v>
          </cell>
          <cell r="E102">
            <v>14785019</v>
          </cell>
        </row>
        <row r="103">
          <cell r="A103" t="str">
            <v>0110</v>
          </cell>
          <cell r="B103">
            <v>303221257.68330002</v>
          </cell>
          <cell r="C103">
            <v>86742980.680000007</v>
          </cell>
          <cell r="D103">
            <v>55436000</v>
          </cell>
          <cell r="E103">
            <v>5825845</v>
          </cell>
        </row>
        <row r="104">
          <cell r="A104" t="str">
            <v>0111</v>
          </cell>
          <cell r="B104">
            <v>201374005.35790002</v>
          </cell>
          <cell r="C104">
            <v>45214045.717</v>
          </cell>
          <cell r="D104">
            <v>2550000</v>
          </cell>
          <cell r="E104">
            <v>256650</v>
          </cell>
        </row>
        <row r="105">
          <cell r="A105" t="str">
            <v>0112</v>
          </cell>
          <cell r="B105">
            <v>189396905.4413</v>
          </cell>
          <cell r="C105">
            <v>112018775.97570001</v>
          </cell>
          <cell r="D105">
            <v>25250000</v>
          </cell>
          <cell r="E105">
            <v>4426990</v>
          </cell>
        </row>
        <row r="106">
          <cell r="A106" t="str">
            <v>0113</v>
          </cell>
          <cell r="B106">
            <v>209739347.66</v>
          </cell>
          <cell r="C106">
            <v>50006566.900000006</v>
          </cell>
          <cell r="D106">
            <v>4420000</v>
          </cell>
          <cell r="E106">
            <v>3419750</v>
          </cell>
        </row>
        <row r="107">
          <cell r="A107" t="str">
            <v>0114</v>
          </cell>
          <cell r="B107">
            <v>139321392.65780002</v>
          </cell>
          <cell r="C107">
            <v>182888151.06650001</v>
          </cell>
          <cell r="D107">
            <v>11000000</v>
          </cell>
          <cell r="E107">
            <v>1152700</v>
          </cell>
        </row>
        <row r="108">
          <cell r="A108" t="str">
            <v>0115</v>
          </cell>
          <cell r="B108">
            <v>247258038.31120002</v>
          </cell>
          <cell r="C108">
            <v>34367508.300000004</v>
          </cell>
          <cell r="D108">
            <v>27000000</v>
          </cell>
          <cell r="E108">
            <v>130500</v>
          </cell>
        </row>
        <row r="109">
          <cell r="A109" t="str">
            <v>0116</v>
          </cell>
          <cell r="B109">
            <v>181601168.4429</v>
          </cell>
          <cell r="C109">
            <v>81204347.032600001</v>
          </cell>
          <cell r="D109">
            <v>5600000</v>
          </cell>
          <cell r="E109">
            <v>2553240</v>
          </cell>
        </row>
        <row r="110">
          <cell r="A110" t="str">
            <v>0117</v>
          </cell>
          <cell r="B110">
            <v>193522618.87</v>
          </cell>
          <cell r="C110">
            <v>94526951.4912</v>
          </cell>
          <cell r="D110">
            <v>39000000</v>
          </cell>
          <cell r="E110">
            <v>715500</v>
          </cell>
        </row>
        <row r="111">
          <cell r="A111" t="str">
            <v>0118</v>
          </cell>
          <cell r="B111">
            <v>152681592.50910002</v>
          </cell>
          <cell r="C111">
            <v>37971522.990000002</v>
          </cell>
          <cell r="D111">
            <v>2400000</v>
          </cell>
          <cell r="E111">
            <v>6548720</v>
          </cell>
        </row>
        <row r="112">
          <cell r="A112" t="str">
            <v>0119</v>
          </cell>
          <cell r="B112">
            <v>109430830.41080001</v>
          </cell>
          <cell r="C112">
            <v>181129518.34350002</v>
          </cell>
          <cell r="D112">
            <v>123500420.44000001</v>
          </cell>
          <cell r="E112">
            <v>10888582</v>
          </cell>
        </row>
        <row r="113">
          <cell r="A113" t="str">
            <v>0120</v>
          </cell>
          <cell r="B113">
            <v>146663258.0415</v>
          </cell>
          <cell r="C113">
            <v>168830826.38600001</v>
          </cell>
          <cell r="D113">
            <v>117520120</v>
          </cell>
          <cell r="E113">
            <v>4083747</v>
          </cell>
        </row>
        <row r="114">
          <cell r="A114" t="str">
            <v>0121</v>
          </cell>
          <cell r="B114">
            <v>253778847.08000001</v>
          </cell>
          <cell r="C114">
            <v>2558000.4900000002</v>
          </cell>
          <cell r="D114">
            <v>0</v>
          </cell>
          <cell r="E114">
            <v>2018000</v>
          </cell>
        </row>
        <row r="115">
          <cell r="A115" t="str">
            <v>0122</v>
          </cell>
          <cell r="B115">
            <v>135249568.88440001</v>
          </cell>
          <cell r="C115">
            <v>104381600.4418</v>
          </cell>
          <cell r="D115">
            <v>40710000</v>
          </cell>
          <cell r="E115">
            <v>4200100</v>
          </cell>
        </row>
        <row r="116">
          <cell r="A116" t="str">
            <v>0123</v>
          </cell>
          <cell r="B116">
            <v>94097463.870000005</v>
          </cell>
          <cell r="C116">
            <v>220769766.05000001</v>
          </cell>
          <cell r="D116">
            <v>168661000</v>
          </cell>
          <cell r="E116">
            <v>6009389</v>
          </cell>
        </row>
        <row r="117">
          <cell r="A117" t="str">
            <v>0124</v>
          </cell>
          <cell r="B117">
            <v>145596888.2744</v>
          </cell>
          <cell r="C117">
            <v>95228914.546100006</v>
          </cell>
          <cell r="D117">
            <v>181102475</v>
          </cell>
          <cell r="E117">
            <v>13446630</v>
          </cell>
        </row>
        <row r="118">
          <cell r="A118" t="str">
            <v>0125</v>
          </cell>
          <cell r="B118">
            <v>94487755.054900005</v>
          </cell>
          <cell r="C118">
            <v>125650226.61170001</v>
          </cell>
          <cell r="D118">
            <v>38050000</v>
          </cell>
          <cell r="E118">
            <v>514400</v>
          </cell>
        </row>
        <row r="119">
          <cell r="A119" t="str">
            <v>0126</v>
          </cell>
          <cell r="B119">
            <v>128092849.7986</v>
          </cell>
          <cell r="C119">
            <v>126877420.06730001</v>
          </cell>
          <cell r="D119">
            <v>31500000</v>
          </cell>
          <cell r="E119">
            <v>8385039</v>
          </cell>
        </row>
        <row r="120">
          <cell r="A120" t="str">
            <v>0127</v>
          </cell>
          <cell r="B120">
            <v>103660440.8347</v>
          </cell>
          <cell r="C120">
            <v>49692951.143700004</v>
          </cell>
          <cell r="D120">
            <v>43650000</v>
          </cell>
          <cell r="E120">
            <v>11335768</v>
          </cell>
        </row>
        <row r="121">
          <cell r="A121" t="str">
            <v>0128</v>
          </cell>
          <cell r="B121">
            <v>333821708.06099999</v>
          </cell>
          <cell r="C121">
            <v>14193411.020000001</v>
          </cell>
          <cell r="D121">
            <v>0</v>
          </cell>
          <cell r="E121">
            <v>0</v>
          </cell>
        </row>
        <row r="122">
          <cell r="A122" t="str">
            <v>0129</v>
          </cell>
          <cell r="B122">
            <v>152118646.06710002</v>
          </cell>
          <cell r="C122">
            <v>216080303.84650001</v>
          </cell>
          <cell r="D122">
            <v>85020000</v>
          </cell>
          <cell r="E122">
            <v>49377</v>
          </cell>
        </row>
        <row r="123">
          <cell r="A123" t="str">
            <v>0131</v>
          </cell>
          <cell r="B123">
            <v>311898213.13640004</v>
          </cell>
          <cell r="C123">
            <v>739141892.98960006</v>
          </cell>
          <cell r="D123">
            <v>581773960</v>
          </cell>
          <cell r="E123">
            <v>53024606.800000004</v>
          </cell>
        </row>
        <row r="124">
          <cell r="A124" t="str">
            <v>0132</v>
          </cell>
          <cell r="B124">
            <v>77479452.999899998</v>
          </cell>
          <cell r="C124">
            <v>62966612.782900006</v>
          </cell>
          <cell r="D124">
            <v>27400000</v>
          </cell>
          <cell r="E124">
            <v>3162204</v>
          </cell>
        </row>
        <row r="125">
          <cell r="A125" t="str">
            <v>0133</v>
          </cell>
          <cell r="B125">
            <v>311888369.81450003</v>
          </cell>
          <cell r="C125">
            <v>79944973.390000001</v>
          </cell>
          <cell r="D125">
            <v>78850000</v>
          </cell>
          <cell r="E125">
            <v>21579597</v>
          </cell>
        </row>
        <row r="126">
          <cell r="A126" t="str">
            <v>0134</v>
          </cell>
          <cell r="B126">
            <v>258465640.0325</v>
          </cell>
          <cell r="C126">
            <v>175697490.02200001</v>
          </cell>
          <cell r="D126">
            <v>112156359</v>
          </cell>
          <cell r="E126">
            <v>5609053</v>
          </cell>
        </row>
        <row r="127">
          <cell r="A127" t="str">
            <v>0135</v>
          </cell>
          <cell r="B127">
            <v>171630287.53580001</v>
          </cell>
          <cell r="C127">
            <v>58489803.353100002</v>
          </cell>
          <cell r="D127">
            <v>32925000</v>
          </cell>
          <cell r="E127">
            <v>0</v>
          </cell>
        </row>
        <row r="128">
          <cell r="A128" t="str">
            <v>0136</v>
          </cell>
          <cell r="B128">
            <v>197426368.31310001</v>
          </cell>
          <cell r="C128">
            <v>52171556.640000001</v>
          </cell>
          <cell r="D128">
            <v>1320000</v>
          </cell>
          <cell r="E128">
            <v>267500</v>
          </cell>
        </row>
        <row r="129">
          <cell r="A129" t="str">
            <v>0137</v>
          </cell>
          <cell r="B129">
            <v>332709900.78619999</v>
          </cell>
          <cell r="C129">
            <v>278479021.23930001</v>
          </cell>
          <cell r="D129">
            <v>226556300</v>
          </cell>
          <cell r="E129">
            <v>30355000</v>
          </cell>
        </row>
        <row r="130">
          <cell r="A130" t="str">
            <v>0138</v>
          </cell>
          <cell r="B130">
            <v>300780753.5783</v>
          </cell>
          <cell r="C130">
            <v>55249693.8002</v>
          </cell>
          <cell r="D130">
            <v>21950000</v>
          </cell>
          <cell r="E130">
            <v>2051500</v>
          </cell>
        </row>
        <row r="131">
          <cell r="A131" t="str">
            <v>0139</v>
          </cell>
          <cell r="B131">
            <v>124476319.5529</v>
          </cell>
          <cell r="C131">
            <v>134768884.8863</v>
          </cell>
          <cell r="D131">
            <v>16600000</v>
          </cell>
          <cell r="E131">
            <v>151340</v>
          </cell>
        </row>
        <row r="132">
          <cell r="A132" t="str">
            <v>0140</v>
          </cell>
          <cell r="B132">
            <v>127573545.71340001</v>
          </cell>
          <cell r="C132">
            <v>98860465.907400012</v>
          </cell>
          <cell r="D132">
            <v>36262671</v>
          </cell>
          <cell r="E132">
            <v>360000</v>
          </cell>
        </row>
        <row r="133">
          <cell r="A133" t="str">
            <v>0141</v>
          </cell>
          <cell r="B133">
            <v>295462288.2263</v>
          </cell>
          <cell r="C133">
            <v>37100681.296099998</v>
          </cell>
          <cell r="D133">
            <v>0</v>
          </cell>
          <cell r="E133">
            <v>13400</v>
          </cell>
        </row>
        <row r="134">
          <cell r="A134" t="str">
            <v>0142</v>
          </cell>
          <cell r="B134">
            <v>31698374.325000003</v>
          </cell>
          <cell r="C134">
            <v>89909480.631400004</v>
          </cell>
          <cell r="D134">
            <v>57300000</v>
          </cell>
          <cell r="E134">
            <v>464100</v>
          </cell>
        </row>
        <row r="135">
          <cell r="A135" t="str">
            <v>0143</v>
          </cell>
          <cell r="B135">
            <v>258361201.7811</v>
          </cell>
          <cell r="C135">
            <v>79824787.145600006</v>
          </cell>
          <cell r="D135">
            <v>180863213.31</v>
          </cell>
          <cell r="E135">
            <v>5688700</v>
          </cell>
        </row>
        <row r="136">
          <cell r="A136" t="str">
            <v>0144</v>
          </cell>
          <cell r="B136">
            <v>97853688.590000004</v>
          </cell>
          <cell r="C136">
            <v>214294806.94</v>
          </cell>
          <cell r="D136">
            <v>13600000</v>
          </cell>
          <cell r="E136">
            <v>30000</v>
          </cell>
        </row>
        <row r="137">
          <cell r="A137" t="str">
            <v>0145</v>
          </cell>
          <cell r="B137">
            <v>98386597.395300001</v>
          </cell>
          <cell r="C137">
            <v>96635891.079999998</v>
          </cell>
          <cell r="D137">
            <v>258595000</v>
          </cell>
          <cell r="E137">
            <v>1960587</v>
          </cell>
        </row>
        <row r="138">
          <cell r="A138" t="str">
            <v>0146</v>
          </cell>
          <cell r="B138">
            <v>243130967.25280002</v>
          </cell>
          <cell r="C138">
            <v>165049685.77410001</v>
          </cell>
          <cell r="D138">
            <v>3985000</v>
          </cell>
          <cell r="E138">
            <v>12690149</v>
          </cell>
        </row>
        <row r="139">
          <cell r="A139" t="str">
            <v>0147</v>
          </cell>
          <cell r="B139">
            <v>172754663.32410002</v>
          </cell>
          <cell r="C139">
            <v>121564345.97950001</v>
          </cell>
          <cell r="D139">
            <v>6500000</v>
          </cell>
          <cell r="E139">
            <v>3230584</v>
          </cell>
        </row>
        <row r="140">
          <cell r="A140" t="str">
            <v>0148</v>
          </cell>
          <cell r="B140">
            <v>296348997.82969999</v>
          </cell>
          <cell r="C140">
            <v>201393086.95500001</v>
          </cell>
          <cell r="D140">
            <v>86150000</v>
          </cell>
          <cell r="E140">
            <v>7156257</v>
          </cell>
        </row>
        <row r="141">
          <cell r="A141" t="str">
            <v>0149</v>
          </cell>
          <cell r="B141">
            <v>84196277.043300003</v>
          </cell>
          <cell r="C141">
            <v>33665910.2645</v>
          </cell>
          <cell r="D141">
            <v>3700000</v>
          </cell>
          <cell r="E141">
            <v>720000</v>
          </cell>
        </row>
        <row r="142">
          <cell r="A142" t="str">
            <v>0150</v>
          </cell>
          <cell r="B142">
            <v>95526548.745700002</v>
          </cell>
          <cell r="C142">
            <v>107792737.3328</v>
          </cell>
          <cell r="D142">
            <v>106395619.60000001</v>
          </cell>
          <cell r="E142">
            <v>697000</v>
          </cell>
        </row>
        <row r="143">
          <cell r="A143" t="str">
            <v>0151</v>
          </cell>
          <cell r="B143">
            <v>91243901.9014</v>
          </cell>
          <cell r="C143">
            <v>136297624.34</v>
          </cell>
          <cell r="D143">
            <v>58200000</v>
          </cell>
          <cell r="E143">
            <v>1790000</v>
          </cell>
        </row>
        <row r="144">
          <cell r="A144" t="str">
            <v>0152</v>
          </cell>
          <cell r="B144">
            <v>128547227.5801</v>
          </cell>
          <cell r="C144">
            <v>89018538.441500008</v>
          </cell>
          <cell r="D144">
            <v>2500000</v>
          </cell>
          <cell r="E144">
            <v>4454213</v>
          </cell>
        </row>
        <row r="145">
          <cell r="A145" t="str">
            <v>0153</v>
          </cell>
          <cell r="B145">
            <v>191968996.56210002</v>
          </cell>
          <cell r="C145">
            <v>111827447.55000001</v>
          </cell>
          <cell r="D145">
            <v>55800000</v>
          </cell>
          <cell r="E145">
            <v>7856481</v>
          </cell>
        </row>
        <row r="146">
          <cell r="A146" t="str">
            <v>0154</v>
          </cell>
          <cell r="B146">
            <v>244007737.83160001</v>
          </cell>
          <cell r="C146">
            <v>42356076.105700001</v>
          </cell>
          <cell r="D146">
            <v>0</v>
          </cell>
          <cell r="E146">
            <v>3938485</v>
          </cell>
        </row>
        <row r="147">
          <cell r="A147" t="str">
            <v>0155</v>
          </cell>
          <cell r="B147">
            <v>197162866.15700001</v>
          </cell>
          <cell r="C147">
            <v>101146124.8531</v>
          </cell>
          <cell r="D147">
            <v>107271633</v>
          </cell>
          <cell r="E147">
            <v>1596104</v>
          </cell>
        </row>
        <row r="148">
          <cell r="A148" t="str">
            <v>0156</v>
          </cell>
          <cell r="B148">
            <v>152050047.5467</v>
          </cell>
          <cell r="C148">
            <v>403858397.17160004</v>
          </cell>
          <cell r="D148">
            <v>173956000</v>
          </cell>
          <cell r="E148">
            <v>3641882</v>
          </cell>
        </row>
        <row r="149">
          <cell r="A149" t="str">
            <v>0157</v>
          </cell>
          <cell r="B149">
            <v>99574172.632100001</v>
          </cell>
          <cell r="C149">
            <v>204789212.14930001</v>
          </cell>
          <cell r="D149">
            <v>95487161</v>
          </cell>
          <cell r="E149">
            <v>34251928.75</v>
          </cell>
        </row>
        <row r="150">
          <cell r="A150" t="str">
            <v>0158</v>
          </cell>
          <cell r="B150">
            <v>98764217.57190001</v>
          </cell>
          <cell r="C150">
            <v>60620597.690300003</v>
          </cell>
          <cell r="D150">
            <v>19600000</v>
          </cell>
          <cell r="E150">
            <v>3453262</v>
          </cell>
        </row>
        <row r="151">
          <cell r="A151" t="str">
            <v>0159</v>
          </cell>
          <cell r="B151">
            <v>96269195.653099999</v>
          </cell>
          <cell r="C151">
            <v>66311602.029300004</v>
          </cell>
          <cell r="D151">
            <v>38150000</v>
          </cell>
          <cell r="E151">
            <v>911400</v>
          </cell>
        </row>
        <row r="152">
          <cell r="A152" t="str">
            <v>0160</v>
          </cell>
          <cell r="B152">
            <v>157147521.4307</v>
          </cell>
          <cell r="C152">
            <v>62998532.855700001</v>
          </cell>
          <cell r="D152">
            <v>2610000</v>
          </cell>
          <cell r="E152">
            <v>3098500</v>
          </cell>
        </row>
        <row r="153">
          <cell r="A153" t="str">
            <v>0161</v>
          </cell>
          <cell r="B153">
            <v>205795958.81</v>
          </cell>
          <cell r="C153">
            <v>130085510.14</v>
          </cell>
          <cell r="D153">
            <v>117200000</v>
          </cell>
          <cell r="E153">
            <v>8914765</v>
          </cell>
        </row>
        <row r="154">
          <cell r="A154" t="str">
            <v>0162</v>
          </cell>
          <cell r="B154">
            <v>47748115.428900003</v>
          </cell>
          <cell r="C154">
            <v>34878476.964900002</v>
          </cell>
          <cell r="D154">
            <v>109434898.09</v>
          </cell>
          <cell r="E154">
            <v>0</v>
          </cell>
        </row>
        <row r="155">
          <cell r="A155" t="str">
            <v>0163</v>
          </cell>
          <cell r="B155">
            <v>133416559.50920001</v>
          </cell>
          <cell r="C155">
            <v>166809726.3935</v>
          </cell>
          <cell r="D155">
            <v>63928000</v>
          </cell>
          <cell r="E155">
            <v>0</v>
          </cell>
        </row>
        <row r="156">
          <cell r="A156" t="str">
            <v>0164</v>
          </cell>
          <cell r="B156">
            <v>202995136.37440002</v>
          </cell>
          <cell r="C156">
            <v>78569879.470100001</v>
          </cell>
          <cell r="D156">
            <v>1100000</v>
          </cell>
          <cell r="E156">
            <v>7656690</v>
          </cell>
        </row>
        <row r="157">
          <cell r="A157" t="str">
            <v>0165</v>
          </cell>
          <cell r="B157">
            <v>157722549.8258</v>
          </cell>
          <cell r="C157">
            <v>53955579.821100004</v>
          </cell>
          <cell r="D157">
            <v>25292000</v>
          </cell>
          <cell r="E157">
            <v>3261530</v>
          </cell>
        </row>
        <row r="158">
          <cell r="A158" t="str">
            <v>0166</v>
          </cell>
          <cell r="B158">
            <v>118133336.8568</v>
          </cell>
          <cell r="C158">
            <v>129211588.48110001</v>
          </cell>
          <cell r="D158">
            <v>44700000</v>
          </cell>
          <cell r="E158">
            <v>4396045</v>
          </cell>
        </row>
        <row r="159">
          <cell r="A159" t="str">
            <v>0167</v>
          </cell>
          <cell r="B159">
            <v>62439621.490000002</v>
          </cell>
          <cell r="C159">
            <v>23354230.27</v>
          </cell>
          <cell r="D159">
            <v>161659850</v>
          </cell>
          <cell r="E159">
            <v>205000</v>
          </cell>
        </row>
        <row r="160">
          <cell r="A160" t="str">
            <v>0168</v>
          </cell>
          <cell r="B160">
            <v>156688504.8294</v>
          </cell>
          <cell r="C160">
            <v>117776886.52800001</v>
          </cell>
          <cell r="D160">
            <v>16500000</v>
          </cell>
          <cell r="E160">
            <v>355480</v>
          </cell>
        </row>
        <row r="161">
          <cell r="A161" t="str">
            <v>0169</v>
          </cell>
          <cell r="B161">
            <v>68671676.530900002</v>
          </cell>
          <cell r="C161">
            <v>65852024.870500006</v>
          </cell>
          <cell r="D161">
            <v>8000000</v>
          </cell>
          <cell r="E161">
            <v>3850</v>
          </cell>
        </row>
        <row r="162">
          <cell r="A162" t="str">
            <v>0170</v>
          </cell>
          <cell r="B162">
            <v>306346405.53430003</v>
          </cell>
          <cell r="C162">
            <v>70080813.628399998</v>
          </cell>
          <cell r="D162">
            <v>75000000</v>
          </cell>
          <cell r="E162">
            <v>4771664</v>
          </cell>
        </row>
        <row r="163">
          <cell r="A163" t="str">
            <v>0171</v>
          </cell>
          <cell r="B163">
            <v>109713919.12</v>
          </cell>
          <cell r="C163">
            <v>17596380.130000003</v>
          </cell>
          <cell r="D163">
            <v>5180000</v>
          </cell>
          <cell r="E163">
            <v>3577099</v>
          </cell>
        </row>
        <row r="164">
          <cell r="A164" t="str">
            <v>0172</v>
          </cell>
          <cell r="B164">
            <v>77565216.439999998</v>
          </cell>
          <cell r="C164">
            <v>25766110.710000001</v>
          </cell>
          <cell r="D164">
            <v>2800000</v>
          </cell>
          <cell r="E164">
            <v>1281196</v>
          </cell>
        </row>
        <row r="165">
          <cell r="A165" t="str">
            <v>0173</v>
          </cell>
          <cell r="B165">
            <v>88998895.219999999</v>
          </cell>
          <cell r="C165">
            <v>89228726.989399999</v>
          </cell>
          <cell r="D165">
            <v>21400000</v>
          </cell>
          <cell r="E165">
            <v>3224756</v>
          </cell>
        </row>
        <row r="166">
          <cell r="A166" t="str">
            <v>0174</v>
          </cell>
          <cell r="B166">
            <v>64505816.920400001</v>
          </cell>
          <cell r="C166">
            <v>18410895.670000002</v>
          </cell>
          <cell r="D166">
            <v>0</v>
          </cell>
          <cell r="E166">
            <v>695000</v>
          </cell>
        </row>
        <row r="167">
          <cell r="A167" t="str">
            <v>0175</v>
          </cell>
          <cell r="B167">
            <v>119603582.73</v>
          </cell>
          <cell r="C167">
            <v>60156647.57</v>
          </cell>
          <cell r="D167">
            <v>39211580</v>
          </cell>
          <cell r="E167">
            <v>1362330</v>
          </cell>
        </row>
        <row r="168">
          <cell r="A168" t="str">
            <v>0176</v>
          </cell>
          <cell r="B168">
            <v>53064815.450000003</v>
          </cell>
          <cell r="C168">
            <v>43792448.5</v>
          </cell>
          <cell r="D168">
            <v>6300000</v>
          </cell>
          <cell r="E168">
            <v>1267000</v>
          </cell>
        </row>
        <row r="169">
          <cell r="A169" t="str">
            <v>0177</v>
          </cell>
          <cell r="B169">
            <v>122884880.5643</v>
          </cell>
          <cell r="C169">
            <v>89119606.645600006</v>
          </cell>
          <cell r="D169">
            <v>13197087</v>
          </cell>
          <cell r="E169">
            <v>1350000</v>
          </cell>
        </row>
        <row r="170">
          <cell r="A170" t="str">
            <v>0178</v>
          </cell>
          <cell r="B170">
            <v>95081165.393700004</v>
          </cell>
          <cell r="C170">
            <v>78348689.870000005</v>
          </cell>
          <cell r="D170">
            <v>5600000</v>
          </cell>
          <cell r="E170">
            <v>33300</v>
          </cell>
        </row>
        <row r="171">
          <cell r="A171" t="str">
            <v>0179</v>
          </cell>
          <cell r="B171">
            <v>67214926.118500009</v>
          </cell>
          <cell r="C171">
            <v>40547897.600000001</v>
          </cell>
          <cell r="D171">
            <v>8400000</v>
          </cell>
          <cell r="E171">
            <v>6800</v>
          </cell>
        </row>
        <row r="172">
          <cell r="A172" t="str">
            <v>0180</v>
          </cell>
          <cell r="B172">
            <v>31117247.700000003</v>
          </cell>
          <cell r="C172">
            <v>26087034.32</v>
          </cell>
          <cell r="D172">
            <v>5000000</v>
          </cell>
          <cell r="E172">
            <v>0</v>
          </cell>
        </row>
        <row r="173">
          <cell r="A173" t="str">
            <v>0181</v>
          </cell>
          <cell r="B173">
            <v>148782969.15350002</v>
          </cell>
          <cell r="C173">
            <v>39878314.010000005</v>
          </cell>
          <cell r="D173">
            <v>20000000</v>
          </cell>
          <cell r="E173">
            <v>1650000</v>
          </cell>
        </row>
        <row r="174">
          <cell r="A174" t="str">
            <v>0182</v>
          </cell>
          <cell r="B174">
            <v>115650459.4571</v>
          </cell>
          <cell r="C174">
            <v>19986417.93</v>
          </cell>
          <cell r="D174">
            <v>3750000</v>
          </cell>
          <cell r="E174">
            <v>0</v>
          </cell>
        </row>
        <row r="175">
          <cell r="A175" t="str">
            <v>0183</v>
          </cell>
          <cell r="B175">
            <v>127488795.75240001</v>
          </cell>
          <cell r="C175">
            <v>118147733.29170001</v>
          </cell>
          <cell r="D175">
            <v>14750000</v>
          </cell>
          <cell r="E175">
            <v>9433209</v>
          </cell>
        </row>
        <row r="176">
          <cell r="A176" t="str">
            <v>0184</v>
          </cell>
          <cell r="B176">
            <v>76536997.526800007</v>
          </cell>
          <cell r="C176">
            <v>104592306.6374</v>
          </cell>
          <cell r="D176">
            <v>18900000</v>
          </cell>
          <cell r="E176">
            <v>1265400</v>
          </cell>
        </row>
        <row r="177">
          <cell r="A177" t="str">
            <v>0185</v>
          </cell>
          <cell r="B177">
            <v>111715045.5689</v>
          </cell>
          <cell r="C177">
            <v>109716587.56</v>
          </cell>
          <cell r="D177">
            <v>184715000</v>
          </cell>
          <cell r="E177">
            <v>2124960</v>
          </cell>
        </row>
        <row r="178">
          <cell r="A178" t="str">
            <v>0186</v>
          </cell>
          <cell r="B178">
            <v>223993218.76000002</v>
          </cell>
          <cell r="C178">
            <v>10808286.190000001</v>
          </cell>
          <cell r="D178">
            <v>42000000</v>
          </cell>
          <cell r="E178">
            <v>0</v>
          </cell>
        </row>
        <row r="179">
          <cell r="A179" t="str">
            <v>0187</v>
          </cell>
          <cell r="B179">
            <v>76518066.010000005</v>
          </cell>
          <cell r="C179">
            <v>32755106.7016</v>
          </cell>
          <cell r="D179">
            <v>11300000</v>
          </cell>
          <cell r="E179">
            <v>790500</v>
          </cell>
        </row>
        <row r="180">
          <cell r="A180" t="str">
            <v>0188</v>
          </cell>
          <cell r="B180">
            <v>37692680.526100002</v>
          </cell>
          <cell r="C180">
            <v>45646555.539999999</v>
          </cell>
          <cell r="D180">
            <v>11500000</v>
          </cell>
          <cell r="E180">
            <v>0</v>
          </cell>
        </row>
        <row r="181">
          <cell r="A181" t="str">
            <v>0189</v>
          </cell>
          <cell r="B181">
            <v>14297726.317600001</v>
          </cell>
          <cell r="C181">
            <v>13311154.390000001</v>
          </cell>
          <cell r="D181">
            <v>21500000</v>
          </cell>
          <cell r="E181">
            <v>225000</v>
          </cell>
        </row>
        <row r="182">
          <cell r="A182" t="str">
            <v>0190</v>
          </cell>
          <cell r="B182">
            <v>79036464.422700003</v>
          </cell>
          <cell r="C182">
            <v>45658699.308000006</v>
          </cell>
          <cell r="D182">
            <v>8530000</v>
          </cell>
          <cell r="E182">
            <v>1251500</v>
          </cell>
        </row>
        <row r="183">
          <cell r="A183" t="str">
            <v>0191</v>
          </cell>
          <cell r="B183">
            <v>100013343.56570001</v>
          </cell>
          <cell r="C183">
            <v>50522914</v>
          </cell>
          <cell r="D183">
            <v>21100000</v>
          </cell>
          <cell r="E183">
            <v>5000000</v>
          </cell>
        </row>
        <row r="184">
          <cell r="A184" t="str">
            <v>0192</v>
          </cell>
          <cell r="B184">
            <v>96602178.45570001</v>
          </cell>
          <cell r="C184">
            <v>42191189.960000001</v>
          </cell>
          <cell r="D184">
            <v>0</v>
          </cell>
          <cell r="E184">
            <v>1855000</v>
          </cell>
        </row>
        <row r="185">
          <cell r="A185" t="str">
            <v>0193</v>
          </cell>
          <cell r="B185">
            <v>62093611.960000001</v>
          </cell>
          <cell r="C185">
            <v>15317585.220700001</v>
          </cell>
          <cell r="D185">
            <v>3000000</v>
          </cell>
          <cell r="E185">
            <v>4300</v>
          </cell>
        </row>
        <row r="186">
          <cell r="A186" t="str">
            <v>0194</v>
          </cell>
          <cell r="B186">
            <v>81374325.760000005</v>
          </cell>
          <cell r="C186">
            <v>28062421.380000003</v>
          </cell>
          <cell r="D186">
            <v>13000000</v>
          </cell>
          <cell r="E186">
            <v>150000</v>
          </cell>
        </row>
        <row r="187">
          <cell r="A187" t="str">
            <v>0195</v>
          </cell>
          <cell r="B187">
            <v>121501450.8769</v>
          </cell>
          <cell r="C187">
            <v>228103033.64000002</v>
          </cell>
          <cell r="D187">
            <v>156110000</v>
          </cell>
          <cell r="E187">
            <v>1143760</v>
          </cell>
        </row>
        <row r="188">
          <cell r="A188" t="str">
            <v>0196</v>
          </cell>
          <cell r="B188">
            <v>69068957.88000001</v>
          </cell>
          <cell r="C188">
            <v>5131349.5100000007</v>
          </cell>
          <cell r="D188">
            <v>20000000</v>
          </cell>
          <cell r="E188">
            <v>0</v>
          </cell>
        </row>
        <row r="189">
          <cell r="A189" t="str">
            <v>0197</v>
          </cell>
          <cell r="B189">
            <v>64128956.490000002</v>
          </cell>
          <cell r="C189">
            <v>10895959.380000001</v>
          </cell>
          <cell r="D189">
            <v>10000000</v>
          </cell>
          <cell r="E189">
            <v>0</v>
          </cell>
        </row>
        <row r="190">
          <cell r="A190" t="str">
            <v>0198</v>
          </cell>
          <cell r="B190">
            <v>11257169</v>
          </cell>
          <cell r="C190">
            <v>9462067.9900000002</v>
          </cell>
          <cell r="D190">
            <v>0</v>
          </cell>
          <cell r="E190">
            <v>0</v>
          </cell>
        </row>
        <row r="191">
          <cell r="A191" t="str">
            <v>0199</v>
          </cell>
          <cell r="B191">
            <v>46231018.770000003</v>
          </cell>
          <cell r="C191">
            <v>10195057</v>
          </cell>
          <cell r="D191">
            <v>1000000</v>
          </cell>
          <cell r="E191">
            <v>0</v>
          </cell>
        </row>
        <row r="192">
          <cell r="A192" t="str">
            <v>0200</v>
          </cell>
          <cell r="B192">
            <v>38184249.800000004</v>
          </cell>
          <cell r="C192">
            <v>9159067.6600000001</v>
          </cell>
          <cell r="D192">
            <v>0</v>
          </cell>
          <cell r="E192">
            <v>0</v>
          </cell>
        </row>
        <row r="193">
          <cell r="A193" t="str">
            <v>0201</v>
          </cell>
          <cell r="B193">
            <v>30990520.640000001</v>
          </cell>
          <cell r="C193">
            <v>7227802.3500000006</v>
          </cell>
          <cell r="D193">
            <v>0</v>
          </cell>
          <cell r="E193">
            <v>0</v>
          </cell>
        </row>
        <row r="194">
          <cell r="A194" t="str">
            <v>0202</v>
          </cell>
          <cell r="B194">
            <v>41929418.68</v>
          </cell>
          <cell r="C194">
            <v>2412150</v>
          </cell>
          <cell r="D194">
            <v>0</v>
          </cell>
          <cell r="E194">
            <v>165000</v>
          </cell>
        </row>
        <row r="195">
          <cell r="A195" t="str">
            <v>0203</v>
          </cell>
          <cell r="B195">
            <v>100976672.96000001</v>
          </cell>
          <cell r="C195">
            <v>24804232.580000002</v>
          </cell>
          <cell r="D195">
            <v>25718360</v>
          </cell>
          <cell r="E195">
            <v>469500</v>
          </cell>
        </row>
        <row r="196">
          <cell r="A196" t="str">
            <v>0204</v>
          </cell>
          <cell r="B196">
            <v>8020702</v>
          </cell>
          <cell r="C196">
            <v>22991000</v>
          </cell>
          <cell r="D196">
            <v>9993262</v>
          </cell>
          <cell r="E196">
            <v>0</v>
          </cell>
        </row>
        <row r="197">
          <cell r="A197" t="str">
            <v>0205</v>
          </cell>
          <cell r="B197">
            <v>41501424.580000006</v>
          </cell>
          <cell r="C197">
            <v>2035648</v>
          </cell>
          <cell r="D197">
            <v>0</v>
          </cell>
          <cell r="E197">
            <v>0</v>
          </cell>
        </row>
        <row r="198">
          <cell r="A198" t="str">
            <v>0206</v>
          </cell>
          <cell r="B198">
            <v>40640523.899999999</v>
          </cell>
          <cell r="C198">
            <v>31824360.270000003</v>
          </cell>
          <cell r="D198">
            <v>0</v>
          </cell>
          <cell r="E198">
            <v>0</v>
          </cell>
        </row>
        <row r="199">
          <cell r="A199" t="str">
            <v>0207</v>
          </cell>
          <cell r="B199">
            <v>9549269.8399999999</v>
          </cell>
          <cell r="C199">
            <v>27874922.390000001</v>
          </cell>
          <cell r="D199">
            <v>0</v>
          </cell>
          <cell r="E199">
            <v>0</v>
          </cell>
        </row>
        <row r="200">
          <cell r="A200" t="str">
            <v>0208</v>
          </cell>
          <cell r="B200">
            <v>10944673</v>
          </cell>
          <cell r="C200">
            <v>0</v>
          </cell>
          <cell r="D200">
            <v>0</v>
          </cell>
          <cell r="E200">
            <v>0</v>
          </cell>
        </row>
        <row r="201">
          <cell r="A201" t="str">
            <v>0209</v>
          </cell>
          <cell r="B201">
            <v>719762</v>
          </cell>
          <cell r="C201">
            <v>14666165</v>
          </cell>
          <cell r="D201">
            <v>0</v>
          </cell>
          <cell r="E201">
            <v>0</v>
          </cell>
        </row>
        <row r="202">
          <cell r="A202" t="str">
            <v>0210</v>
          </cell>
          <cell r="B202">
            <v>3239617</v>
          </cell>
          <cell r="C202">
            <v>16307441</v>
          </cell>
          <cell r="D202">
            <v>10600000</v>
          </cell>
          <cell r="E202">
            <v>0</v>
          </cell>
        </row>
        <row r="203">
          <cell r="A203" t="str">
            <v>0211</v>
          </cell>
          <cell r="B203">
            <v>9442442</v>
          </cell>
          <cell r="C203">
            <v>11845102</v>
          </cell>
          <cell r="D203">
            <v>0</v>
          </cell>
          <cell r="E203">
            <v>0</v>
          </cell>
        </row>
        <row r="204">
          <cell r="A204" t="str">
            <v>0212</v>
          </cell>
          <cell r="B204">
            <v>39127327.230000004</v>
          </cell>
          <cell r="C204">
            <v>57526340.950000003</v>
          </cell>
          <cell r="D204">
            <v>62780000</v>
          </cell>
          <cell r="E204">
            <v>0</v>
          </cell>
        </row>
        <row r="205">
          <cell r="A205" t="str">
            <v>0213</v>
          </cell>
          <cell r="B205">
            <v>184636278.68000001</v>
          </cell>
          <cell r="C205">
            <v>1008757.9600000001</v>
          </cell>
          <cell r="D205">
            <v>0</v>
          </cell>
          <cell r="E205">
            <v>0</v>
          </cell>
        </row>
        <row r="206">
          <cell r="A206" t="str">
            <v>0214</v>
          </cell>
          <cell r="B206">
            <v>40190211.219999999</v>
          </cell>
          <cell r="C206">
            <v>11154580.220000001</v>
          </cell>
          <cell r="D206">
            <v>3000000</v>
          </cell>
          <cell r="E206">
            <v>12000</v>
          </cell>
        </row>
        <row r="207">
          <cell r="A207" t="str">
            <v>0215</v>
          </cell>
          <cell r="B207">
            <v>22173722.080000002</v>
          </cell>
          <cell r="C207">
            <v>5230279.71</v>
          </cell>
          <cell r="D207">
            <v>800000</v>
          </cell>
          <cell r="E207">
            <v>0</v>
          </cell>
        </row>
        <row r="208">
          <cell r="A208" t="str">
            <v>0216</v>
          </cell>
          <cell r="B208">
            <v>9542469.1400000006</v>
          </cell>
          <cell r="C208">
            <v>4075446.9000000004</v>
          </cell>
          <cell r="D208">
            <v>0</v>
          </cell>
          <cell r="E208">
            <v>0</v>
          </cell>
        </row>
        <row r="209">
          <cell r="A209" t="str">
            <v>0217</v>
          </cell>
          <cell r="B209">
            <v>23042153</v>
          </cell>
          <cell r="C209">
            <v>0</v>
          </cell>
          <cell r="D209">
            <v>0</v>
          </cell>
          <cell r="E209">
            <v>0</v>
          </cell>
        </row>
        <row r="210">
          <cell r="A210" t="str">
            <v>0218</v>
          </cell>
          <cell r="B210">
            <v>4131404</v>
          </cell>
          <cell r="C210">
            <v>513310</v>
          </cell>
          <cell r="D210">
            <v>0</v>
          </cell>
          <cell r="E210">
            <v>0</v>
          </cell>
        </row>
        <row r="211">
          <cell r="A211" t="str">
            <v>0219</v>
          </cell>
          <cell r="B211">
            <v>379570724.09530002</v>
          </cell>
          <cell r="C211">
            <v>6049769.2700000005</v>
          </cell>
          <cell r="D211">
            <v>15000000</v>
          </cell>
          <cell r="E211">
            <v>0</v>
          </cell>
        </row>
        <row r="212">
          <cell r="A212" t="str">
            <v>0220</v>
          </cell>
          <cell r="B212">
            <v>89035203.479400009</v>
          </cell>
          <cell r="C212">
            <v>172725360.98160002</v>
          </cell>
          <cell r="D212">
            <v>38800000</v>
          </cell>
          <cell r="E212">
            <v>2086000</v>
          </cell>
        </row>
        <row r="213">
          <cell r="A213" t="str">
            <v>0221</v>
          </cell>
          <cell r="B213">
            <v>260412586.99040002</v>
          </cell>
          <cell r="C213">
            <v>168579309.78920001</v>
          </cell>
          <cell r="D213">
            <v>257753280</v>
          </cell>
          <cell r="E213">
            <v>46788110</v>
          </cell>
        </row>
        <row r="214">
          <cell r="A214" t="str">
            <v>0222</v>
          </cell>
          <cell r="B214">
            <v>30265872.370000001</v>
          </cell>
          <cell r="C214">
            <v>68989701.430000007</v>
          </cell>
          <cell r="D214">
            <v>1000000</v>
          </cell>
          <cell r="E214">
            <v>0</v>
          </cell>
        </row>
        <row r="215">
          <cell r="A215" t="str">
            <v>0223</v>
          </cell>
          <cell r="B215">
            <v>26081909.220000003</v>
          </cell>
          <cell r="C215">
            <v>4377072.5</v>
          </cell>
          <cell r="D215">
            <v>0</v>
          </cell>
          <cell r="E215">
            <v>0</v>
          </cell>
        </row>
        <row r="216">
          <cell r="A216" t="str">
            <v>0224</v>
          </cell>
          <cell r="B216">
            <v>46399550.380000003</v>
          </cell>
          <cell r="C216">
            <v>7155349.8300000001</v>
          </cell>
          <cell r="D216">
            <v>0</v>
          </cell>
          <cell r="E216">
            <v>0</v>
          </cell>
        </row>
        <row r="217">
          <cell r="A217" t="str">
            <v>0225</v>
          </cell>
          <cell r="B217">
            <v>39214652</v>
          </cell>
          <cell r="C217">
            <v>2528420.33</v>
          </cell>
          <cell r="D217">
            <v>0</v>
          </cell>
          <cell r="E217">
            <v>480000</v>
          </cell>
        </row>
        <row r="218">
          <cell r="A218" t="str">
            <v>0226</v>
          </cell>
          <cell r="B218">
            <v>19556935</v>
          </cell>
          <cell r="C218">
            <v>7902031</v>
          </cell>
          <cell r="D218">
            <v>100000</v>
          </cell>
          <cell r="E218">
            <v>0</v>
          </cell>
        </row>
        <row r="219">
          <cell r="A219" t="str">
            <v>0227</v>
          </cell>
          <cell r="B219">
            <v>34403850.730000004</v>
          </cell>
          <cell r="C219">
            <v>4354778</v>
          </cell>
          <cell r="D219">
            <v>100000</v>
          </cell>
          <cell r="E219">
            <v>0</v>
          </cell>
        </row>
        <row r="220">
          <cell r="A220" t="str">
            <v>0228</v>
          </cell>
          <cell r="B220">
            <v>754850</v>
          </cell>
          <cell r="C220">
            <v>684169</v>
          </cell>
          <cell r="D220">
            <v>0</v>
          </cell>
          <cell r="E220">
            <v>0</v>
          </cell>
        </row>
        <row r="221">
          <cell r="A221" t="str">
            <v>0229</v>
          </cell>
          <cell r="B221">
            <v>0</v>
          </cell>
          <cell r="C221">
            <v>5000</v>
          </cell>
          <cell r="D221">
            <v>0</v>
          </cell>
          <cell r="E221">
            <v>0</v>
          </cell>
        </row>
        <row r="222">
          <cell r="A222" t="str">
            <v>0230</v>
          </cell>
          <cell r="B222">
            <v>6822675</v>
          </cell>
          <cell r="C222">
            <v>1332875</v>
          </cell>
          <cell r="D222">
            <v>0</v>
          </cell>
          <cell r="E222">
            <v>0</v>
          </cell>
        </row>
        <row r="223">
          <cell r="A223" t="str">
            <v>0231</v>
          </cell>
          <cell r="B223">
            <v>1250325</v>
          </cell>
          <cell r="C223">
            <v>3330</v>
          </cell>
          <cell r="D223">
            <v>0</v>
          </cell>
          <cell r="E223">
            <v>0</v>
          </cell>
        </row>
        <row r="224">
          <cell r="A224" t="str">
            <v>0404</v>
          </cell>
          <cell r="B224">
            <v>347132848.77590001</v>
          </cell>
          <cell r="C224">
            <v>385078580.00950003</v>
          </cell>
          <cell r="D224">
            <v>97277880</v>
          </cell>
          <cell r="E224">
            <v>40376890.5</v>
          </cell>
        </row>
        <row r="225">
          <cell r="A225" t="str">
            <v>0407</v>
          </cell>
          <cell r="B225">
            <v>177303352.62620002</v>
          </cell>
          <cell r="C225">
            <v>168107590.78</v>
          </cell>
          <cell r="D225">
            <v>174680000</v>
          </cell>
          <cell r="E225">
            <v>2165706</v>
          </cell>
        </row>
      </sheetData>
      <sheetData sheetId="4" refreshError="1"/>
      <sheetData sheetId="5" refreshError="1"/>
      <sheetData sheetId="6" refreshError="1"/>
      <sheetData sheetId="7" refreshError="1">
        <row r="8">
          <cell r="F8">
            <v>40163</v>
          </cell>
          <cell r="G8">
            <v>40164</v>
          </cell>
          <cell r="K8" t="str">
            <v>FCY</v>
          </cell>
          <cell r="AD8">
            <v>40163</v>
          </cell>
          <cell r="AE8">
            <v>40164</v>
          </cell>
        </row>
        <row r="9">
          <cell r="F9">
            <v>580.43675889999997</v>
          </cell>
          <cell r="G9">
            <v>585.73094779999997</v>
          </cell>
          <cell r="K9">
            <v>22.92</v>
          </cell>
          <cell r="AD9">
            <v>135.34539989999999</v>
          </cell>
          <cell r="AE9">
            <v>136.07214869999999</v>
          </cell>
        </row>
        <row r="10">
          <cell r="F10">
            <v>487.51176989999999</v>
          </cell>
          <cell r="G10">
            <v>476.84768280000003</v>
          </cell>
          <cell r="K10">
            <v>8.2363</v>
          </cell>
          <cell r="AD10">
            <v>121.1660498</v>
          </cell>
          <cell r="AE10">
            <v>117.70890279999999</v>
          </cell>
        </row>
        <row r="11">
          <cell r="F11">
            <v>1607.5501388999999</v>
          </cell>
          <cell r="G11">
            <v>1622.4147822</v>
          </cell>
          <cell r="K11">
            <v>36.006700000000002</v>
          </cell>
          <cell r="AD11">
            <v>1290.2837946</v>
          </cell>
          <cell r="AE11">
            <v>1290.2837946</v>
          </cell>
        </row>
        <row r="12">
          <cell r="F12">
            <v>375.81078220000001</v>
          </cell>
          <cell r="G12">
            <v>378.84800670000004</v>
          </cell>
          <cell r="K12">
            <v>6.8487</v>
          </cell>
          <cell r="AD12">
            <v>14.211249299999999</v>
          </cell>
          <cell r="AE12">
            <v>14.211249299999999</v>
          </cell>
        </row>
        <row r="13">
          <cell r="F13">
            <v>1543.7214363000001</v>
          </cell>
          <cell r="G13">
            <v>1558.0679653</v>
          </cell>
          <cell r="K13">
            <v>4.6711</v>
          </cell>
          <cell r="AD13">
            <v>878.87874799999997</v>
          </cell>
          <cell r="AE13">
            <v>912.83295399999997</v>
          </cell>
        </row>
        <row r="14">
          <cell r="F14">
            <v>1931.1939600000001</v>
          </cell>
          <cell r="G14">
            <v>1876.7854228000001</v>
          </cell>
          <cell r="K14">
            <v>5.2819000000000003</v>
          </cell>
          <cell r="AD14">
            <v>724.97540630000003</v>
          </cell>
          <cell r="AE14">
            <v>724.65135970000006</v>
          </cell>
        </row>
        <row r="15">
          <cell r="F15">
            <v>760.41987089999998</v>
          </cell>
          <cell r="G15">
            <v>762.61636410000006</v>
          </cell>
          <cell r="K15">
            <v>20.7654</v>
          </cell>
          <cell r="AD15">
            <v>57.127665200000003</v>
          </cell>
          <cell r="AE15">
            <v>57.087665200000004</v>
          </cell>
        </row>
        <row r="16">
          <cell r="F16">
            <v>1487.9230286999998</v>
          </cell>
          <cell r="G16">
            <v>1488.2786487000001</v>
          </cell>
          <cell r="K16">
            <v>5.4000000000000003E-3</v>
          </cell>
          <cell r="AD16">
            <v>385.85917320000004</v>
          </cell>
          <cell r="AE16">
            <v>382.25385940000001</v>
          </cell>
        </row>
        <row r="17">
          <cell r="F17">
            <v>9456.4518179000006</v>
          </cell>
          <cell r="G17">
            <v>10500.5156818</v>
          </cell>
          <cell r="K17">
            <v>93.481400000000008</v>
          </cell>
          <cell r="AD17">
            <v>7312.7292871</v>
          </cell>
          <cell r="AE17">
            <v>7090.6052718000001</v>
          </cell>
        </row>
        <row r="18">
          <cell r="F18">
            <v>860.26907499999993</v>
          </cell>
          <cell r="G18">
            <v>899.32839460000002</v>
          </cell>
          <cell r="K18">
            <v>52.922800000000002</v>
          </cell>
          <cell r="AD18">
            <v>1524.1443204000002</v>
          </cell>
          <cell r="AE18">
            <v>1511.080013</v>
          </cell>
        </row>
        <row r="19">
          <cell r="F19">
            <v>296.48023000000001</v>
          </cell>
          <cell r="G19">
            <v>273.58634000000001</v>
          </cell>
          <cell r="K19">
            <v>30.1373</v>
          </cell>
          <cell r="AD19">
            <v>204.77456380000001</v>
          </cell>
          <cell r="AE19">
            <v>202.0796441</v>
          </cell>
        </row>
        <row r="20">
          <cell r="F20">
            <v>253.17710500000001</v>
          </cell>
          <cell r="G20">
            <v>277.98520569999999</v>
          </cell>
          <cell r="K20">
            <v>7.3391999999999999</v>
          </cell>
          <cell r="AD20">
            <v>6.5972244</v>
          </cell>
          <cell r="AE20">
            <v>6.5972244</v>
          </cell>
        </row>
        <row r="21">
          <cell r="F21">
            <v>292.69848950000005</v>
          </cell>
          <cell r="G21">
            <v>293.04262319999998</v>
          </cell>
          <cell r="K21">
            <v>33.357600000000005</v>
          </cell>
          <cell r="AD21">
            <v>1.673505</v>
          </cell>
          <cell r="AE21">
            <v>1.673505</v>
          </cell>
        </row>
        <row r="22">
          <cell r="F22">
            <v>1249.4321077</v>
          </cell>
          <cell r="G22">
            <v>1265.8585811999999</v>
          </cell>
          <cell r="K22">
            <v>27.156100000000002</v>
          </cell>
          <cell r="AD22">
            <v>1395.7876881</v>
          </cell>
          <cell r="AE22">
            <v>1378.4979631000001</v>
          </cell>
        </row>
        <row r="23">
          <cell r="F23">
            <v>442.77120230000003</v>
          </cell>
          <cell r="G23">
            <v>441.52723140000001</v>
          </cell>
          <cell r="K23">
            <v>0</v>
          </cell>
          <cell r="AD23">
            <v>49.908622700000002</v>
          </cell>
          <cell r="AE23">
            <v>50.071821499999999</v>
          </cell>
        </row>
        <row r="24">
          <cell r="F24">
            <v>0</v>
          </cell>
          <cell r="G24">
            <v>0.13</v>
          </cell>
          <cell r="K24">
            <v>0</v>
          </cell>
          <cell r="AD24">
            <v>0</v>
          </cell>
          <cell r="AE24">
            <v>0</v>
          </cell>
        </row>
        <row r="25">
          <cell r="F25">
            <v>21625.847773199996</v>
          </cell>
          <cell r="G25">
            <v>22701.563878299999</v>
          </cell>
          <cell r="K25">
            <v>349.12989999999996</v>
          </cell>
          <cell r="AD25">
            <v>14103.462697800001</v>
          </cell>
          <cell r="AE25">
            <v>13875.707376600003</v>
          </cell>
        </row>
        <row r="29">
          <cell r="F29">
            <v>40163</v>
          </cell>
          <cell r="G29">
            <v>40164</v>
          </cell>
          <cell r="K29" t="str">
            <v>FCY</v>
          </cell>
          <cell r="AD29">
            <v>40163</v>
          </cell>
          <cell r="AE29">
            <v>40164</v>
          </cell>
        </row>
        <row r="30">
          <cell r="F30">
            <v>432.76610389999996</v>
          </cell>
          <cell r="G30">
            <v>442.71482750000001</v>
          </cell>
          <cell r="K30">
            <v>11.387500000000001</v>
          </cell>
          <cell r="AD30">
            <v>658.19867039999997</v>
          </cell>
          <cell r="AE30">
            <v>662.43763119999994</v>
          </cell>
        </row>
        <row r="31">
          <cell r="F31">
            <v>568.39487990000009</v>
          </cell>
          <cell r="G31">
            <v>567.0443156</v>
          </cell>
          <cell r="K31">
            <v>0</v>
          </cell>
          <cell r="AD31">
            <v>46.797554600000005</v>
          </cell>
          <cell r="AE31">
            <v>46.797554600000005</v>
          </cell>
        </row>
        <row r="32">
          <cell r="F32">
            <v>248.68389490000001</v>
          </cell>
          <cell r="G32">
            <v>249.85127840000001</v>
          </cell>
          <cell r="K32">
            <v>30.234400000000001</v>
          </cell>
          <cell r="AD32">
            <v>9.2566874000000006</v>
          </cell>
          <cell r="AE32">
            <v>9.2566874000000006</v>
          </cell>
        </row>
        <row r="33">
          <cell r="F33">
            <v>113.87565069999999</v>
          </cell>
          <cell r="G33">
            <v>108.32984119999999</v>
          </cell>
          <cell r="K33">
            <v>0</v>
          </cell>
          <cell r="AD33">
            <v>0.92236490000000004</v>
          </cell>
          <cell r="AE33">
            <v>0.92236490000000004</v>
          </cell>
        </row>
        <row r="34">
          <cell r="F34">
            <v>711.54170539999996</v>
          </cell>
          <cell r="G34">
            <v>724.78053160000002</v>
          </cell>
          <cell r="K34">
            <v>0</v>
          </cell>
          <cell r="AD34">
            <v>56.526259400000001</v>
          </cell>
          <cell r="AE34">
            <v>56.834105399999999</v>
          </cell>
        </row>
        <row r="35">
          <cell r="F35">
            <v>339.52852669999999</v>
          </cell>
          <cell r="G35">
            <v>338.2971005</v>
          </cell>
          <cell r="K35">
            <v>47.9253</v>
          </cell>
          <cell r="AD35">
            <v>44.848482000000004</v>
          </cell>
          <cell r="AE35">
            <v>46.157732000000003</v>
          </cell>
        </row>
        <row r="36">
          <cell r="F36">
            <v>72.775563200000008</v>
          </cell>
          <cell r="G36">
            <v>73.869187099999991</v>
          </cell>
          <cell r="K36">
            <v>0</v>
          </cell>
          <cell r="AD36">
            <v>10.334594900000001</v>
          </cell>
          <cell r="AE36">
            <v>10.427394899999999</v>
          </cell>
        </row>
        <row r="37">
          <cell r="F37">
            <v>220.2358921</v>
          </cell>
          <cell r="G37">
            <v>226.91911569999999</v>
          </cell>
          <cell r="K37">
            <v>0</v>
          </cell>
          <cell r="AD37">
            <v>22.516728999999998</v>
          </cell>
          <cell r="AE37">
            <v>23.119229000000001</v>
          </cell>
        </row>
        <row r="38">
          <cell r="F38">
            <v>248.2067783</v>
          </cell>
          <cell r="G38">
            <v>255.03164319999999</v>
          </cell>
          <cell r="K38">
            <v>6.1196999999999999</v>
          </cell>
          <cell r="AD38">
            <v>29.078538500000001</v>
          </cell>
          <cell r="AE38">
            <v>29.051538499999999</v>
          </cell>
        </row>
        <row r="39">
          <cell r="F39">
            <v>499.39566539999998</v>
          </cell>
          <cell r="G39">
            <v>508.95150619999998</v>
          </cell>
          <cell r="K39">
            <v>58.911000000000001</v>
          </cell>
          <cell r="AD39">
            <v>6.4738572999999997</v>
          </cell>
          <cell r="AE39">
            <v>6.4671573000000002</v>
          </cell>
        </row>
        <row r="40">
          <cell r="F40">
            <v>100.65481560000001</v>
          </cell>
          <cell r="G40">
            <v>99.405203999999998</v>
          </cell>
          <cell r="K40">
            <v>0</v>
          </cell>
          <cell r="AD40">
            <v>3.7097237000000001</v>
          </cell>
          <cell r="AE40">
            <v>3.7097237000000001</v>
          </cell>
        </row>
        <row r="41">
          <cell r="F41">
            <v>34449.978857800001</v>
          </cell>
          <cell r="G41">
            <v>34180.632170999997</v>
          </cell>
          <cell r="K41">
            <v>9335.3221000000012</v>
          </cell>
          <cell r="AD41">
            <v>26184.147447299998</v>
          </cell>
          <cell r="AE41">
            <v>26064.879354500001</v>
          </cell>
        </row>
        <row r="42">
          <cell r="F42">
            <v>52.224364099999995</v>
          </cell>
          <cell r="G42">
            <v>52.618881299999998</v>
          </cell>
          <cell r="K42">
            <v>0</v>
          </cell>
          <cell r="AD42">
            <v>3.5624112000000001</v>
          </cell>
          <cell r="AE42">
            <v>3.5984142000000001</v>
          </cell>
        </row>
        <row r="43">
          <cell r="F43">
            <v>202.48477050000002</v>
          </cell>
          <cell r="G43">
            <v>203.55003779999998</v>
          </cell>
          <cell r="K43">
            <v>8.4068000000000005</v>
          </cell>
          <cell r="AD43">
            <v>0.95311199999999996</v>
          </cell>
          <cell r="AE43">
            <v>0.95311199999999996</v>
          </cell>
        </row>
        <row r="44">
          <cell r="F44">
            <v>1937.4856751999998</v>
          </cell>
          <cell r="G44">
            <v>2108.3578075</v>
          </cell>
          <cell r="K44">
            <v>215.92910000000001</v>
          </cell>
          <cell r="AD44">
            <v>1181.0389273000001</v>
          </cell>
          <cell r="AE44">
            <v>1206.8635432999999</v>
          </cell>
        </row>
        <row r="45">
          <cell r="F45">
            <v>7.3230323999999998</v>
          </cell>
          <cell r="G45">
            <v>10.3199744</v>
          </cell>
          <cell r="K45">
            <v>0</v>
          </cell>
          <cell r="AD45">
            <v>0</v>
          </cell>
          <cell r="AE45">
            <v>0</v>
          </cell>
        </row>
        <row r="46">
          <cell r="F46">
            <v>40205.556176100006</v>
          </cell>
          <cell r="G46">
            <v>40150.673422999993</v>
          </cell>
          <cell r="K46">
            <v>9714.2359000000015</v>
          </cell>
          <cell r="AD46">
            <v>28258.365359899999</v>
          </cell>
          <cell r="AE46">
            <v>28171.4755429</v>
          </cell>
        </row>
        <row r="50">
          <cell r="F50">
            <v>40163</v>
          </cell>
          <cell r="G50">
            <v>40164</v>
          </cell>
          <cell r="K50" t="str">
            <v>FCY</v>
          </cell>
          <cell r="AD50">
            <v>40163</v>
          </cell>
          <cell r="AE50">
            <v>40164</v>
          </cell>
        </row>
        <row r="51">
          <cell r="F51">
            <v>673.31239930000004</v>
          </cell>
          <cell r="G51">
            <v>674.59614379999994</v>
          </cell>
          <cell r="K51">
            <v>139.24080000000001</v>
          </cell>
          <cell r="AD51">
            <v>280.29723289999998</v>
          </cell>
          <cell r="AE51">
            <v>280.58481390000003</v>
          </cell>
        </row>
        <row r="52">
          <cell r="F52">
            <v>493.8740368</v>
          </cell>
          <cell r="G52">
            <v>490.0111023</v>
          </cell>
          <cell r="K52">
            <v>9.2255000000000003</v>
          </cell>
          <cell r="AD52">
            <v>47.5889168</v>
          </cell>
          <cell r="AE52">
            <v>47.4478388</v>
          </cell>
        </row>
        <row r="53">
          <cell r="F53">
            <v>497.89574089999996</v>
          </cell>
          <cell r="G53">
            <v>493.35625540000001</v>
          </cell>
          <cell r="K53">
            <v>11.8536</v>
          </cell>
          <cell r="AD53">
            <v>15.069081300000001</v>
          </cell>
          <cell r="AE53">
            <v>15.077571299999999</v>
          </cell>
        </row>
        <row r="54">
          <cell r="F54">
            <v>474.1854032</v>
          </cell>
          <cell r="G54">
            <v>436.49418170000001</v>
          </cell>
          <cell r="K54">
            <v>28.520300000000002</v>
          </cell>
          <cell r="AD54">
            <v>126.8296564</v>
          </cell>
          <cell r="AE54">
            <v>119.08863240000001</v>
          </cell>
        </row>
        <row r="55">
          <cell r="F55">
            <v>183.5616402</v>
          </cell>
          <cell r="G55">
            <v>184.83302110000002</v>
          </cell>
          <cell r="K55">
            <v>2.4287000000000001</v>
          </cell>
          <cell r="AD55">
            <v>0.56800829999999991</v>
          </cell>
          <cell r="AE55">
            <v>0.56800829999999991</v>
          </cell>
        </row>
        <row r="56">
          <cell r="F56">
            <v>390.54141550000003</v>
          </cell>
          <cell r="G56">
            <v>381.58462129999998</v>
          </cell>
          <cell r="K56">
            <v>0</v>
          </cell>
          <cell r="AD56">
            <v>209.62021290000001</v>
          </cell>
          <cell r="AE56">
            <v>209.75082380000001</v>
          </cell>
        </row>
        <row r="57">
          <cell r="F57">
            <v>373.47463819999996</v>
          </cell>
          <cell r="G57">
            <v>372.60141049999999</v>
          </cell>
          <cell r="K57">
            <v>40.176100000000005</v>
          </cell>
          <cell r="AD57">
            <v>30.007827300000002</v>
          </cell>
          <cell r="AE57">
            <v>29.461926299999998</v>
          </cell>
        </row>
        <row r="58">
          <cell r="F58">
            <v>251.53200000000001</v>
          </cell>
          <cell r="G58">
            <v>251.53200000000001</v>
          </cell>
          <cell r="K58">
            <v>64.694299999999998</v>
          </cell>
          <cell r="AD58">
            <v>9.0730966000000013</v>
          </cell>
          <cell r="AE58">
            <v>9.0730966000000013</v>
          </cell>
        </row>
        <row r="59">
          <cell r="F59">
            <v>846.5369445</v>
          </cell>
          <cell r="G59">
            <v>856.53926969999998</v>
          </cell>
          <cell r="K59">
            <v>7.8306000000000004</v>
          </cell>
          <cell r="AD59">
            <v>1178.4190976</v>
          </cell>
          <cell r="AE59">
            <v>1192.2454413999999</v>
          </cell>
        </row>
        <row r="60">
          <cell r="F60">
            <v>283.31629239999995</v>
          </cell>
          <cell r="G60">
            <v>286.54125530000005</v>
          </cell>
          <cell r="K60">
            <v>0</v>
          </cell>
          <cell r="AD60">
            <v>5.6110023</v>
          </cell>
          <cell r="AE60">
            <v>5.6510023</v>
          </cell>
        </row>
        <row r="61">
          <cell r="F61">
            <v>12903.161909600001</v>
          </cell>
          <cell r="G61">
            <v>12964.726884899999</v>
          </cell>
          <cell r="K61">
            <v>605.88919999999996</v>
          </cell>
          <cell r="AD61">
            <v>1855.0709033999999</v>
          </cell>
          <cell r="AE61">
            <v>1869.7468429</v>
          </cell>
        </row>
        <row r="62">
          <cell r="F62">
            <v>292.90609039999998</v>
          </cell>
          <cell r="G62">
            <v>292.90609039999998</v>
          </cell>
          <cell r="K62">
            <v>26.766999999999999</v>
          </cell>
          <cell r="AD62">
            <v>50.305999999999997</v>
          </cell>
          <cell r="AE62">
            <v>50.305999999999997</v>
          </cell>
        </row>
        <row r="63">
          <cell r="F63">
            <v>350.28274709999999</v>
          </cell>
          <cell r="G63">
            <v>397.80055849999997</v>
          </cell>
          <cell r="K63">
            <v>135.28900000000002</v>
          </cell>
          <cell r="AD63">
            <v>1.0009034999999999</v>
          </cell>
          <cell r="AE63">
            <v>1.0009034999999999</v>
          </cell>
        </row>
        <row r="64">
          <cell r="F64">
            <v>1304.7137204000001</v>
          </cell>
          <cell r="G64">
            <v>1328.3535658000001</v>
          </cell>
          <cell r="K64">
            <v>22.185600000000001</v>
          </cell>
          <cell r="AD64">
            <v>219.60534090000002</v>
          </cell>
          <cell r="AE64">
            <v>221.3637439</v>
          </cell>
        </row>
        <row r="65">
          <cell r="F65">
            <v>867.97595310000008</v>
          </cell>
          <cell r="G65">
            <v>867.35087280000005</v>
          </cell>
          <cell r="K65">
            <v>82.828900000000004</v>
          </cell>
          <cell r="AD65">
            <v>70.218964700000001</v>
          </cell>
          <cell r="AE65">
            <v>70.308225699999994</v>
          </cell>
        </row>
        <row r="66">
          <cell r="F66">
            <v>1508.0515654999999</v>
          </cell>
          <cell r="G66">
            <v>1529.8196713</v>
          </cell>
          <cell r="K66">
            <v>156.50280000000001</v>
          </cell>
          <cell r="AD66">
            <v>1963.4549145999999</v>
          </cell>
          <cell r="AE66">
            <v>1961.0888500000001</v>
          </cell>
        </row>
        <row r="67">
          <cell r="F67">
            <v>21695.322497100002</v>
          </cell>
          <cell r="G67">
            <v>21809.046904799998</v>
          </cell>
          <cell r="K67">
            <v>1333.4323999999999</v>
          </cell>
          <cell r="AD67">
            <v>6062.7411594999994</v>
          </cell>
          <cell r="AE67">
            <v>6082.7637211000001</v>
          </cell>
        </row>
        <row r="71">
          <cell r="F71">
            <v>40163</v>
          </cell>
          <cell r="G71">
            <v>40164</v>
          </cell>
          <cell r="K71" t="str">
            <v>FCY</v>
          </cell>
          <cell r="AD71">
            <v>40163</v>
          </cell>
          <cell r="AE71">
            <v>40164</v>
          </cell>
        </row>
        <row r="72">
          <cell r="F72">
            <v>1078.0788259000001</v>
          </cell>
          <cell r="G72">
            <v>1166.9998570999999</v>
          </cell>
          <cell r="K72">
            <v>143.34790000000001</v>
          </cell>
          <cell r="AD72">
            <v>478.55236660000003</v>
          </cell>
          <cell r="AE72">
            <v>477.2634516</v>
          </cell>
        </row>
        <row r="73">
          <cell r="F73">
            <v>190.81668770000002</v>
          </cell>
          <cell r="G73">
            <v>193.5959167</v>
          </cell>
          <cell r="K73">
            <v>2.4300000000000002E-2</v>
          </cell>
          <cell r="AD73">
            <v>35.866342199999998</v>
          </cell>
          <cell r="AE73">
            <v>35.516423199999998</v>
          </cell>
        </row>
        <row r="74">
          <cell r="F74">
            <v>230.83572210000003</v>
          </cell>
          <cell r="G74">
            <v>232.17034810000001</v>
          </cell>
          <cell r="K74">
            <v>0</v>
          </cell>
          <cell r="AD74">
            <v>37.037124900000002</v>
          </cell>
          <cell r="AE74">
            <v>37.9221249</v>
          </cell>
        </row>
        <row r="75">
          <cell r="F75">
            <v>285.8619736</v>
          </cell>
          <cell r="G75">
            <v>281.09209659999999</v>
          </cell>
          <cell r="K75">
            <v>0</v>
          </cell>
          <cell r="AD75">
            <v>20.613394599999999</v>
          </cell>
          <cell r="AE75">
            <v>21.962143999999999</v>
          </cell>
        </row>
        <row r="76">
          <cell r="F76">
            <v>394.84240189999997</v>
          </cell>
          <cell r="G76">
            <v>372.05081760000002</v>
          </cell>
          <cell r="K76">
            <v>0</v>
          </cell>
          <cell r="AD76">
            <v>161.2181597</v>
          </cell>
          <cell r="AE76">
            <v>161.24358369999999</v>
          </cell>
        </row>
        <row r="77">
          <cell r="F77">
            <v>610.80540009999993</v>
          </cell>
          <cell r="G77">
            <v>639.04173389999994</v>
          </cell>
          <cell r="K77">
            <v>0.50529999999999997</v>
          </cell>
          <cell r="AD77">
            <v>318.06996029999999</v>
          </cell>
          <cell r="AE77">
            <v>313.23332569999997</v>
          </cell>
        </row>
        <row r="78">
          <cell r="F78">
            <v>1277.4737387999999</v>
          </cell>
          <cell r="G78">
            <v>1277.0985167000001</v>
          </cell>
          <cell r="K78">
            <v>12.940200000000001</v>
          </cell>
          <cell r="AD78">
            <v>614.39278960000001</v>
          </cell>
          <cell r="AE78">
            <v>628.20368989999997</v>
          </cell>
        </row>
        <row r="79">
          <cell r="F79">
            <v>259.85421500000001</v>
          </cell>
          <cell r="G79">
            <v>259.09340209999999</v>
          </cell>
          <cell r="K79">
            <v>0</v>
          </cell>
          <cell r="AD79">
            <v>124.78335709999999</v>
          </cell>
          <cell r="AE79">
            <v>127.15234940000001</v>
          </cell>
        </row>
        <row r="80">
          <cell r="F80">
            <v>2.5510199999999998</v>
          </cell>
          <cell r="G80">
            <v>2.6658949999999999</v>
          </cell>
          <cell r="K80">
            <v>0</v>
          </cell>
          <cell r="AD80">
            <v>0</v>
          </cell>
          <cell r="AE80">
            <v>0</v>
          </cell>
        </row>
        <row r="81">
          <cell r="F81">
            <v>4331.1199851000001</v>
          </cell>
          <cell r="G81">
            <v>4423.8085838000006</v>
          </cell>
          <cell r="K81">
            <v>156.81770000000003</v>
          </cell>
          <cell r="AD81">
            <v>1790.5334950000001</v>
          </cell>
          <cell r="AE81">
            <v>1802.4970923999999</v>
          </cell>
        </row>
        <row r="85">
          <cell r="F85">
            <v>40163</v>
          </cell>
          <cell r="G85">
            <v>40164</v>
          </cell>
          <cell r="K85" t="str">
            <v>FCY</v>
          </cell>
          <cell r="AD85">
            <v>40163</v>
          </cell>
          <cell r="AE85">
            <v>40164</v>
          </cell>
        </row>
        <row r="86">
          <cell r="F86">
            <v>2179.0778023000003</v>
          </cell>
          <cell r="G86">
            <v>2234.4501883999997</v>
          </cell>
          <cell r="K86">
            <v>20.645700000000001</v>
          </cell>
          <cell r="AD86">
            <v>246.41863530000001</v>
          </cell>
          <cell r="AE86">
            <v>246.185698</v>
          </cell>
        </row>
        <row r="87">
          <cell r="F87">
            <v>436.7526019</v>
          </cell>
          <cell r="G87">
            <v>432.27329889999999</v>
          </cell>
          <cell r="K87">
            <v>1.2200000000000001E-2</v>
          </cell>
          <cell r="AD87">
            <v>2.8593029000000003</v>
          </cell>
          <cell r="AE87">
            <v>2.8593029000000003</v>
          </cell>
        </row>
        <row r="88">
          <cell r="F88">
            <v>152.76205040000002</v>
          </cell>
          <cell r="G88">
            <v>155.75549849999999</v>
          </cell>
          <cell r="K88">
            <v>0</v>
          </cell>
          <cell r="AD88">
            <v>3.6037559999999997</v>
          </cell>
          <cell r="AE88">
            <v>3.6037559999999997</v>
          </cell>
        </row>
        <row r="89">
          <cell r="F89">
            <v>290.69851180000001</v>
          </cell>
          <cell r="G89">
            <v>273.68816960000004</v>
          </cell>
          <cell r="K89">
            <v>0</v>
          </cell>
          <cell r="AD89">
            <v>1.8290108999999999</v>
          </cell>
          <cell r="AE89">
            <v>1.8290108999999999</v>
          </cell>
        </row>
        <row r="90">
          <cell r="F90">
            <v>134.19245340000001</v>
          </cell>
          <cell r="G90">
            <v>135.72807790000002</v>
          </cell>
          <cell r="K90">
            <v>0</v>
          </cell>
          <cell r="AD90">
            <v>2.1835520000000002</v>
          </cell>
          <cell r="AE90">
            <v>2.1835520000000002</v>
          </cell>
        </row>
        <row r="91">
          <cell r="F91">
            <v>431.28326609999999</v>
          </cell>
          <cell r="G91">
            <v>439.71831300000002</v>
          </cell>
          <cell r="K91">
            <v>0</v>
          </cell>
          <cell r="AD91">
            <v>5.2438349999999998</v>
          </cell>
          <cell r="AE91">
            <v>5.2438349999999998</v>
          </cell>
        </row>
        <row r="92">
          <cell r="F92">
            <v>332.5290104</v>
          </cell>
          <cell r="G92">
            <v>339.7867602</v>
          </cell>
          <cell r="K92">
            <v>3.3163</v>
          </cell>
          <cell r="AD92">
            <v>2.4109349999999998</v>
          </cell>
          <cell r="AE92">
            <v>2.4109349999999998</v>
          </cell>
        </row>
        <row r="93">
          <cell r="F93">
            <v>98.245592799999997</v>
          </cell>
          <cell r="G93">
            <v>96.995626000000001</v>
          </cell>
          <cell r="K93">
            <v>0</v>
          </cell>
          <cell r="AD93">
            <v>1.8233556000000002</v>
          </cell>
          <cell r="AE93">
            <v>1.8233556000000002</v>
          </cell>
        </row>
        <row r="94">
          <cell r="F94">
            <v>53.748122600000002</v>
          </cell>
          <cell r="G94">
            <v>57.933839399999997</v>
          </cell>
          <cell r="K94">
            <v>0</v>
          </cell>
          <cell r="AD94">
            <v>1.1347034</v>
          </cell>
          <cell r="AE94">
            <v>1.1347034</v>
          </cell>
        </row>
        <row r="95">
          <cell r="F95">
            <v>4109.2894117000014</v>
          </cell>
          <cell r="G95">
            <v>4166.3297718999993</v>
          </cell>
          <cell r="K95">
            <v>23.974200000000003</v>
          </cell>
          <cell r="AD95">
            <v>267.50708609999998</v>
          </cell>
          <cell r="AE95">
            <v>267.27414879999998</v>
          </cell>
        </row>
        <row r="97">
          <cell r="F97">
            <v>91967.135843199998</v>
          </cell>
          <cell r="G97">
            <v>93251.422561799991</v>
          </cell>
          <cell r="K97">
            <v>11577.590100000001</v>
          </cell>
          <cell r="AD97">
            <v>50482.6097983</v>
          </cell>
          <cell r="AE97">
            <v>50199.717881800003</v>
          </cell>
        </row>
        <row r="103">
          <cell r="F103">
            <v>40163</v>
          </cell>
          <cell r="G103">
            <v>40164</v>
          </cell>
          <cell r="K103" t="str">
            <v>FCY</v>
          </cell>
          <cell r="AD103">
            <v>40163</v>
          </cell>
          <cell r="AE103">
            <v>40164</v>
          </cell>
        </row>
        <row r="104">
          <cell r="F104">
            <v>3454.2763860999999</v>
          </cell>
          <cell r="G104">
            <v>3467.0625913999997</v>
          </cell>
          <cell r="K104">
            <v>870.08210000000008</v>
          </cell>
          <cell r="AD104">
            <v>1328.3491763</v>
          </cell>
          <cell r="AE104">
            <v>1329.0952927999999</v>
          </cell>
        </row>
        <row r="105">
          <cell r="F105">
            <v>572.99183909999999</v>
          </cell>
          <cell r="G105">
            <v>566.71370030000003</v>
          </cell>
          <cell r="K105">
            <v>15.235100000000001</v>
          </cell>
          <cell r="AD105">
            <v>389.83026289999998</v>
          </cell>
          <cell r="AE105">
            <v>388.19624640000001</v>
          </cell>
        </row>
        <row r="106">
          <cell r="F106">
            <v>516.17787129999999</v>
          </cell>
          <cell r="G106">
            <v>523.30367190000004</v>
          </cell>
          <cell r="K106">
            <v>34.179400000000001</v>
          </cell>
          <cell r="AD106">
            <v>272.00120579999998</v>
          </cell>
          <cell r="AE106">
            <v>271.36561890000002</v>
          </cell>
        </row>
        <row r="107">
          <cell r="F107">
            <v>383.07639810000001</v>
          </cell>
          <cell r="G107">
            <v>374.786226</v>
          </cell>
          <cell r="K107">
            <v>14.062900000000001</v>
          </cell>
          <cell r="AD107">
            <v>219.5177679</v>
          </cell>
          <cell r="AE107">
            <v>217.5677919</v>
          </cell>
        </row>
        <row r="108">
          <cell r="F108">
            <v>375.44453389999995</v>
          </cell>
          <cell r="G108">
            <v>366.90121809999999</v>
          </cell>
          <cell r="K108">
            <v>16.150400000000001</v>
          </cell>
          <cell r="AD108">
            <v>356.95427370000004</v>
          </cell>
          <cell r="AE108">
            <v>369.47289240000003</v>
          </cell>
        </row>
        <row r="109">
          <cell r="F109">
            <v>745.76071339999999</v>
          </cell>
          <cell r="G109">
            <v>744.14925679999999</v>
          </cell>
          <cell r="K109">
            <v>47.588900000000002</v>
          </cell>
          <cell r="AD109">
            <v>94.134998699999997</v>
          </cell>
          <cell r="AE109">
            <v>94.547293499999995</v>
          </cell>
        </row>
        <row r="110">
          <cell r="F110">
            <v>775.1724974</v>
          </cell>
          <cell r="G110">
            <v>782.27870539999992</v>
          </cell>
          <cell r="K110">
            <v>57.007200000000005</v>
          </cell>
          <cell r="AD110">
            <v>192.7515549</v>
          </cell>
          <cell r="AE110">
            <v>190.8137049</v>
          </cell>
        </row>
        <row r="111">
          <cell r="F111">
            <v>2152.0517337000001</v>
          </cell>
          <cell r="G111">
            <v>2166.4224711000002</v>
          </cell>
          <cell r="K111">
            <v>367.75100000000003</v>
          </cell>
          <cell r="AD111">
            <v>1773.1217614</v>
          </cell>
          <cell r="AE111">
            <v>1775.9203617000001</v>
          </cell>
        </row>
        <row r="112">
          <cell r="F112">
            <v>1027.5042168</v>
          </cell>
          <cell r="G112">
            <v>1028.1397589000001</v>
          </cell>
          <cell r="K112">
            <v>112.3934</v>
          </cell>
          <cell r="AD112">
            <v>196.6977847</v>
          </cell>
          <cell r="AE112">
            <v>196.59747469999999</v>
          </cell>
        </row>
        <row r="113">
          <cell r="F113">
            <v>455.62375950000001</v>
          </cell>
          <cell r="G113">
            <v>441.5318201</v>
          </cell>
          <cell r="K113">
            <v>40.775700000000001</v>
          </cell>
          <cell r="AD113">
            <v>116.6240801</v>
          </cell>
          <cell r="AE113">
            <v>117.6465747</v>
          </cell>
        </row>
        <row r="114">
          <cell r="F114">
            <v>2411.2079459000001</v>
          </cell>
          <cell r="G114">
            <v>2368.7568884000002</v>
          </cell>
          <cell r="K114">
            <v>567.26499999999999</v>
          </cell>
          <cell r="AD114">
            <v>639.00664940000001</v>
          </cell>
          <cell r="AE114">
            <v>610.40783269999997</v>
          </cell>
        </row>
        <row r="115">
          <cell r="F115">
            <v>646.37251379999998</v>
          </cell>
          <cell r="G115">
            <v>627.83293270000001</v>
          </cell>
          <cell r="K115">
            <v>168.47790000000001</v>
          </cell>
          <cell r="AD115">
            <v>39.966857300000001</v>
          </cell>
          <cell r="AE115">
            <v>39.966857300000001</v>
          </cell>
        </row>
        <row r="116">
          <cell r="F116">
            <v>306.73065529999997</v>
          </cell>
          <cell r="G116">
            <v>305.53609269999998</v>
          </cell>
          <cell r="K116">
            <v>58.840400000000002</v>
          </cell>
          <cell r="AD116">
            <v>75.106807500000002</v>
          </cell>
          <cell r="AE116">
            <v>76.142988500000001</v>
          </cell>
        </row>
        <row r="117">
          <cell r="F117">
            <v>95.094926000000001</v>
          </cell>
          <cell r="G117">
            <v>95.431535399999987</v>
          </cell>
          <cell r="K117">
            <v>0</v>
          </cell>
          <cell r="AD117">
            <v>5.9758502</v>
          </cell>
          <cell r="AE117">
            <v>5.9758502</v>
          </cell>
        </row>
        <row r="118">
          <cell r="F118">
            <v>166.1822813</v>
          </cell>
          <cell r="G118">
            <v>167.20319459999999</v>
          </cell>
          <cell r="K118">
            <v>0</v>
          </cell>
          <cell r="AD118">
            <v>13.9889913</v>
          </cell>
          <cell r="AE118">
            <v>12.992043799999999</v>
          </cell>
        </row>
        <row r="119">
          <cell r="F119">
            <v>14083.6682716</v>
          </cell>
          <cell r="G119">
            <v>14026.050063799999</v>
          </cell>
          <cell r="K119">
            <v>2369.8093999999996</v>
          </cell>
          <cell r="AD119">
            <v>5714.0280221000003</v>
          </cell>
          <cell r="AE119">
            <v>5696.7088244000006</v>
          </cell>
        </row>
        <row r="123">
          <cell r="F123">
            <v>40163</v>
          </cell>
          <cell r="G123">
            <v>40164</v>
          </cell>
          <cell r="K123" t="str">
            <v>FCY</v>
          </cell>
          <cell r="AD123">
            <v>40163</v>
          </cell>
          <cell r="AE123">
            <v>40164</v>
          </cell>
        </row>
        <row r="124">
          <cell r="F124">
            <v>7127.9765155999994</v>
          </cell>
          <cell r="G124">
            <v>7139.5417183999998</v>
          </cell>
          <cell r="K124">
            <v>231.74110000000002</v>
          </cell>
          <cell r="AD124">
            <v>4429.9575131000001</v>
          </cell>
          <cell r="AE124">
            <v>4437.1804708999998</v>
          </cell>
        </row>
        <row r="125">
          <cell r="F125">
            <v>444.23836440000002</v>
          </cell>
          <cell r="G125">
            <v>450.44259679999999</v>
          </cell>
          <cell r="K125">
            <v>19.096800000000002</v>
          </cell>
          <cell r="AD125">
            <v>121.23604899999999</v>
          </cell>
          <cell r="AE125">
            <v>122.80954129999999</v>
          </cell>
        </row>
        <row r="126">
          <cell r="F126">
            <v>326.64065970000001</v>
          </cell>
          <cell r="G126">
            <v>320.36135300000001</v>
          </cell>
          <cell r="K126">
            <v>20.741400000000002</v>
          </cell>
          <cell r="AD126">
            <v>123.6848024</v>
          </cell>
          <cell r="AE126">
            <v>121.28254240000001</v>
          </cell>
        </row>
        <row r="127">
          <cell r="F127">
            <v>544.19407530000001</v>
          </cell>
          <cell r="G127">
            <v>546.55283910000003</v>
          </cell>
          <cell r="K127">
            <v>80.62700000000001</v>
          </cell>
          <cell r="AD127">
            <v>64.235516500000003</v>
          </cell>
          <cell r="AE127">
            <v>63.104917500000006</v>
          </cell>
        </row>
        <row r="128">
          <cell r="F128">
            <v>2137.8392097000001</v>
          </cell>
          <cell r="G128">
            <v>2157.2964822999998</v>
          </cell>
          <cell r="K128">
            <v>41.694400000000002</v>
          </cell>
          <cell r="AD128">
            <v>1352.9809026999999</v>
          </cell>
          <cell r="AE128">
            <v>1381.0439449</v>
          </cell>
        </row>
        <row r="129">
          <cell r="F129">
            <v>513.99572749999993</v>
          </cell>
          <cell r="G129">
            <v>497.54143349999998</v>
          </cell>
          <cell r="K129">
            <v>0</v>
          </cell>
          <cell r="AD129">
            <v>8.6420306999999994</v>
          </cell>
          <cell r="AE129">
            <v>8.5859246999999996</v>
          </cell>
        </row>
        <row r="130">
          <cell r="F130">
            <v>491.38052529999999</v>
          </cell>
          <cell r="G130">
            <v>495.68884930000002</v>
          </cell>
          <cell r="K130">
            <v>14.402100000000001</v>
          </cell>
          <cell r="AD130">
            <v>175.54756700000002</v>
          </cell>
          <cell r="AE130">
            <v>175.17660899999998</v>
          </cell>
        </row>
        <row r="131">
          <cell r="F131">
            <v>925.31323629999997</v>
          </cell>
          <cell r="G131">
            <v>937.88533380000001</v>
          </cell>
          <cell r="K131">
            <v>71.573000000000008</v>
          </cell>
          <cell r="AD131">
            <v>98.175542700000008</v>
          </cell>
          <cell r="AE131">
            <v>97.019247300000004</v>
          </cell>
        </row>
        <row r="132">
          <cell r="F132">
            <v>1207.725338</v>
          </cell>
          <cell r="G132">
            <v>1126.8501780000001</v>
          </cell>
          <cell r="K132">
            <v>27.6099</v>
          </cell>
          <cell r="AD132">
            <v>783.75561399999992</v>
          </cell>
          <cell r="AE132">
            <v>775.28712350000001</v>
          </cell>
        </row>
        <row r="133">
          <cell r="F133">
            <v>461.79760809999999</v>
          </cell>
          <cell r="G133">
            <v>490.60333510000004</v>
          </cell>
          <cell r="K133">
            <v>17.609000000000002</v>
          </cell>
          <cell r="AD133">
            <v>174.29931120000001</v>
          </cell>
          <cell r="AE133">
            <v>175.73602320000001</v>
          </cell>
        </row>
        <row r="134">
          <cell r="F134">
            <v>296.65297360000005</v>
          </cell>
          <cell r="G134">
            <v>300.06064630000003</v>
          </cell>
          <cell r="K134">
            <v>10.395900000000001</v>
          </cell>
          <cell r="AD134">
            <v>232.8263589</v>
          </cell>
          <cell r="AE134">
            <v>231.35824909999999</v>
          </cell>
        </row>
        <row r="135">
          <cell r="F135">
            <v>78.221376500000005</v>
          </cell>
          <cell r="G135">
            <v>78.267207499999998</v>
          </cell>
          <cell r="K135">
            <v>0</v>
          </cell>
          <cell r="AD135">
            <v>26.467446499999998</v>
          </cell>
          <cell r="AE135">
            <v>27.3141465</v>
          </cell>
        </row>
        <row r="136">
          <cell r="F136">
            <v>1808.095002</v>
          </cell>
          <cell r="G136">
            <v>1802.4561462000001</v>
          </cell>
          <cell r="K136">
            <v>206.64420000000001</v>
          </cell>
          <cell r="AD136">
            <v>646.74488780000001</v>
          </cell>
          <cell r="AE136">
            <v>646.86443689999999</v>
          </cell>
        </row>
        <row r="137">
          <cell r="F137">
            <v>383.65830520000003</v>
          </cell>
          <cell r="G137">
            <v>380.200535</v>
          </cell>
          <cell r="K137">
            <v>42.576300000000003</v>
          </cell>
          <cell r="AD137">
            <v>168.3026916</v>
          </cell>
          <cell r="AE137">
            <v>167.42931159999998</v>
          </cell>
        </row>
        <row r="138">
          <cell r="F138">
            <v>67.49919340000001</v>
          </cell>
          <cell r="G138">
            <v>64.248177799999993</v>
          </cell>
          <cell r="K138">
            <v>1.4121000000000001</v>
          </cell>
          <cell r="AD138">
            <v>80.916134700000001</v>
          </cell>
          <cell r="AE138">
            <v>80.487284700000004</v>
          </cell>
        </row>
        <row r="139">
          <cell r="F139">
            <v>104.6704678</v>
          </cell>
          <cell r="G139">
            <v>110.28598239999999</v>
          </cell>
          <cell r="K139">
            <v>0</v>
          </cell>
          <cell r="AD139">
            <v>81.5204035</v>
          </cell>
          <cell r="AE139">
            <v>85.861674499999992</v>
          </cell>
        </row>
        <row r="140">
          <cell r="F140">
            <v>16919.898578399996</v>
          </cell>
          <cell r="G140">
            <v>16898.282814500006</v>
          </cell>
          <cell r="K140">
            <v>786.1232</v>
          </cell>
          <cell r="AD140">
            <v>8569.2927723000012</v>
          </cell>
          <cell r="AE140">
            <v>8596.5414479999999</v>
          </cell>
        </row>
        <row r="144">
          <cell r="F144">
            <v>40163</v>
          </cell>
          <cell r="G144">
            <v>40164</v>
          </cell>
          <cell r="K144" t="str">
            <v>FCY</v>
          </cell>
          <cell r="AD144">
            <v>40163</v>
          </cell>
          <cell r="AE144">
            <v>40164</v>
          </cell>
        </row>
        <row r="145">
          <cell r="F145">
            <v>9569.2118279999995</v>
          </cell>
          <cell r="G145">
            <v>9597.7289185999998</v>
          </cell>
          <cell r="K145">
            <v>1574.5566000000001</v>
          </cell>
          <cell r="AD145">
            <v>16279.5241587</v>
          </cell>
          <cell r="AE145">
            <v>16308.56748</v>
          </cell>
        </row>
        <row r="146">
          <cell r="F146">
            <v>287.4522556</v>
          </cell>
          <cell r="G146">
            <v>288.78246439999998</v>
          </cell>
          <cell r="K146">
            <v>36.619199999999999</v>
          </cell>
          <cell r="AD146">
            <v>13.647978199999999</v>
          </cell>
          <cell r="AE146">
            <v>13.917948200000001</v>
          </cell>
        </row>
        <row r="147">
          <cell r="F147">
            <v>475.7034147</v>
          </cell>
          <cell r="G147">
            <v>478.59767290000002</v>
          </cell>
          <cell r="K147">
            <v>79.450900000000004</v>
          </cell>
          <cell r="AD147">
            <v>14.361261000000001</v>
          </cell>
          <cell r="AE147">
            <v>15.5774551</v>
          </cell>
        </row>
        <row r="148">
          <cell r="F148">
            <v>1083.4304458000001</v>
          </cell>
          <cell r="G148">
            <v>1092.8830743000001</v>
          </cell>
          <cell r="K148">
            <v>335.2319</v>
          </cell>
          <cell r="AD148">
            <v>369.91975359999998</v>
          </cell>
          <cell r="AE148">
            <v>371.6325827</v>
          </cell>
        </row>
        <row r="149">
          <cell r="F149">
            <v>209.99248069999999</v>
          </cell>
          <cell r="G149">
            <v>208.6763311</v>
          </cell>
          <cell r="K149">
            <v>29.927100000000003</v>
          </cell>
          <cell r="AD149">
            <v>14.2401389</v>
          </cell>
          <cell r="AE149">
            <v>14.2401389</v>
          </cell>
        </row>
        <row r="150">
          <cell r="F150">
            <v>364.80155400000001</v>
          </cell>
          <cell r="G150">
            <v>368.9118934</v>
          </cell>
          <cell r="K150">
            <v>85.336100000000002</v>
          </cell>
          <cell r="AD150">
            <v>26.354741300000001</v>
          </cell>
          <cell r="AE150">
            <v>26.506308300000001</v>
          </cell>
        </row>
        <row r="151">
          <cell r="F151">
            <v>380.68222800000001</v>
          </cell>
          <cell r="G151">
            <v>379.48817219999995</v>
          </cell>
          <cell r="K151">
            <v>63.446000000000005</v>
          </cell>
          <cell r="AD151">
            <v>88.930713499999996</v>
          </cell>
          <cell r="AE151">
            <v>92.315851500000008</v>
          </cell>
        </row>
        <row r="152">
          <cell r="F152">
            <v>1463.3685530999999</v>
          </cell>
          <cell r="G152">
            <v>1461.0926676000001</v>
          </cell>
          <cell r="K152">
            <v>59.996600000000001</v>
          </cell>
          <cell r="AD152">
            <v>637.90796250000005</v>
          </cell>
          <cell r="AE152">
            <v>633.67604890000007</v>
          </cell>
        </row>
        <row r="153">
          <cell r="F153">
            <v>295.23934179999998</v>
          </cell>
          <cell r="G153">
            <v>298.17920620000001</v>
          </cell>
          <cell r="K153">
            <v>9.6951999999999998</v>
          </cell>
          <cell r="AD153">
            <v>143.48461689999999</v>
          </cell>
          <cell r="AE153">
            <v>143.3106349</v>
          </cell>
        </row>
        <row r="154">
          <cell r="F154">
            <v>2006.1081321000001</v>
          </cell>
          <cell r="G154">
            <v>2014.9661387000001</v>
          </cell>
          <cell r="K154">
            <v>78.430300000000003</v>
          </cell>
          <cell r="AD154">
            <v>833.12078050000002</v>
          </cell>
          <cell r="AE154">
            <v>829.5207805</v>
          </cell>
        </row>
        <row r="155">
          <cell r="F155">
            <v>199.05486480000002</v>
          </cell>
          <cell r="G155">
            <v>204.4251319</v>
          </cell>
          <cell r="K155">
            <v>7.4157000000000002</v>
          </cell>
          <cell r="AD155">
            <v>52.489095800000001</v>
          </cell>
          <cell r="AE155">
            <v>50.525770799999997</v>
          </cell>
        </row>
        <row r="156">
          <cell r="F156">
            <v>277.81876850000003</v>
          </cell>
          <cell r="G156">
            <v>280.90062390000003</v>
          </cell>
          <cell r="K156">
            <v>26.456400000000002</v>
          </cell>
          <cell r="AD156">
            <v>81.223867400000003</v>
          </cell>
          <cell r="AE156">
            <v>81.717267399999997</v>
          </cell>
        </row>
        <row r="157">
          <cell r="F157">
            <v>87.095656599999998</v>
          </cell>
          <cell r="G157">
            <v>91.023159100000001</v>
          </cell>
          <cell r="K157">
            <v>13.258900000000001</v>
          </cell>
          <cell r="AD157">
            <v>0</v>
          </cell>
          <cell r="AE157">
            <v>0</v>
          </cell>
        </row>
        <row r="158">
          <cell r="F158">
            <v>16699.959523699996</v>
          </cell>
          <cell r="G158">
            <v>16765.655454299998</v>
          </cell>
          <cell r="K158">
            <v>2399.8209000000002</v>
          </cell>
          <cell r="AD158">
            <v>18555.205068300009</v>
          </cell>
          <cell r="AE158">
            <v>18581.508267199995</v>
          </cell>
        </row>
        <row r="162">
          <cell r="F162">
            <v>40163</v>
          </cell>
          <cell r="G162">
            <v>40164</v>
          </cell>
          <cell r="K162" t="str">
            <v>FCY</v>
          </cell>
          <cell r="AD162">
            <v>40163</v>
          </cell>
          <cell r="AE162">
            <v>40164</v>
          </cell>
        </row>
        <row r="163">
          <cell r="F163">
            <v>10513.3310974</v>
          </cell>
          <cell r="G163">
            <v>10484.1206253</v>
          </cell>
          <cell r="K163">
            <v>1843.8285000000001</v>
          </cell>
          <cell r="AD163">
            <v>9946.7120941000012</v>
          </cell>
          <cell r="AE163">
            <v>9839.7388616000007</v>
          </cell>
        </row>
        <row r="164">
          <cell r="F164">
            <v>619.02886109999997</v>
          </cell>
          <cell r="G164">
            <v>654.79028159999996</v>
          </cell>
          <cell r="K164">
            <v>5.8462000000000005</v>
          </cell>
          <cell r="AD164">
            <v>248.23331349999998</v>
          </cell>
          <cell r="AE164">
            <v>248.6335565</v>
          </cell>
        </row>
        <row r="165">
          <cell r="F165">
            <v>453.81947780000002</v>
          </cell>
          <cell r="G165">
            <v>449.46217340000004</v>
          </cell>
          <cell r="K165">
            <v>2.1701000000000001</v>
          </cell>
          <cell r="AD165">
            <v>75.352687200000005</v>
          </cell>
          <cell r="AE165">
            <v>76.290962199999996</v>
          </cell>
        </row>
        <row r="166">
          <cell r="F166">
            <v>321.70391169999999</v>
          </cell>
          <cell r="G166">
            <v>348.25351919999997</v>
          </cell>
          <cell r="K166">
            <v>47.887599999999999</v>
          </cell>
          <cell r="AD166">
            <v>59.272353499999994</v>
          </cell>
          <cell r="AE166">
            <v>66.407713000000001</v>
          </cell>
        </row>
        <row r="167">
          <cell r="F167">
            <v>643.30374719999998</v>
          </cell>
          <cell r="G167">
            <v>638.08662399999992</v>
          </cell>
          <cell r="K167">
            <v>173.476</v>
          </cell>
          <cell r="AD167">
            <v>35.667113299999997</v>
          </cell>
          <cell r="AE167">
            <v>35.197012300000004</v>
          </cell>
        </row>
        <row r="168">
          <cell r="F168">
            <v>308.50668469999999</v>
          </cell>
          <cell r="G168">
            <v>307.26671099999999</v>
          </cell>
          <cell r="K168">
            <v>20.341200000000001</v>
          </cell>
          <cell r="AD168">
            <v>238.50404939999999</v>
          </cell>
          <cell r="AE168">
            <v>234.5069254</v>
          </cell>
        </row>
        <row r="169">
          <cell r="F169">
            <v>631.69797300000005</v>
          </cell>
          <cell r="G169">
            <v>615.4479887</v>
          </cell>
          <cell r="K169">
            <v>44.108200000000004</v>
          </cell>
          <cell r="AD169">
            <v>84.455986600000003</v>
          </cell>
          <cell r="AE169">
            <v>84.901419899999993</v>
          </cell>
        </row>
        <row r="170">
          <cell r="F170">
            <v>240.3076581</v>
          </cell>
          <cell r="G170">
            <v>236.7868373</v>
          </cell>
          <cell r="K170">
            <v>2.7307000000000001</v>
          </cell>
          <cell r="AD170">
            <v>180.95628809999999</v>
          </cell>
          <cell r="AE170">
            <v>180.17566020000001</v>
          </cell>
        </row>
        <row r="171">
          <cell r="F171">
            <v>356.55119540000004</v>
          </cell>
          <cell r="G171">
            <v>359.69649770000001</v>
          </cell>
          <cell r="K171">
            <v>40.559100000000001</v>
          </cell>
          <cell r="AD171">
            <v>411.90922189999998</v>
          </cell>
          <cell r="AE171">
            <v>411.64178019999997</v>
          </cell>
        </row>
        <row r="172">
          <cell r="F172">
            <v>272.93412890000002</v>
          </cell>
          <cell r="G172">
            <v>288.03434190000002</v>
          </cell>
          <cell r="K172">
            <v>7.3986000000000001</v>
          </cell>
          <cell r="AD172">
            <v>173.7999312</v>
          </cell>
          <cell r="AE172">
            <v>177.51313279999999</v>
          </cell>
        </row>
        <row r="173">
          <cell r="F173">
            <v>168.76925539999999</v>
          </cell>
          <cell r="G173">
            <v>165.83666940000001</v>
          </cell>
          <cell r="K173">
            <v>0</v>
          </cell>
          <cell r="AD173">
            <v>66.552920199999988</v>
          </cell>
          <cell r="AE173">
            <v>64.351081199999996</v>
          </cell>
        </row>
        <row r="174">
          <cell r="F174">
            <v>138.23408119999999</v>
          </cell>
          <cell r="G174">
            <v>143.02879010000001</v>
          </cell>
          <cell r="K174">
            <v>0</v>
          </cell>
          <cell r="AD174">
            <v>10.917726099999999</v>
          </cell>
          <cell r="AE174">
            <v>10.5027261</v>
          </cell>
        </row>
        <row r="175">
          <cell r="F175">
            <v>589.71342920000006</v>
          </cell>
          <cell r="G175">
            <v>595.54908409999996</v>
          </cell>
          <cell r="K175">
            <v>17.514200000000002</v>
          </cell>
          <cell r="AD175">
            <v>38.429090199999997</v>
          </cell>
          <cell r="AE175">
            <v>38.4335302</v>
          </cell>
        </row>
        <row r="176">
          <cell r="F176">
            <v>269.38440350000002</v>
          </cell>
          <cell r="G176">
            <v>267.02210789999998</v>
          </cell>
          <cell r="K176">
            <v>148.74250000000001</v>
          </cell>
          <cell r="AD176">
            <v>5.7245159000000001</v>
          </cell>
          <cell r="AE176">
            <v>5.7495159000000005</v>
          </cell>
        </row>
        <row r="177">
          <cell r="F177">
            <v>15527.285904600001</v>
          </cell>
          <cell r="G177">
            <v>15553.382251599998</v>
          </cell>
          <cell r="K177">
            <v>2354.6028999999999</v>
          </cell>
          <cell r="AD177">
            <v>11576.487291200001</v>
          </cell>
          <cell r="AE177">
            <v>11474.0438775</v>
          </cell>
        </row>
        <row r="181">
          <cell r="F181">
            <v>40163</v>
          </cell>
          <cell r="G181">
            <v>40164</v>
          </cell>
          <cell r="K181" t="str">
            <v>FCY</v>
          </cell>
          <cell r="AD181">
            <v>40163</v>
          </cell>
          <cell r="AE181">
            <v>40164</v>
          </cell>
        </row>
        <row r="182">
          <cell r="F182">
            <v>822.42934769999999</v>
          </cell>
          <cell r="G182">
            <v>812.37999760000002</v>
          </cell>
          <cell r="K182">
            <v>54.442800000000005</v>
          </cell>
          <cell r="AD182">
            <v>443.41126100000002</v>
          </cell>
          <cell r="AE182">
            <v>441.47643909999999</v>
          </cell>
        </row>
        <row r="183">
          <cell r="F183">
            <v>170.44064749999998</v>
          </cell>
          <cell r="G183">
            <v>171.7612834</v>
          </cell>
          <cell r="K183">
            <v>16.696000000000002</v>
          </cell>
          <cell r="AD183">
            <v>125.08116509999999</v>
          </cell>
          <cell r="AE183">
            <v>125.7600551</v>
          </cell>
        </row>
        <row r="184">
          <cell r="F184">
            <v>98.977188699999999</v>
          </cell>
          <cell r="G184">
            <v>98.977188699999999</v>
          </cell>
          <cell r="K184">
            <v>0</v>
          </cell>
          <cell r="AD184">
            <v>32.289607699999998</v>
          </cell>
          <cell r="AE184">
            <v>32.289607699999998</v>
          </cell>
        </row>
        <row r="185">
          <cell r="F185">
            <v>199.08752720000001</v>
          </cell>
          <cell r="G185">
            <v>199.6896893</v>
          </cell>
          <cell r="K185">
            <v>9.2993000000000006</v>
          </cell>
          <cell r="AD185">
            <v>42.450741999999998</v>
          </cell>
          <cell r="AE185">
            <v>43.739693899999999</v>
          </cell>
        </row>
        <row r="186">
          <cell r="F186">
            <v>104.2421327</v>
          </cell>
          <cell r="G186">
            <v>101.9165447</v>
          </cell>
          <cell r="K186">
            <v>0</v>
          </cell>
          <cell r="AD186">
            <v>8.7911777000000004</v>
          </cell>
          <cell r="AE186">
            <v>8.6911777000000008</v>
          </cell>
        </row>
        <row r="187">
          <cell r="F187">
            <v>54.894972299999999</v>
          </cell>
          <cell r="G187">
            <v>54.609046900000003</v>
          </cell>
          <cell r="K187">
            <v>0</v>
          </cell>
          <cell r="AD187">
            <v>6.8237965999999997</v>
          </cell>
          <cell r="AE187">
            <v>6.8237965999999997</v>
          </cell>
        </row>
        <row r="188">
          <cell r="F188">
            <v>88.660119699999996</v>
          </cell>
          <cell r="G188">
            <v>86.573928899999999</v>
          </cell>
          <cell r="K188">
            <v>0</v>
          </cell>
          <cell r="AD188">
            <v>20.8147789</v>
          </cell>
          <cell r="AE188">
            <v>20.8147789</v>
          </cell>
        </row>
        <row r="189">
          <cell r="F189">
            <v>327.46938799999998</v>
          </cell>
          <cell r="G189">
            <v>318.48868499999998</v>
          </cell>
          <cell r="K189">
            <v>25.936800000000002</v>
          </cell>
          <cell r="AD189">
            <v>175.8721807</v>
          </cell>
          <cell r="AE189">
            <v>178.99565989999999</v>
          </cell>
        </row>
        <row r="190">
          <cell r="F190">
            <v>448.32089130000003</v>
          </cell>
          <cell r="G190">
            <v>446.78382520000002</v>
          </cell>
          <cell r="K190">
            <v>118.4157</v>
          </cell>
          <cell r="AD190">
            <v>115.61836030000001</v>
          </cell>
          <cell r="AE190">
            <v>115.07000599999999</v>
          </cell>
        </row>
        <row r="191">
          <cell r="F191">
            <v>91.188900500000003</v>
          </cell>
          <cell r="G191">
            <v>93.115626300000002</v>
          </cell>
          <cell r="K191">
            <v>0</v>
          </cell>
          <cell r="AD191">
            <v>31.063234900000001</v>
          </cell>
          <cell r="AE191">
            <v>32.762006200000002</v>
          </cell>
        </row>
        <row r="192">
          <cell r="F192">
            <v>2405.7111155999996</v>
          </cell>
          <cell r="G192">
            <v>2384.2958160000003</v>
          </cell>
          <cell r="K192">
            <v>224.79060000000001</v>
          </cell>
          <cell r="AD192">
            <v>1002.2163049000001</v>
          </cell>
          <cell r="AE192">
            <v>1006.4232211000001</v>
          </cell>
        </row>
        <row r="196">
          <cell r="F196">
            <v>40163</v>
          </cell>
          <cell r="G196">
            <v>40164</v>
          </cell>
          <cell r="K196" t="str">
            <v>FCY</v>
          </cell>
          <cell r="AD196">
            <v>40163</v>
          </cell>
          <cell r="AE196">
            <v>40164</v>
          </cell>
        </row>
        <row r="197">
          <cell r="F197">
            <v>544.8574655000001</v>
          </cell>
          <cell r="G197">
            <v>548.41154029999996</v>
          </cell>
          <cell r="K197">
            <v>154.77270000000001</v>
          </cell>
          <cell r="AD197">
            <v>198.94323230000001</v>
          </cell>
          <cell r="AE197">
            <v>200.17367279999999</v>
          </cell>
        </row>
        <row r="198">
          <cell r="F198">
            <v>268.75570400000004</v>
          </cell>
          <cell r="G198">
            <v>261.65717319999999</v>
          </cell>
          <cell r="K198">
            <v>14.1477</v>
          </cell>
          <cell r="AD198">
            <v>141.08285119999999</v>
          </cell>
          <cell r="AE198">
            <v>145.37093919999998</v>
          </cell>
        </row>
        <row r="199">
          <cell r="F199">
            <v>137.47339129999997</v>
          </cell>
          <cell r="G199">
            <v>138.30485620000002</v>
          </cell>
          <cell r="K199">
            <v>18.8415</v>
          </cell>
          <cell r="AD199">
            <v>16.3191241</v>
          </cell>
          <cell r="AE199">
            <v>16.304137699999998</v>
          </cell>
        </row>
        <row r="200">
          <cell r="F200">
            <v>504.17667119999999</v>
          </cell>
          <cell r="G200">
            <v>513.69750969999996</v>
          </cell>
          <cell r="K200">
            <v>19.810600000000001</v>
          </cell>
          <cell r="AD200">
            <v>457.0499135</v>
          </cell>
          <cell r="AE200">
            <v>451.62496730000004</v>
          </cell>
        </row>
        <row r="201">
          <cell r="F201">
            <v>546.43253850000008</v>
          </cell>
          <cell r="G201">
            <v>541.89282009999999</v>
          </cell>
          <cell r="K201">
            <v>9.6376000000000008</v>
          </cell>
          <cell r="AD201">
            <v>560.84201250000001</v>
          </cell>
          <cell r="AE201">
            <v>571.3563825</v>
          </cell>
        </row>
        <row r="202">
          <cell r="F202">
            <v>542.77628709999999</v>
          </cell>
          <cell r="G202">
            <v>534.60845259999996</v>
          </cell>
          <cell r="K202">
            <v>69.703000000000003</v>
          </cell>
          <cell r="AD202">
            <v>314.09937780000001</v>
          </cell>
          <cell r="AE202">
            <v>310.94706579999996</v>
          </cell>
        </row>
        <row r="203">
          <cell r="F203">
            <v>412.39165019999996</v>
          </cell>
          <cell r="G203">
            <v>397.80865720000003</v>
          </cell>
          <cell r="K203">
            <v>36.706200000000003</v>
          </cell>
          <cell r="AD203">
            <v>193.84373590000001</v>
          </cell>
          <cell r="AE203">
            <v>196.3970559</v>
          </cell>
        </row>
        <row r="204">
          <cell r="F204">
            <v>243.96828400000001</v>
          </cell>
          <cell r="G204">
            <v>247.95367419999999</v>
          </cell>
          <cell r="K204">
            <v>24.2302</v>
          </cell>
          <cell r="AD204">
            <v>61.941708100000007</v>
          </cell>
          <cell r="AE204">
            <v>62.075552600000002</v>
          </cell>
        </row>
        <row r="205">
          <cell r="F205">
            <v>581.54808620000006</v>
          </cell>
          <cell r="G205">
            <v>566.68058619999999</v>
          </cell>
          <cell r="K205">
            <v>83.414900000000003</v>
          </cell>
          <cell r="AD205">
            <v>1009.5808433</v>
          </cell>
          <cell r="AE205">
            <v>1018.2859609</v>
          </cell>
        </row>
        <row r="206">
          <cell r="F206">
            <v>150.6657649</v>
          </cell>
          <cell r="G206">
            <v>149.16939360000001</v>
          </cell>
          <cell r="K206">
            <v>13.0068</v>
          </cell>
          <cell r="AD206">
            <v>45.871560899999999</v>
          </cell>
          <cell r="AE206">
            <v>44.071560899999994</v>
          </cell>
        </row>
        <row r="207">
          <cell r="F207">
            <v>620.49987939999994</v>
          </cell>
          <cell r="G207">
            <v>622.85552240000004</v>
          </cell>
          <cell r="K207">
            <v>42.4069</v>
          </cell>
          <cell r="AD207">
            <v>319.025689</v>
          </cell>
          <cell r="AE207">
            <v>319.08846500000004</v>
          </cell>
        </row>
        <row r="208">
          <cell r="F208">
            <v>265.67655739999998</v>
          </cell>
          <cell r="G208">
            <v>268.2562504</v>
          </cell>
          <cell r="K208">
            <v>2.7383999999999999</v>
          </cell>
          <cell r="AD208">
            <v>292.5695164</v>
          </cell>
          <cell r="AE208">
            <v>293.50127639999999</v>
          </cell>
        </row>
        <row r="209">
          <cell r="F209">
            <v>226.9464524</v>
          </cell>
          <cell r="G209">
            <v>240.53983160000001</v>
          </cell>
          <cell r="K209">
            <v>0.2215</v>
          </cell>
          <cell r="AD209">
            <v>94.978951300000006</v>
          </cell>
          <cell r="AE209">
            <v>95.108247800000001</v>
          </cell>
        </row>
        <row r="210">
          <cell r="F210">
            <v>4598.8966414999995</v>
          </cell>
          <cell r="G210">
            <v>4590.9204703000005</v>
          </cell>
          <cell r="K210">
            <v>152.86440000000002</v>
          </cell>
          <cell r="AD210">
            <v>7575.2213924999996</v>
          </cell>
          <cell r="AE210">
            <v>7545.6126731000004</v>
          </cell>
        </row>
        <row r="211">
          <cell r="F211">
            <v>44.171705299999999</v>
          </cell>
          <cell r="G211">
            <v>45.284601300000006</v>
          </cell>
          <cell r="K211">
            <v>0</v>
          </cell>
          <cell r="AD211">
            <v>1.1004400000000001</v>
          </cell>
          <cell r="AE211">
            <v>1.1004400000000001</v>
          </cell>
        </row>
        <row r="212">
          <cell r="F212">
            <v>96.1385492</v>
          </cell>
          <cell r="G212">
            <v>100.79196069999999</v>
          </cell>
          <cell r="K212">
            <v>0</v>
          </cell>
          <cell r="AD212">
            <v>8.3046967000000009</v>
          </cell>
          <cell r="AE212">
            <v>8.5047546999999994</v>
          </cell>
        </row>
        <row r="213">
          <cell r="F213">
            <v>29.5477752</v>
          </cell>
          <cell r="G213">
            <v>29.122859999999999</v>
          </cell>
          <cell r="K213">
            <v>0</v>
          </cell>
          <cell r="AD213">
            <v>1.9804994</v>
          </cell>
          <cell r="AE213">
            <v>1.9804994</v>
          </cell>
        </row>
        <row r="214">
          <cell r="F214">
            <v>9814.9234033000012</v>
          </cell>
          <cell r="G214">
            <v>9797.9561599999997</v>
          </cell>
          <cell r="K214">
            <v>642.50240000000008</v>
          </cell>
          <cell r="AD214">
            <v>11292.755544899999</v>
          </cell>
          <cell r="AE214">
            <v>11281.503651999999</v>
          </cell>
        </row>
        <row r="218">
          <cell r="F218">
            <v>40163</v>
          </cell>
          <cell r="G218">
            <v>40164</v>
          </cell>
          <cell r="K218" t="str">
            <v>FCY</v>
          </cell>
          <cell r="AD218">
            <v>40163</v>
          </cell>
          <cell r="AE218">
            <v>40164</v>
          </cell>
        </row>
        <row r="219">
          <cell r="F219">
            <v>775.81669209999995</v>
          </cell>
          <cell r="G219">
            <v>775.80921620000004</v>
          </cell>
          <cell r="K219">
            <v>286.51690000000002</v>
          </cell>
          <cell r="AD219">
            <v>1166.0377272000001</v>
          </cell>
          <cell r="AE219">
            <v>1163.0579757</v>
          </cell>
        </row>
        <row r="220">
          <cell r="F220">
            <v>296.54239140000004</v>
          </cell>
          <cell r="G220">
            <v>294.18575660000005</v>
          </cell>
          <cell r="K220">
            <v>13.627000000000001</v>
          </cell>
          <cell r="AD220">
            <v>347.13839049999996</v>
          </cell>
          <cell r="AE220">
            <v>343.32716549999998</v>
          </cell>
        </row>
        <row r="221">
          <cell r="F221">
            <v>232.14766269999998</v>
          </cell>
          <cell r="G221">
            <v>229.812477</v>
          </cell>
          <cell r="K221">
            <v>23.210900000000002</v>
          </cell>
          <cell r="AD221">
            <v>341.24575290000001</v>
          </cell>
          <cell r="AE221">
            <v>343.25656099999998</v>
          </cell>
        </row>
        <row r="222">
          <cell r="F222">
            <v>311.03117349999997</v>
          </cell>
          <cell r="G222">
            <v>310.60581910000002</v>
          </cell>
          <cell r="K222">
            <v>0</v>
          </cell>
          <cell r="AD222">
            <v>542.96244139999999</v>
          </cell>
          <cell r="AE222">
            <v>565.69912739999995</v>
          </cell>
        </row>
        <row r="223">
          <cell r="F223">
            <v>312.79485290000002</v>
          </cell>
          <cell r="G223">
            <v>312.79485290000002</v>
          </cell>
          <cell r="K223">
            <v>0</v>
          </cell>
          <cell r="AD223">
            <v>210.45919519999998</v>
          </cell>
          <cell r="AE223">
            <v>210.45919519999998</v>
          </cell>
        </row>
        <row r="224">
          <cell r="F224">
            <v>2016.4081291</v>
          </cell>
          <cell r="G224">
            <v>2027.5712417</v>
          </cell>
          <cell r="K224">
            <v>58.656200000000005</v>
          </cell>
          <cell r="AD224">
            <v>4798.4009341000001</v>
          </cell>
          <cell r="AE224">
            <v>4787.8857117999996</v>
          </cell>
        </row>
        <row r="225">
          <cell r="F225">
            <v>1277.0530382999998</v>
          </cell>
          <cell r="G225">
            <v>1265.9609619</v>
          </cell>
          <cell r="K225">
            <v>12.779500000000001</v>
          </cell>
          <cell r="AD225">
            <v>1034.6190684000001</v>
          </cell>
          <cell r="AE225">
            <v>1026.2937096999999</v>
          </cell>
        </row>
        <row r="226">
          <cell r="F226">
            <v>399.14725850000002</v>
          </cell>
          <cell r="G226">
            <v>379.72360800000001</v>
          </cell>
          <cell r="K226">
            <v>14.280200000000001</v>
          </cell>
          <cell r="AD226">
            <v>487.70837699999998</v>
          </cell>
          <cell r="AE226">
            <v>478.00363089999996</v>
          </cell>
        </row>
        <row r="227">
          <cell r="F227">
            <v>344.23191129999998</v>
          </cell>
          <cell r="G227">
            <v>352.4338836</v>
          </cell>
          <cell r="K227">
            <v>5.5019</v>
          </cell>
          <cell r="AD227">
            <v>237.5454728</v>
          </cell>
          <cell r="AE227">
            <v>238.4326758</v>
          </cell>
        </row>
        <row r="228">
          <cell r="F228">
            <v>1447.0205441000001</v>
          </cell>
          <cell r="G228">
            <v>1446.6538224999999</v>
          </cell>
          <cell r="K228">
            <v>1010.4911000000001</v>
          </cell>
          <cell r="AD228">
            <v>428.39401350000003</v>
          </cell>
          <cell r="AE228">
            <v>435.32182699999998</v>
          </cell>
        </row>
        <row r="229">
          <cell r="F229">
            <v>206.86329649999999</v>
          </cell>
          <cell r="G229">
            <v>206.2500857</v>
          </cell>
          <cell r="K229">
            <v>0</v>
          </cell>
          <cell r="AD229">
            <v>124.65885110000001</v>
          </cell>
          <cell r="AE229">
            <v>121.6230929</v>
          </cell>
        </row>
        <row r="230">
          <cell r="F230">
            <v>258.20158609999999</v>
          </cell>
          <cell r="G230">
            <v>264.82625760000002</v>
          </cell>
          <cell r="K230">
            <v>26.281500000000001</v>
          </cell>
          <cell r="AD230">
            <v>258.5115965</v>
          </cell>
          <cell r="AE230">
            <v>261.44441879999999</v>
          </cell>
        </row>
        <row r="231">
          <cell r="F231">
            <v>1178.4927324</v>
          </cell>
          <cell r="G231">
            <v>1182.4818522</v>
          </cell>
          <cell r="K231">
            <v>173.4316</v>
          </cell>
          <cell r="AD231">
            <v>2000.7086935</v>
          </cell>
          <cell r="AE231">
            <v>1994.8191229000001</v>
          </cell>
        </row>
        <row r="232">
          <cell r="F232">
            <v>493.77095980000001</v>
          </cell>
          <cell r="G232">
            <v>489.9296587</v>
          </cell>
          <cell r="K232">
            <v>8.5630000000000006</v>
          </cell>
          <cell r="AD232">
            <v>597.51152479999996</v>
          </cell>
          <cell r="AE232">
            <v>592.37531259999992</v>
          </cell>
        </row>
        <row r="233">
          <cell r="F233">
            <v>174.67913609999999</v>
          </cell>
          <cell r="G233">
            <v>173.8092374</v>
          </cell>
          <cell r="K233">
            <v>6.59E-2</v>
          </cell>
          <cell r="AD233">
            <v>240.7185121</v>
          </cell>
          <cell r="AE233">
            <v>239.494935</v>
          </cell>
        </row>
        <row r="234">
          <cell r="F234">
            <v>479.39806920000001</v>
          </cell>
          <cell r="G234">
            <v>472.17447230000005</v>
          </cell>
          <cell r="K234">
            <v>16.7865</v>
          </cell>
          <cell r="AD234">
            <v>1029.6882152000001</v>
          </cell>
          <cell r="AE234">
            <v>1012.3815890000001</v>
          </cell>
        </row>
        <row r="235">
          <cell r="F235">
            <v>294.32584700000001</v>
          </cell>
          <cell r="G235">
            <v>305.07358669999996</v>
          </cell>
          <cell r="K235">
            <v>0</v>
          </cell>
          <cell r="AD235">
            <v>151.8071415</v>
          </cell>
          <cell r="AE235">
            <v>152.96035380000001</v>
          </cell>
        </row>
        <row r="236">
          <cell r="F236">
            <v>69.368814799999996</v>
          </cell>
          <cell r="G236">
            <v>72.349736399999998</v>
          </cell>
          <cell r="K236">
            <v>0</v>
          </cell>
          <cell r="AD236">
            <v>9.9681066999999999</v>
          </cell>
          <cell r="AE236">
            <v>9.9891067000000007</v>
          </cell>
        </row>
        <row r="237">
          <cell r="F237">
            <v>99.876648100000011</v>
          </cell>
          <cell r="G237">
            <v>100.815355</v>
          </cell>
          <cell r="K237">
            <v>0</v>
          </cell>
          <cell r="AD237">
            <v>9.5242337999999993</v>
          </cell>
          <cell r="AE237">
            <v>9.2742337999999993</v>
          </cell>
        </row>
        <row r="238">
          <cell r="F238">
            <v>122.5995731</v>
          </cell>
          <cell r="G238">
            <v>124.33897289999999</v>
          </cell>
          <cell r="K238">
            <v>0</v>
          </cell>
          <cell r="AD238">
            <v>30.352379199999998</v>
          </cell>
          <cell r="AE238">
            <v>31.2337542</v>
          </cell>
        </row>
        <row r="239">
          <cell r="F239">
            <v>28.3387517</v>
          </cell>
          <cell r="G239">
            <v>33.046357</v>
          </cell>
          <cell r="K239">
            <v>0</v>
          </cell>
          <cell r="AD239">
            <v>0</v>
          </cell>
          <cell r="AE239">
            <v>4.9539013999999995</v>
          </cell>
        </row>
        <row r="240">
          <cell r="F240">
            <v>10818.1090687</v>
          </cell>
          <cell r="G240">
            <v>10820.647211399999</v>
          </cell>
          <cell r="K240">
            <v>1650.1922000000002</v>
          </cell>
          <cell r="AD240">
            <v>14047.960627400003</v>
          </cell>
          <cell r="AE240">
            <v>14022.287401100002</v>
          </cell>
        </row>
        <row r="242">
          <cell r="F242">
            <v>86269.555865900009</v>
          </cell>
          <cell r="G242">
            <v>86246.269771599997</v>
          </cell>
          <cell r="K242">
            <v>10427.8416</v>
          </cell>
          <cell r="AD242">
            <v>70757.94563110001</v>
          </cell>
          <cell r="AE242">
            <v>70659.016691300014</v>
          </cell>
        </row>
        <row r="249">
          <cell r="F249">
            <v>40163</v>
          </cell>
          <cell r="G249">
            <v>40164</v>
          </cell>
          <cell r="K249" t="str">
            <v>FCY</v>
          </cell>
          <cell r="AD249">
            <v>40163</v>
          </cell>
          <cell r="AE249">
            <v>40164</v>
          </cell>
        </row>
        <row r="250">
          <cell r="F250">
            <v>15547.9342216</v>
          </cell>
          <cell r="G250">
            <v>15346.746331499999</v>
          </cell>
          <cell r="K250">
            <v>2998.71</v>
          </cell>
          <cell r="AD250">
            <v>8519.0610693999988</v>
          </cell>
          <cell r="AE250">
            <v>8510.237380999999</v>
          </cell>
        </row>
        <row r="251">
          <cell r="F251">
            <v>345.19994510000004</v>
          </cell>
          <cell r="G251">
            <v>349.64876299999997</v>
          </cell>
          <cell r="K251">
            <v>1.9056000000000002</v>
          </cell>
          <cell r="AD251">
            <v>14.8383114</v>
          </cell>
          <cell r="AE251">
            <v>14.8383114</v>
          </cell>
        </row>
        <row r="252">
          <cell r="F252">
            <v>545.37184449999995</v>
          </cell>
          <cell r="G252">
            <v>548.55582749999996</v>
          </cell>
          <cell r="K252">
            <v>25.727800000000002</v>
          </cell>
          <cell r="AD252">
            <v>31.257066599999998</v>
          </cell>
          <cell r="AE252">
            <v>31.194066599999999</v>
          </cell>
        </row>
        <row r="253">
          <cell r="F253">
            <v>340.55167779999999</v>
          </cell>
          <cell r="G253">
            <v>352.37947559999998</v>
          </cell>
          <cell r="K253">
            <v>10.3248</v>
          </cell>
          <cell r="AD253">
            <v>7.0488119999999999</v>
          </cell>
          <cell r="AE253">
            <v>7.0488119999999999</v>
          </cell>
        </row>
        <row r="254">
          <cell r="F254">
            <v>878.06727160000003</v>
          </cell>
          <cell r="G254">
            <v>866.77307129999997</v>
          </cell>
          <cell r="K254">
            <v>9.3986999999999998</v>
          </cell>
          <cell r="AD254">
            <v>8.5561152000000007</v>
          </cell>
          <cell r="AE254">
            <v>8.5561152000000007</v>
          </cell>
        </row>
        <row r="255">
          <cell r="F255">
            <v>145.08213659999998</v>
          </cell>
          <cell r="G255">
            <v>150.46895409999999</v>
          </cell>
          <cell r="K255">
            <v>15.043700000000001</v>
          </cell>
          <cell r="AD255">
            <v>22.7926419</v>
          </cell>
          <cell r="AE255">
            <v>22.312641899999999</v>
          </cell>
        </row>
        <row r="256">
          <cell r="F256">
            <v>1648.0197642999999</v>
          </cell>
          <cell r="G256">
            <v>1620.3403478999999</v>
          </cell>
          <cell r="K256">
            <v>430.68990000000002</v>
          </cell>
          <cell r="AD256">
            <v>202.49025229999998</v>
          </cell>
          <cell r="AE256">
            <v>201.19108929999999</v>
          </cell>
        </row>
        <row r="257">
          <cell r="F257">
            <v>477.05925120000001</v>
          </cell>
          <cell r="G257">
            <v>478.64079090000001</v>
          </cell>
          <cell r="K257">
            <v>57.518800000000006</v>
          </cell>
          <cell r="AD257">
            <v>80.791261899999995</v>
          </cell>
          <cell r="AE257">
            <v>81.777511899999993</v>
          </cell>
        </row>
        <row r="258">
          <cell r="F258">
            <v>306.21245099999999</v>
          </cell>
          <cell r="G258">
            <v>303.52437140000001</v>
          </cell>
          <cell r="K258">
            <v>53.232200000000006</v>
          </cell>
          <cell r="AD258">
            <v>13.7179401</v>
          </cell>
          <cell r="AE258">
            <v>13.7179401</v>
          </cell>
        </row>
        <row r="259">
          <cell r="F259">
            <v>254.23219089999998</v>
          </cell>
          <cell r="G259">
            <v>257.06111559999999</v>
          </cell>
          <cell r="K259">
            <v>16.716699999999999</v>
          </cell>
          <cell r="AD259">
            <v>27.0770707</v>
          </cell>
          <cell r="AE259">
            <v>27.097794699999998</v>
          </cell>
        </row>
        <row r="260">
          <cell r="F260">
            <v>101.7920891</v>
          </cell>
          <cell r="G260">
            <v>101.1906305</v>
          </cell>
          <cell r="K260">
            <v>5.8249000000000004</v>
          </cell>
          <cell r="AD260">
            <v>11.414622899999999</v>
          </cell>
          <cell r="AE260">
            <v>10.3725304</v>
          </cell>
        </row>
        <row r="261">
          <cell r="F261">
            <v>214.32819880000002</v>
          </cell>
          <cell r="G261">
            <v>214.451798</v>
          </cell>
          <cell r="K261">
            <v>1.5062</v>
          </cell>
          <cell r="AD261">
            <v>11.3427355</v>
          </cell>
          <cell r="AE261">
            <v>11.303335499999999</v>
          </cell>
        </row>
        <row r="262">
          <cell r="F262">
            <v>93.536859700000008</v>
          </cell>
          <cell r="G262">
            <v>94.0764669</v>
          </cell>
          <cell r="K262">
            <v>16.329499999999999</v>
          </cell>
          <cell r="AD262">
            <v>2.8165192000000001</v>
          </cell>
          <cell r="AE262">
            <v>2.8165140000000002</v>
          </cell>
        </row>
        <row r="263">
          <cell r="F263">
            <v>25.113840499999998</v>
          </cell>
          <cell r="G263">
            <v>25.836598500000001</v>
          </cell>
          <cell r="K263">
            <v>0</v>
          </cell>
          <cell r="AD263">
            <v>0</v>
          </cell>
          <cell r="AE263">
            <v>0</v>
          </cell>
        </row>
        <row r="264">
          <cell r="F264">
            <v>18.741282999999999</v>
          </cell>
          <cell r="G264">
            <v>15.9222512</v>
          </cell>
          <cell r="K264">
            <v>0</v>
          </cell>
          <cell r="AD264">
            <v>0</v>
          </cell>
          <cell r="AE264">
            <v>0</v>
          </cell>
        </row>
        <row r="265">
          <cell r="F265">
            <v>20941.243025699994</v>
          </cell>
          <cell r="G265">
            <v>20725.616793899997</v>
          </cell>
          <cell r="K265">
            <v>3642.9287999999997</v>
          </cell>
          <cell r="AD265">
            <v>8953.2044190999968</v>
          </cell>
          <cell r="AE265">
            <v>8942.4640439999985</v>
          </cell>
        </row>
        <row r="269">
          <cell r="F269">
            <v>40163</v>
          </cell>
          <cell r="G269">
            <v>40164</v>
          </cell>
          <cell r="K269" t="str">
            <v>FCY</v>
          </cell>
          <cell r="AD269">
            <v>40163</v>
          </cell>
          <cell r="AE269">
            <v>40164</v>
          </cell>
        </row>
        <row r="270">
          <cell r="F270">
            <v>2193.8329256000002</v>
          </cell>
          <cell r="G270">
            <v>2193.5849577999998</v>
          </cell>
          <cell r="K270">
            <v>730.20010000000002</v>
          </cell>
          <cell r="AD270">
            <v>224.13500619999999</v>
          </cell>
          <cell r="AE270">
            <v>230.43315239999998</v>
          </cell>
        </row>
        <row r="271">
          <cell r="F271">
            <v>666.65691189999995</v>
          </cell>
          <cell r="G271">
            <v>656.78605540000001</v>
          </cell>
          <cell r="K271">
            <v>69.402799999999999</v>
          </cell>
          <cell r="AD271">
            <v>105.4692182</v>
          </cell>
          <cell r="AE271">
            <v>106.08758689999999</v>
          </cell>
        </row>
        <row r="272">
          <cell r="F272">
            <v>493.41021469999998</v>
          </cell>
          <cell r="G272">
            <v>488.14441299999999</v>
          </cell>
          <cell r="K272">
            <v>56.404200000000003</v>
          </cell>
          <cell r="AD272">
            <v>133.30213469999998</v>
          </cell>
          <cell r="AE272">
            <v>131.96186069999999</v>
          </cell>
        </row>
        <row r="273">
          <cell r="F273">
            <v>75.489462899999992</v>
          </cell>
          <cell r="G273">
            <v>76.204598800000014</v>
          </cell>
          <cell r="K273">
            <v>0</v>
          </cell>
          <cell r="AD273">
            <v>4.7839381999999997</v>
          </cell>
          <cell r="AE273">
            <v>4.7839381999999997</v>
          </cell>
        </row>
        <row r="274">
          <cell r="F274">
            <v>1131.7443777999999</v>
          </cell>
          <cell r="G274">
            <v>1137.2530131999999</v>
          </cell>
          <cell r="K274">
            <v>300.09350000000001</v>
          </cell>
          <cell r="AD274">
            <v>146.580108</v>
          </cell>
          <cell r="AE274">
            <v>146.64785699999999</v>
          </cell>
        </row>
        <row r="275">
          <cell r="F275">
            <v>385.54436729999998</v>
          </cell>
          <cell r="G275">
            <v>390.33153120000003</v>
          </cell>
          <cell r="K275">
            <v>125.364</v>
          </cell>
          <cell r="AD275">
            <v>16.4165055</v>
          </cell>
          <cell r="AE275">
            <v>16.427922500000001</v>
          </cell>
        </row>
        <row r="276">
          <cell r="F276">
            <v>268.7613048</v>
          </cell>
          <cell r="G276">
            <v>264.75781260000002</v>
          </cell>
          <cell r="K276">
            <v>14.861000000000001</v>
          </cell>
          <cell r="AD276">
            <v>110.4249964</v>
          </cell>
          <cell r="AE276">
            <v>109.8020312</v>
          </cell>
        </row>
        <row r="277">
          <cell r="F277">
            <v>192.58344959999999</v>
          </cell>
          <cell r="G277">
            <v>193.84436400000001</v>
          </cell>
          <cell r="K277">
            <v>10.82</v>
          </cell>
          <cell r="AD277">
            <v>26.979119999999998</v>
          </cell>
          <cell r="AE277">
            <v>26.743725999999999</v>
          </cell>
        </row>
        <row r="278">
          <cell r="F278">
            <v>523.48622039999998</v>
          </cell>
          <cell r="G278">
            <v>523.56025739999995</v>
          </cell>
          <cell r="K278">
            <v>76.848500000000001</v>
          </cell>
          <cell r="AD278">
            <v>50.766210400000006</v>
          </cell>
          <cell r="AE278">
            <v>51.0107924</v>
          </cell>
        </row>
        <row r="279">
          <cell r="F279">
            <v>222.68304879999999</v>
          </cell>
          <cell r="G279">
            <v>220.6816594</v>
          </cell>
          <cell r="K279">
            <v>31.282</v>
          </cell>
          <cell r="AD279">
            <v>39.803292800000001</v>
          </cell>
          <cell r="AE279">
            <v>39.527783799999995</v>
          </cell>
        </row>
        <row r="280">
          <cell r="F280">
            <v>205.61467249999998</v>
          </cell>
          <cell r="G280">
            <v>208.79670869999998</v>
          </cell>
          <cell r="K280">
            <v>20.6555</v>
          </cell>
          <cell r="AD280">
            <v>8.3623992999999999</v>
          </cell>
          <cell r="AE280">
            <v>8.1323992999999994</v>
          </cell>
        </row>
        <row r="281">
          <cell r="F281">
            <v>142.69556549999999</v>
          </cell>
          <cell r="G281">
            <v>145.88414589999999</v>
          </cell>
          <cell r="K281">
            <v>0</v>
          </cell>
          <cell r="AD281">
            <v>11.224308000000001</v>
          </cell>
          <cell r="AE281">
            <v>12.722149</v>
          </cell>
        </row>
        <row r="282">
          <cell r="F282">
            <v>6502.5025218000001</v>
          </cell>
          <cell r="G282">
            <v>6499.8295173999986</v>
          </cell>
          <cell r="K282">
            <v>1435.9316000000001</v>
          </cell>
          <cell r="AD282">
            <v>878.2472376999998</v>
          </cell>
          <cell r="AE282">
            <v>884.28119939999988</v>
          </cell>
        </row>
        <row r="286">
          <cell r="F286">
            <v>40163</v>
          </cell>
          <cell r="G286">
            <v>40164</v>
          </cell>
          <cell r="K286" t="str">
            <v>FCY</v>
          </cell>
          <cell r="AD286">
            <v>40163</v>
          </cell>
          <cell r="AE286">
            <v>40164</v>
          </cell>
        </row>
        <row r="287">
          <cell r="F287">
            <v>29808.3366518</v>
          </cell>
          <cell r="G287">
            <v>29513.854238699998</v>
          </cell>
          <cell r="K287">
            <v>1513.4691</v>
          </cell>
          <cell r="AD287">
            <v>5867.5901960000001</v>
          </cell>
          <cell r="AE287">
            <v>5861.5427892000007</v>
          </cell>
        </row>
        <row r="288">
          <cell r="F288">
            <v>2901.9450364999998</v>
          </cell>
          <cell r="G288">
            <v>2878.6203862000002</v>
          </cell>
          <cell r="K288">
            <v>308.2158</v>
          </cell>
          <cell r="AD288">
            <v>123.9851912</v>
          </cell>
          <cell r="AE288">
            <v>124.2395381</v>
          </cell>
        </row>
        <row r="289">
          <cell r="F289">
            <v>2204.3777020000002</v>
          </cell>
          <cell r="G289">
            <v>2209.0105359999998</v>
          </cell>
          <cell r="K289">
            <v>1342.9483</v>
          </cell>
          <cell r="AD289">
            <v>422.87453640000001</v>
          </cell>
          <cell r="AE289">
            <v>421.34536739999999</v>
          </cell>
        </row>
        <row r="290">
          <cell r="F290">
            <v>719.28851989999998</v>
          </cell>
          <cell r="G290">
            <v>864.64786719999995</v>
          </cell>
          <cell r="K290">
            <v>109.0528</v>
          </cell>
          <cell r="AD290">
            <v>49.1658659</v>
          </cell>
          <cell r="AE290">
            <v>48.864965900000001</v>
          </cell>
        </row>
        <row r="291">
          <cell r="F291">
            <v>2589.8684873000002</v>
          </cell>
          <cell r="G291">
            <v>2591.2321978999998</v>
          </cell>
          <cell r="K291">
            <v>308.03559999999999</v>
          </cell>
          <cell r="AD291">
            <v>91.664486699999998</v>
          </cell>
          <cell r="AE291">
            <v>92.655493899999996</v>
          </cell>
        </row>
        <row r="292">
          <cell r="F292">
            <v>553.34705459999998</v>
          </cell>
          <cell r="G292">
            <v>568.44197689999999</v>
          </cell>
          <cell r="K292">
            <v>118.6267</v>
          </cell>
          <cell r="AD292">
            <v>72.111679099999989</v>
          </cell>
          <cell r="AE292">
            <v>71.359566099999995</v>
          </cell>
        </row>
        <row r="293">
          <cell r="F293">
            <v>436.68341100000004</v>
          </cell>
          <cell r="G293">
            <v>433.83559450000001</v>
          </cell>
          <cell r="K293">
            <v>145.05940000000001</v>
          </cell>
          <cell r="AD293">
            <v>28.568882600000002</v>
          </cell>
          <cell r="AE293">
            <v>28.6618806</v>
          </cell>
        </row>
        <row r="294">
          <cell r="F294">
            <v>394.42527970000003</v>
          </cell>
          <cell r="G294">
            <v>394.80108369999999</v>
          </cell>
          <cell r="K294">
            <v>15.668700000000001</v>
          </cell>
          <cell r="AD294">
            <v>45.148734900000001</v>
          </cell>
          <cell r="AE294">
            <v>44.130095900000001</v>
          </cell>
        </row>
        <row r="295">
          <cell r="F295">
            <v>399.4395356</v>
          </cell>
          <cell r="G295">
            <v>402.47631640000003</v>
          </cell>
          <cell r="K295">
            <v>131.89000000000001</v>
          </cell>
          <cell r="AD295">
            <v>45.961815700000002</v>
          </cell>
          <cell r="AE295">
            <v>46.657944700000002</v>
          </cell>
        </row>
        <row r="296">
          <cell r="F296">
            <v>164.22275150000002</v>
          </cell>
          <cell r="G296">
            <v>173.68494620000001</v>
          </cell>
          <cell r="K296">
            <v>14.3436</v>
          </cell>
          <cell r="AD296">
            <v>3.4938569999999998</v>
          </cell>
          <cell r="AE296">
            <v>4.8938569999999997</v>
          </cell>
        </row>
        <row r="297">
          <cell r="F297">
            <v>190.1559614</v>
          </cell>
          <cell r="G297">
            <v>188.9592255</v>
          </cell>
          <cell r="K297">
            <v>0</v>
          </cell>
          <cell r="AD297">
            <v>6.7228599999999998</v>
          </cell>
          <cell r="AE297">
            <v>6.4518599999999999</v>
          </cell>
        </row>
        <row r="298">
          <cell r="F298">
            <v>106.8680256</v>
          </cell>
          <cell r="G298">
            <v>108.3000043</v>
          </cell>
          <cell r="K298">
            <v>4.2200000000000001E-2</v>
          </cell>
          <cell r="AD298">
            <v>0</v>
          </cell>
          <cell r="AE298">
            <v>0</v>
          </cell>
        </row>
        <row r="299">
          <cell r="F299">
            <v>25.799587500000001</v>
          </cell>
          <cell r="G299">
            <v>25.154479500000001</v>
          </cell>
          <cell r="K299">
            <v>0</v>
          </cell>
          <cell r="AD299">
            <v>0</v>
          </cell>
          <cell r="AE299">
            <v>0</v>
          </cell>
        </row>
        <row r="300">
          <cell r="F300">
            <v>40494.758004400006</v>
          </cell>
          <cell r="G300">
            <v>40353.018853000001</v>
          </cell>
          <cell r="K300">
            <v>4007.3522000000003</v>
          </cell>
          <cell r="AD300">
            <v>6757.2881055000016</v>
          </cell>
          <cell r="AE300">
            <v>6750.8033588000008</v>
          </cell>
        </row>
        <row r="302">
          <cell r="F302">
            <v>67938.503551900008</v>
          </cell>
          <cell r="G302">
            <v>67578.465164299996</v>
          </cell>
          <cell r="K302">
            <v>9086.2125999999989</v>
          </cell>
          <cell r="AD302">
            <v>16588.7397623</v>
          </cell>
          <cell r="AE302">
            <v>16577.548602199997</v>
          </cell>
        </row>
        <row r="308">
          <cell r="F308">
            <v>40163</v>
          </cell>
          <cell r="G308">
            <v>40164</v>
          </cell>
          <cell r="K308" t="str">
            <v>FCY</v>
          </cell>
          <cell r="AD308">
            <v>40163</v>
          </cell>
          <cell r="AE308">
            <v>40164</v>
          </cell>
        </row>
        <row r="309">
          <cell r="F309">
            <v>4525.3550703000001</v>
          </cell>
          <cell r="G309">
            <v>4517.0523074000002</v>
          </cell>
          <cell r="K309">
            <v>623.64550000000008</v>
          </cell>
          <cell r="AD309">
            <v>3095.9934737999997</v>
          </cell>
          <cell r="AE309">
            <v>3105.3488487999998</v>
          </cell>
        </row>
        <row r="310">
          <cell r="F310">
            <v>601.56598860000008</v>
          </cell>
          <cell r="G310">
            <v>592.49405720000004</v>
          </cell>
          <cell r="K310">
            <v>34.946000000000005</v>
          </cell>
          <cell r="AD310">
            <v>284.15783240000002</v>
          </cell>
          <cell r="AE310">
            <v>281.62977699999999</v>
          </cell>
        </row>
        <row r="311">
          <cell r="F311">
            <v>764.639139</v>
          </cell>
          <cell r="G311">
            <v>754.50703439999995</v>
          </cell>
          <cell r="K311">
            <v>66.793700000000001</v>
          </cell>
          <cell r="AD311">
            <v>130.6864966</v>
          </cell>
          <cell r="AE311">
            <v>132.35752859999999</v>
          </cell>
        </row>
        <row r="312">
          <cell r="F312">
            <v>170.85406890000002</v>
          </cell>
          <cell r="G312">
            <v>171.01330830000001</v>
          </cell>
          <cell r="K312">
            <v>0</v>
          </cell>
          <cell r="AD312">
            <v>31.2142269</v>
          </cell>
          <cell r="AE312">
            <v>31.4520619</v>
          </cell>
        </row>
        <row r="313">
          <cell r="F313">
            <v>381.17818680000005</v>
          </cell>
          <cell r="G313">
            <v>379.67985609999999</v>
          </cell>
          <cell r="K313">
            <v>28.9619</v>
          </cell>
          <cell r="AD313">
            <v>61.876775500000001</v>
          </cell>
          <cell r="AE313">
            <v>62.240947500000004</v>
          </cell>
        </row>
        <row r="314">
          <cell r="F314">
            <v>1184.8123984000001</v>
          </cell>
          <cell r="G314">
            <v>1191.9776557</v>
          </cell>
          <cell r="K314">
            <v>365.25510000000003</v>
          </cell>
          <cell r="AD314">
            <v>40.569798399999996</v>
          </cell>
          <cell r="AE314">
            <v>40.293718399999996</v>
          </cell>
        </row>
        <row r="315">
          <cell r="F315">
            <v>396.65124359999999</v>
          </cell>
          <cell r="G315">
            <v>395.68923599999999</v>
          </cell>
          <cell r="K315">
            <v>16.538800000000002</v>
          </cell>
          <cell r="AD315">
            <v>18.484714</v>
          </cell>
          <cell r="AE315">
            <v>18.013833999999999</v>
          </cell>
        </row>
        <row r="316">
          <cell r="F316">
            <v>162.5989352</v>
          </cell>
          <cell r="G316">
            <v>161.92940820000001</v>
          </cell>
          <cell r="K316">
            <v>11.7576</v>
          </cell>
          <cell r="AD316">
            <v>0</v>
          </cell>
          <cell r="AE316">
            <v>0</v>
          </cell>
        </row>
        <row r="317">
          <cell r="F317">
            <v>501.89149570000001</v>
          </cell>
          <cell r="G317">
            <v>500.32832390000004</v>
          </cell>
          <cell r="K317">
            <v>77.3245</v>
          </cell>
          <cell r="AD317">
            <v>264.05890049999999</v>
          </cell>
          <cell r="AE317">
            <v>263.41018760000003</v>
          </cell>
        </row>
        <row r="318">
          <cell r="F318">
            <v>124.4126924</v>
          </cell>
          <cell r="G318">
            <v>126.557599</v>
          </cell>
          <cell r="K318">
            <v>0</v>
          </cell>
          <cell r="AD318">
            <v>4.6448000000000003E-2</v>
          </cell>
          <cell r="AE318">
            <v>4.6448000000000003E-2</v>
          </cell>
        </row>
        <row r="319">
          <cell r="F319">
            <v>153.971024</v>
          </cell>
          <cell r="G319">
            <v>155.2858584</v>
          </cell>
          <cell r="K319">
            <v>0</v>
          </cell>
          <cell r="AD319">
            <v>1.7020500000000001</v>
          </cell>
          <cell r="AE319">
            <v>1.7020500000000001</v>
          </cell>
        </row>
        <row r="320">
          <cell r="F320">
            <v>8967.9302428999999</v>
          </cell>
          <cell r="G320">
            <v>8946.5146445999999</v>
          </cell>
          <cell r="K320">
            <v>1225.2231000000002</v>
          </cell>
          <cell r="AD320">
            <v>3928.7907160999998</v>
          </cell>
          <cell r="AE320">
            <v>3936.4954017999999</v>
          </cell>
        </row>
        <row r="324">
          <cell r="F324">
            <v>40163</v>
          </cell>
          <cell r="G324">
            <v>40164</v>
          </cell>
          <cell r="K324" t="str">
            <v>FCY</v>
          </cell>
          <cell r="AD324">
            <v>40163</v>
          </cell>
          <cell r="AE324">
            <v>40164</v>
          </cell>
        </row>
        <row r="325">
          <cell r="F325">
            <v>1363.4318358</v>
          </cell>
          <cell r="G325">
            <v>1350.9666497999999</v>
          </cell>
          <cell r="K325">
            <v>203.01600000000002</v>
          </cell>
          <cell r="AD325">
            <v>424.11971790000001</v>
          </cell>
          <cell r="AE325">
            <v>427.85101359999999</v>
          </cell>
        </row>
        <row r="326">
          <cell r="F326">
            <v>524.75459290000003</v>
          </cell>
          <cell r="G326">
            <v>534.44213159999993</v>
          </cell>
          <cell r="K326">
            <v>79.007500000000007</v>
          </cell>
          <cell r="AD326">
            <v>115.7179548</v>
          </cell>
          <cell r="AE326">
            <v>115.4435055</v>
          </cell>
        </row>
        <row r="327">
          <cell r="F327">
            <v>485.93299350000001</v>
          </cell>
          <cell r="G327">
            <v>472.00052370000003</v>
          </cell>
          <cell r="K327">
            <v>48.372100000000003</v>
          </cell>
          <cell r="AD327">
            <v>67.606723800000012</v>
          </cell>
          <cell r="AE327">
            <v>68.200349799999998</v>
          </cell>
        </row>
        <row r="328">
          <cell r="F328">
            <v>293.55835739999998</v>
          </cell>
          <cell r="G328">
            <v>312.28689839999998</v>
          </cell>
          <cell r="K328">
            <v>2.4721000000000002</v>
          </cell>
          <cell r="AD328">
            <v>0.64805679999999999</v>
          </cell>
          <cell r="AE328">
            <v>0.8264068</v>
          </cell>
        </row>
        <row r="329">
          <cell r="F329">
            <v>646.2674518</v>
          </cell>
          <cell r="G329">
            <v>647.3883227</v>
          </cell>
          <cell r="K329">
            <v>0</v>
          </cell>
          <cell r="AD329">
            <v>129.88009299999999</v>
          </cell>
          <cell r="AE329">
            <v>127.3447395</v>
          </cell>
        </row>
        <row r="330">
          <cell r="F330">
            <v>223.2124982</v>
          </cell>
          <cell r="G330">
            <v>225.9796643</v>
          </cell>
          <cell r="K330">
            <v>7.3601000000000001</v>
          </cell>
          <cell r="AD330">
            <v>0.71041010000000004</v>
          </cell>
          <cell r="AE330">
            <v>0.71041010000000004</v>
          </cell>
        </row>
        <row r="331">
          <cell r="F331">
            <v>319.10158309999997</v>
          </cell>
          <cell r="G331">
            <v>308.4891581</v>
          </cell>
          <cell r="K331">
            <v>0</v>
          </cell>
          <cell r="AD331">
            <v>5.5897223</v>
          </cell>
          <cell r="AE331">
            <v>3.2165657999999997</v>
          </cell>
        </row>
        <row r="332">
          <cell r="F332">
            <v>510.40473460000004</v>
          </cell>
          <cell r="G332">
            <v>513.61884520000001</v>
          </cell>
          <cell r="K332">
            <v>18.1341</v>
          </cell>
          <cell r="AD332">
            <v>39.603278400000001</v>
          </cell>
          <cell r="AE332">
            <v>39.499796400000001</v>
          </cell>
        </row>
        <row r="333">
          <cell r="F333">
            <v>110.602467</v>
          </cell>
          <cell r="G333">
            <v>122.2332846</v>
          </cell>
          <cell r="K333">
            <v>0</v>
          </cell>
          <cell r="AD333">
            <v>4.2649531999999999</v>
          </cell>
          <cell r="AE333">
            <v>4.2649531999999999</v>
          </cell>
        </row>
        <row r="334">
          <cell r="F334">
            <v>169.8941279</v>
          </cell>
          <cell r="G334">
            <v>167.1770349</v>
          </cell>
          <cell r="K334">
            <v>0</v>
          </cell>
          <cell r="AD334">
            <v>37.719248200000003</v>
          </cell>
          <cell r="AE334">
            <v>37.723241199999997</v>
          </cell>
        </row>
        <row r="335">
          <cell r="F335">
            <v>4647.1606421999995</v>
          </cell>
          <cell r="G335">
            <v>4654.5825132999998</v>
          </cell>
          <cell r="K335">
            <v>358.36189999999999</v>
          </cell>
          <cell r="AD335">
            <v>825.86015850000001</v>
          </cell>
          <cell r="AE335">
            <v>825.08098189999998</v>
          </cell>
        </row>
        <row r="337">
          <cell r="F337">
            <v>13615.090885099999</v>
          </cell>
          <cell r="G337">
            <v>13601.0971579</v>
          </cell>
          <cell r="K337">
            <v>1583.585</v>
          </cell>
          <cell r="AD337">
            <v>4754.6508746</v>
          </cell>
          <cell r="AE337">
            <v>4761.5763836999995</v>
          </cell>
        </row>
        <row r="339">
          <cell r="F339">
            <v>259790.2861461</v>
          </cell>
          <cell r="G339">
            <v>260677.2546556</v>
          </cell>
          <cell r="K339">
            <v>32675.229299999999</v>
          </cell>
          <cell r="AD339">
            <v>142583.94606630001</v>
          </cell>
          <cell r="AE339">
            <v>142197.859559</v>
          </cell>
        </row>
      </sheetData>
      <sheetData sheetId="8" refreshError="1">
        <row r="1">
          <cell r="A1" t="str">
            <v>BranchID</v>
          </cell>
          <cell r="B1" t="str">
            <v>LCY Balance</v>
          </cell>
          <cell r="C1" t="str">
            <v>FCY Balance</v>
          </cell>
        </row>
        <row r="2">
          <cell r="A2" t="str">
            <v>0002</v>
          </cell>
          <cell r="B2">
            <v>0</v>
          </cell>
          <cell r="C2">
            <v>0</v>
          </cell>
        </row>
        <row r="3">
          <cell r="A3" t="str">
            <v>0003</v>
          </cell>
          <cell r="B3">
            <v>20.7654</v>
          </cell>
          <cell r="C3">
            <v>221865.91</v>
          </cell>
        </row>
        <row r="4">
          <cell r="A4" t="str">
            <v>0004</v>
          </cell>
          <cell r="B4">
            <v>47.9253</v>
          </cell>
          <cell r="C4">
            <v>502483.82</v>
          </cell>
        </row>
        <row r="5">
          <cell r="A5" t="str">
            <v>0005</v>
          </cell>
          <cell r="B5">
            <v>9335.3221000000012</v>
          </cell>
          <cell r="C5">
            <v>110574985.91000001</v>
          </cell>
        </row>
        <row r="6">
          <cell r="A6" t="str">
            <v>0006</v>
          </cell>
          <cell r="B6">
            <v>1574.5566000000001</v>
          </cell>
          <cell r="C6">
            <v>17950524.73</v>
          </cell>
        </row>
        <row r="7">
          <cell r="A7" t="str">
            <v>0007</v>
          </cell>
          <cell r="B7">
            <v>2998.71</v>
          </cell>
          <cell r="C7">
            <v>34839784.130000003</v>
          </cell>
        </row>
        <row r="8">
          <cell r="A8" t="str">
            <v>0008</v>
          </cell>
          <cell r="B8">
            <v>730.20010000000002</v>
          </cell>
          <cell r="C8">
            <v>8447992.0999999996</v>
          </cell>
        </row>
        <row r="9">
          <cell r="A9" t="str">
            <v>0009</v>
          </cell>
          <cell r="B9">
            <v>11.387500000000001</v>
          </cell>
          <cell r="C9">
            <v>133248.29</v>
          </cell>
        </row>
        <row r="10">
          <cell r="A10" t="str">
            <v>0010</v>
          </cell>
          <cell r="B10">
            <v>0</v>
          </cell>
          <cell r="C10">
            <v>0</v>
          </cell>
        </row>
        <row r="11">
          <cell r="A11" t="str">
            <v>0011</v>
          </cell>
          <cell r="B11">
            <v>82.828900000000004</v>
          </cell>
          <cell r="C11">
            <v>974294.87</v>
          </cell>
        </row>
        <row r="12">
          <cell r="A12" t="str">
            <v>0012</v>
          </cell>
          <cell r="B12">
            <v>93.481400000000008</v>
          </cell>
          <cell r="C12">
            <v>1094277.07</v>
          </cell>
        </row>
        <row r="13">
          <cell r="A13" t="str">
            <v>0013</v>
          </cell>
          <cell r="B13">
            <v>6.8487</v>
          </cell>
          <cell r="C13">
            <v>81979.05</v>
          </cell>
        </row>
        <row r="14">
          <cell r="A14" t="str">
            <v>0014</v>
          </cell>
          <cell r="B14">
            <v>215.92910000000001</v>
          </cell>
          <cell r="C14">
            <v>2492140.0300000003</v>
          </cell>
        </row>
        <row r="15">
          <cell r="A15" t="str">
            <v>0015</v>
          </cell>
          <cell r="B15">
            <v>22.185600000000001</v>
          </cell>
          <cell r="C15">
            <v>207531.27000000002</v>
          </cell>
        </row>
        <row r="16">
          <cell r="A16" t="str">
            <v>0016</v>
          </cell>
          <cell r="B16">
            <v>9.2255000000000003</v>
          </cell>
          <cell r="C16">
            <v>95792.450000000012</v>
          </cell>
        </row>
        <row r="17">
          <cell r="A17" t="str">
            <v>0017</v>
          </cell>
          <cell r="B17">
            <v>6.1196999999999999</v>
          </cell>
          <cell r="C17">
            <v>69913.010000000009</v>
          </cell>
        </row>
        <row r="18">
          <cell r="A18" t="str">
            <v>0018</v>
          </cell>
          <cell r="B18">
            <v>5.2819000000000003</v>
          </cell>
          <cell r="C18">
            <v>61947.26</v>
          </cell>
        </row>
        <row r="19">
          <cell r="A19" t="str">
            <v>0019</v>
          </cell>
          <cell r="B19">
            <v>27.156100000000002</v>
          </cell>
          <cell r="C19">
            <v>289926.33</v>
          </cell>
        </row>
        <row r="20">
          <cell r="A20" t="str">
            <v>0020</v>
          </cell>
          <cell r="B20">
            <v>139.24080000000001</v>
          </cell>
          <cell r="C20">
            <v>1558822.28</v>
          </cell>
        </row>
        <row r="21">
          <cell r="A21" t="str">
            <v>0021</v>
          </cell>
          <cell r="B21">
            <v>5.4000000000000003E-3</v>
          </cell>
          <cell r="C21">
            <v>65.430000000000007</v>
          </cell>
        </row>
        <row r="22">
          <cell r="A22" t="str">
            <v>0022</v>
          </cell>
          <cell r="B22">
            <v>0</v>
          </cell>
          <cell r="C22">
            <v>0</v>
          </cell>
        </row>
        <row r="23">
          <cell r="A23" t="str">
            <v>0023</v>
          </cell>
          <cell r="B23">
            <v>7.8306000000000004</v>
          </cell>
          <cell r="C23">
            <v>90459.78</v>
          </cell>
        </row>
        <row r="24">
          <cell r="A24" t="str">
            <v>0024</v>
          </cell>
          <cell r="B24">
            <v>22.92</v>
          </cell>
          <cell r="C24">
            <v>255817.33000000002</v>
          </cell>
        </row>
        <row r="25">
          <cell r="A25" t="str">
            <v>0025</v>
          </cell>
          <cell r="B25">
            <v>11.8536</v>
          </cell>
          <cell r="C25">
            <v>141879.15</v>
          </cell>
        </row>
        <row r="26">
          <cell r="A26" t="str">
            <v>0026</v>
          </cell>
          <cell r="B26">
            <v>4.6711</v>
          </cell>
          <cell r="C26">
            <v>55147.280000000006</v>
          </cell>
        </row>
        <row r="27">
          <cell r="A27" t="str">
            <v>0027</v>
          </cell>
          <cell r="B27">
            <v>36.006700000000002</v>
          </cell>
          <cell r="C27">
            <v>429692.84</v>
          </cell>
        </row>
        <row r="28">
          <cell r="A28" t="str">
            <v>0028</v>
          </cell>
          <cell r="B28">
            <v>1843.8285000000001</v>
          </cell>
          <cell r="C28">
            <v>20756889.670000002</v>
          </cell>
        </row>
        <row r="29">
          <cell r="A29" t="str">
            <v>0029</v>
          </cell>
          <cell r="B29">
            <v>206.64420000000001</v>
          </cell>
          <cell r="C29">
            <v>2276348.63</v>
          </cell>
        </row>
        <row r="30">
          <cell r="A30" t="str">
            <v>0030</v>
          </cell>
          <cell r="B30">
            <v>156.50280000000001</v>
          </cell>
          <cell r="C30">
            <v>1817057.25</v>
          </cell>
        </row>
        <row r="31">
          <cell r="A31" t="str">
            <v>0031</v>
          </cell>
          <cell r="B31">
            <v>697.35050000000001</v>
          </cell>
          <cell r="C31">
            <v>0</v>
          </cell>
        </row>
        <row r="32">
          <cell r="A32" t="str">
            <v>0032</v>
          </cell>
          <cell r="B32">
            <v>623.64550000000008</v>
          </cell>
          <cell r="C32">
            <v>7106990.2000000002</v>
          </cell>
        </row>
        <row r="33">
          <cell r="A33" t="str">
            <v>0033</v>
          </cell>
          <cell r="B33">
            <v>567.26499999999999</v>
          </cell>
          <cell r="C33">
            <v>5687365</v>
          </cell>
        </row>
        <row r="34">
          <cell r="A34" t="str">
            <v>0034</v>
          </cell>
          <cell r="B34">
            <v>58.656200000000005</v>
          </cell>
          <cell r="C34">
            <v>604509.85</v>
          </cell>
        </row>
        <row r="35">
          <cell r="A35" t="str">
            <v>0035</v>
          </cell>
          <cell r="B35">
            <v>1513.4691</v>
          </cell>
          <cell r="C35">
            <v>15836166.640000001</v>
          </cell>
        </row>
        <row r="36">
          <cell r="A36" t="str">
            <v>0036</v>
          </cell>
          <cell r="B36">
            <v>152.86440000000002</v>
          </cell>
          <cell r="C36">
            <v>1647446.4400000002</v>
          </cell>
        </row>
        <row r="37">
          <cell r="A37" t="str">
            <v>0037</v>
          </cell>
          <cell r="B37">
            <v>41.694400000000002</v>
          </cell>
          <cell r="C37">
            <v>427098.12</v>
          </cell>
        </row>
        <row r="38">
          <cell r="A38" t="str">
            <v>0038</v>
          </cell>
          <cell r="B38">
            <v>12.779500000000001</v>
          </cell>
          <cell r="C38">
            <v>151643.79</v>
          </cell>
        </row>
        <row r="39">
          <cell r="A39" t="str">
            <v>0039</v>
          </cell>
          <cell r="B39">
            <v>367.75100000000003</v>
          </cell>
          <cell r="C39">
            <v>3713201.85</v>
          </cell>
        </row>
        <row r="40">
          <cell r="A40" t="str">
            <v>0040</v>
          </cell>
          <cell r="B40">
            <v>0</v>
          </cell>
          <cell r="C40">
            <v>0</v>
          </cell>
        </row>
        <row r="41">
          <cell r="A41" t="str">
            <v>0041</v>
          </cell>
          <cell r="B41">
            <v>27.6099</v>
          </cell>
          <cell r="C41">
            <v>317650.59000000003</v>
          </cell>
        </row>
        <row r="42">
          <cell r="A42" t="str">
            <v>0042</v>
          </cell>
          <cell r="B42">
            <v>112.3934</v>
          </cell>
          <cell r="C42">
            <v>1141383.3600000001</v>
          </cell>
        </row>
        <row r="43">
          <cell r="A43" t="str">
            <v>0043</v>
          </cell>
          <cell r="B43">
            <v>54.442800000000005</v>
          </cell>
          <cell r="C43">
            <v>607643.19000000006</v>
          </cell>
        </row>
        <row r="44">
          <cell r="A44" t="str">
            <v>0044</v>
          </cell>
          <cell r="B44">
            <v>78.430300000000003</v>
          </cell>
          <cell r="C44">
            <v>823515.68</v>
          </cell>
        </row>
        <row r="45">
          <cell r="A45" t="str">
            <v>0045</v>
          </cell>
          <cell r="B45">
            <v>143.34790000000001</v>
          </cell>
          <cell r="C45">
            <v>1474765.05</v>
          </cell>
        </row>
        <row r="46">
          <cell r="A46" t="str">
            <v>0046</v>
          </cell>
          <cell r="B46">
            <v>71.573000000000008</v>
          </cell>
          <cell r="C46">
            <v>855739.13</v>
          </cell>
        </row>
        <row r="47">
          <cell r="A47" t="str">
            <v>0047</v>
          </cell>
          <cell r="B47">
            <v>870.08210000000008</v>
          </cell>
          <cell r="C47">
            <v>10158447.25</v>
          </cell>
        </row>
        <row r="48">
          <cell r="A48" t="str">
            <v>0048</v>
          </cell>
          <cell r="B48">
            <v>52.922800000000002</v>
          </cell>
          <cell r="C48">
            <v>541500.19000000006</v>
          </cell>
        </row>
        <row r="49">
          <cell r="A49" t="str">
            <v>0052</v>
          </cell>
          <cell r="B49">
            <v>8.5630000000000006</v>
          </cell>
          <cell r="C49">
            <v>75736.850000000006</v>
          </cell>
        </row>
        <row r="50">
          <cell r="A50" t="str">
            <v>0053</v>
          </cell>
          <cell r="B50">
            <v>59.996600000000001</v>
          </cell>
          <cell r="C50">
            <v>615236.18000000005</v>
          </cell>
        </row>
        <row r="51">
          <cell r="A51" t="str">
            <v>0054</v>
          </cell>
          <cell r="B51">
            <v>83.414900000000003</v>
          </cell>
          <cell r="C51">
            <v>757596.67</v>
          </cell>
        </row>
        <row r="52">
          <cell r="A52" t="str">
            <v>0055</v>
          </cell>
          <cell r="B52">
            <v>40.559100000000001</v>
          </cell>
          <cell r="C52">
            <v>334681.84000000003</v>
          </cell>
        </row>
        <row r="53">
          <cell r="A53" t="str">
            <v>0056</v>
          </cell>
          <cell r="B53">
            <v>430.68990000000002</v>
          </cell>
          <cell r="C53">
            <v>3724793.08</v>
          </cell>
        </row>
        <row r="54">
          <cell r="A54" t="str">
            <v>0057</v>
          </cell>
          <cell r="B54">
            <v>0</v>
          </cell>
          <cell r="C54">
            <v>0</v>
          </cell>
        </row>
        <row r="55">
          <cell r="A55" t="str">
            <v>0058</v>
          </cell>
          <cell r="B55">
            <v>19.810600000000001</v>
          </cell>
          <cell r="C55">
            <v>189625.90000000002</v>
          </cell>
        </row>
        <row r="56">
          <cell r="A56" t="str">
            <v>0059</v>
          </cell>
          <cell r="B56">
            <v>0</v>
          </cell>
          <cell r="C56">
            <v>0</v>
          </cell>
        </row>
        <row r="57">
          <cell r="A57" t="str">
            <v>0060</v>
          </cell>
          <cell r="B57">
            <v>20.645700000000001</v>
          </cell>
          <cell r="C57">
            <v>243659.76</v>
          </cell>
        </row>
        <row r="58">
          <cell r="A58" t="str">
            <v>0061</v>
          </cell>
          <cell r="B58">
            <v>14.402100000000001</v>
          </cell>
          <cell r="C58">
            <v>126360.1</v>
          </cell>
        </row>
        <row r="59">
          <cell r="A59" t="str">
            <v>0062</v>
          </cell>
          <cell r="B59">
            <v>10.395900000000001</v>
          </cell>
          <cell r="C59">
            <v>106815.77</v>
          </cell>
        </row>
        <row r="60">
          <cell r="A60" t="str">
            <v>0063</v>
          </cell>
          <cell r="B60">
            <v>15.235100000000001</v>
          </cell>
          <cell r="C60">
            <v>145778.88</v>
          </cell>
        </row>
        <row r="61">
          <cell r="A61" t="str">
            <v>0064</v>
          </cell>
          <cell r="B61">
            <v>203.01600000000002</v>
          </cell>
          <cell r="C61">
            <v>2392230.77</v>
          </cell>
        </row>
        <row r="62">
          <cell r="A62" t="str">
            <v>0065</v>
          </cell>
          <cell r="B62">
            <v>47.588900000000002</v>
          </cell>
          <cell r="C62">
            <v>464027.72000000003</v>
          </cell>
        </row>
        <row r="63">
          <cell r="A63" t="str">
            <v>0066</v>
          </cell>
          <cell r="B63">
            <v>231.74110000000002</v>
          </cell>
          <cell r="C63">
            <v>2350072.92</v>
          </cell>
        </row>
        <row r="64">
          <cell r="A64" t="str">
            <v>0067</v>
          </cell>
          <cell r="B64">
            <v>34.946000000000005</v>
          </cell>
          <cell r="C64">
            <v>317028.64</v>
          </cell>
        </row>
        <row r="65">
          <cell r="A65" t="str">
            <v>0068</v>
          </cell>
          <cell r="B65">
            <v>365.25510000000003</v>
          </cell>
          <cell r="C65">
            <v>4181070.43</v>
          </cell>
        </row>
        <row r="66">
          <cell r="A66" t="str">
            <v>0069</v>
          </cell>
          <cell r="B66">
            <v>16.150400000000001</v>
          </cell>
          <cell r="C66">
            <v>174583.22</v>
          </cell>
        </row>
        <row r="67">
          <cell r="A67" t="str">
            <v>0070</v>
          </cell>
          <cell r="B67">
            <v>300.09350000000001</v>
          </cell>
          <cell r="C67">
            <v>2583423.67</v>
          </cell>
        </row>
        <row r="68">
          <cell r="A68" t="str">
            <v>0071</v>
          </cell>
          <cell r="B68">
            <v>63.446000000000005</v>
          </cell>
          <cell r="C68">
            <v>539942.24</v>
          </cell>
        </row>
        <row r="69">
          <cell r="A69" t="str">
            <v>0072</v>
          </cell>
          <cell r="B69">
            <v>173.4316</v>
          </cell>
          <cell r="C69">
            <v>1401144.9100000001</v>
          </cell>
        </row>
        <row r="70">
          <cell r="A70" t="str">
            <v>0073</v>
          </cell>
          <cell r="B70">
            <v>1010.4911000000001</v>
          </cell>
          <cell r="C70">
            <v>7447040.2800000003</v>
          </cell>
        </row>
        <row r="71">
          <cell r="A71" t="str">
            <v>0074</v>
          </cell>
          <cell r="B71">
            <v>118.4157</v>
          </cell>
          <cell r="C71">
            <v>1011241.7100000001</v>
          </cell>
        </row>
        <row r="72">
          <cell r="A72" t="str">
            <v>0075</v>
          </cell>
          <cell r="B72">
            <v>16.7865</v>
          </cell>
          <cell r="C72">
            <v>196229.35</v>
          </cell>
        </row>
        <row r="73">
          <cell r="A73" t="str">
            <v>0076</v>
          </cell>
          <cell r="B73">
            <v>57.007200000000005</v>
          </cell>
          <cell r="C73">
            <v>567979.98</v>
          </cell>
        </row>
        <row r="74">
          <cell r="A74" t="str">
            <v>0077</v>
          </cell>
          <cell r="B74">
            <v>34.179400000000001</v>
          </cell>
          <cell r="C74">
            <v>334297.78000000003</v>
          </cell>
        </row>
        <row r="75">
          <cell r="A75" t="str">
            <v>0078</v>
          </cell>
          <cell r="B75">
            <v>66.793700000000001</v>
          </cell>
          <cell r="C75">
            <v>692408.83000000007</v>
          </cell>
        </row>
        <row r="76">
          <cell r="A76" t="str">
            <v>0079</v>
          </cell>
          <cell r="B76">
            <v>154.77270000000001</v>
          </cell>
          <cell r="C76">
            <v>1252898.2</v>
          </cell>
        </row>
        <row r="77">
          <cell r="A77" t="str">
            <v>0080</v>
          </cell>
          <cell r="B77">
            <v>7.3601000000000001</v>
          </cell>
          <cell r="C77">
            <v>88101.010000000009</v>
          </cell>
        </row>
        <row r="78">
          <cell r="A78" t="str">
            <v>0081</v>
          </cell>
          <cell r="B78">
            <v>335.2319</v>
          </cell>
          <cell r="C78">
            <v>2885067.16</v>
          </cell>
        </row>
        <row r="79">
          <cell r="A79" t="str">
            <v>0082</v>
          </cell>
          <cell r="B79">
            <v>308.03559999999999</v>
          </cell>
          <cell r="C79">
            <v>3300651.49</v>
          </cell>
        </row>
        <row r="80">
          <cell r="A80" t="str">
            <v>0083</v>
          </cell>
          <cell r="B80">
            <v>69.402799999999999</v>
          </cell>
          <cell r="C80">
            <v>818728.29</v>
          </cell>
        </row>
        <row r="81">
          <cell r="A81" t="str">
            <v>0085</v>
          </cell>
          <cell r="B81">
            <v>286.51690000000002</v>
          </cell>
          <cell r="C81">
            <v>2350760.9500000002</v>
          </cell>
        </row>
        <row r="82">
          <cell r="A82" t="str">
            <v>0086</v>
          </cell>
          <cell r="B82">
            <v>18.1341</v>
          </cell>
          <cell r="C82">
            <v>198543.72</v>
          </cell>
        </row>
        <row r="83">
          <cell r="A83" t="str">
            <v>0088</v>
          </cell>
          <cell r="B83">
            <v>0</v>
          </cell>
          <cell r="C83">
            <v>0</v>
          </cell>
        </row>
        <row r="84">
          <cell r="A84" t="str">
            <v>0089</v>
          </cell>
          <cell r="B84">
            <v>28.520300000000002</v>
          </cell>
          <cell r="C84">
            <v>334143.3</v>
          </cell>
        </row>
        <row r="85">
          <cell r="A85" t="str">
            <v>0091</v>
          </cell>
          <cell r="B85">
            <v>0</v>
          </cell>
          <cell r="C85">
            <v>0</v>
          </cell>
        </row>
        <row r="86">
          <cell r="A86" t="str">
            <v>0092</v>
          </cell>
          <cell r="B86">
            <v>58.911000000000001</v>
          </cell>
          <cell r="C86">
            <v>650307.03</v>
          </cell>
        </row>
        <row r="87">
          <cell r="A87" t="str">
            <v>0093</v>
          </cell>
          <cell r="B87">
            <v>19.096800000000002</v>
          </cell>
          <cell r="C87">
            <v>178949.58000000002</v>
          </cell>
        </row>
        <row r="88">
          <cell r="A88" t="str">
            <v>0094</v>
          </cell>
          <cell r="B88">
            <v>5.8462000000000005</v>
          </cell>
          <cell r="C88">
            <v>69832.33</v>
          </cell>
        </row>
        <row r="89">
          <cell r="A89" t="str">
            <v>0095</v>
          </cell>
          <cell r="B89">
            <v>17.609000000000002</v>
          </cell>
          <cell r="C89">
            <v>163295.31</v>
          </cell>
        </row>
        <row r="90">
          <cell r="A90" t="str">
            <v>0096</v>
          </cell>
          <cell r="B90">
            <v>20.341200000000001</v>
          </cell>
          <cell r="C90">
            <v>171229.14</v>
          </cell>
        </row>
        <row r="91">
          <cell r="A91" t="str">
            <v>0097</v>
          </cell>
          <cell r="B91">
            <v>1.2200000000000001E-2</v>
          </cell>
          <cell r="C91">
            <v>146.80000000000001</v>
          </cell>
        </row>
        <row r="92">
          <cell r="A92" t="str">
            <v>0098</v>
          </cell>
          <cell r="B92">
            <v>9.3986999999999998</v>
          </cell>
          <cell r="C92">
            <v>98882.840000000011</v>
          </cell>
        </row>
        <row r="93">
          <cell r="A93" t="str">
            <v>0100</v>
          </cell>
          <cell r="B93">
            <v>56.404200000000003</v>
          </cell>
          <cell r="C93">
            <v>439125.98000000004</v>
          </cell>
        </row>
        <row r="94">
          <cell r="A94" t="str">
            <v>0101</v>
          </cell>
          <cell r="B94">
            <v>25.727800000000002</v>
          </cell>
          <cell r="C94">
            <v>275759.22000000003</v>
          </cell>
        </row>
        <row r="95">
          <cell r="A95" t="str">
            <v>0102</v>
          </cell>
          <cell r="B95">
            <v>48.372100000000003</v>
          </cell>
          <cell r="C95">
            <v>577971.16</v>
          </cell>
        </row>
        <row r="96">
          <cell r="A96" t="str">
            <v>0103</v>
          </cell>
          <cell r="B96">
            <v>79.007500000000007</v>
          </cell>
          <cell r="C96">
            <v>896799.34000000008</v>
          </cell>
        </row>
        <row r="97">
          <cell r="A97" t="str">
            <v>0104</v>
          </cell>
          <cell r="B97">
            <v>36.706200000000003</v>
          </cell>
          <cell r="C97">
            <v>415301.63</v>
          </cell>
        </row>
        <row r="98">
          <cell r="A98" t="str">
            <v>0105</v>
          </cell>
          <cell r="B98">
            <v>16.696000000000002</v>
          </cell>
          <cell r="C98">
            <v>133342.28</v>
          </cell>
        </row>
        <row r="99">
          <cell r="A99" t="str">
            <v>0106</v>
          </cell>
          <cell r="B99">
            <v>42.4069</v>
          </cell>
          <cell r="C99">
            <v>382147.66000000003</v>
          </cell>
        </row>
        <row r="100">
          <cell r="A100" t="str">
            <v>0107</v>
          </cell>
          <cell r="B100">
            <v>9.6376000000000008</v>
          </cell>
          <cell r="C100">
            <v>103346.29000000001</v>
          </cell>
        </row>
        <row r="101">
          <cell r="A101" t="str">
            <v>0108</v>
          </cell>
          <cell r="B101">
            <v>69.703000000000003</v>
          </cell>
          <cell r="C101">
            <v>830361.31</v>
          </cell>
        </row>
        <row r="102">
          <cell r="A102" t="str">
            <v>0109</v>
          </cell>
          <cell r="B102">
            <v>5.5019</v>
          </cell>
          <cell r="C102">
            <v>45250.200000000004</v>
          </cell>
        </row>
        <row r="103">
          <cell r="A103" t="str">
            <v>0110</v>
          </cell>
          <cell r="B103">
            <v>14.280200000000001</v>
          </cell>
          <cell r="C103">
            <v>112782.14</v>
          </cell>
        </row>
        <row r="104">
          <cell r="A104" t="str">
            <v>0111</v>
          </cell>
          <cell r="B104">
            <v>24.2302</v>
          </cell>
          <cell r="C104">
            <v>284835.92000000004</v>
          </cell>
        </row>
        <row r="105">
          <cell r="A105" t="str">
            <v>0112</v>
          </cell>
          <cell r="B105">
            <v>42.576300000000003</v>
          </cell>
          <cell r="C105">
            <v>418516.89</v>
          </cell>
        </row>
        <row r="106">
          <cell r="A106" t="str">
            <v>0113</v>
          </cell>
          <cell r="B106">
            <v>25.936800000000002</v>
          </cell>
          <cell r="C106">
            <v>280321.68</v>
          </cell>
        </row>
        <row r="107">
          <cell r="A107" t="str">
            <v>0114</v>
          </cell>
          <cell r="B107">
            <v>125.364</v>
          </cell>
          <cell r="C107">
            <v>1054478.3400000001</v>
          </cell>
        </row>
        <row r="108">
          <cell r="A108" t="str">
            <v>0115</v>
          </cell>
          <cell r="B108">
            <v>7.3986000000000001</v>
          </cell>
          <cell r="C108">
            <v>80589.52</v>
          </cell>
        </row>
        <row r="109">
          <cell r="A109" t="str">
            <v>0116</v>
          </cell>
          <cell r="B109">
            <v>14.062900000000001</v>
          </cell>
          <cell r="C109">
            <v>146054.58000000002</v>
          </cell>
        </row>
        <row r="110">
          <cell r="A110" t="str">
            <v>0117</v>
          </cell>
          <cell r="B110">
            <v>2.1701000000000001</v>
          </cell>
          <cell r="C110">
            <v>18281.13</v>
          </cell>
        </row>
        <row r="111">
          <cell r="A111" t="str">
            <v>0118</v>
          </cell>
          <cell r="B111">
            <v>2.7307000000000001</v>
          </cell>
          <cell r="C111">
            <v>29280.13</v>
          </cell>
        </row>
        <row r="112">
          <cell r="A112" t="str">
            <v>0119</v>
          </cell>
          <cell r="B112">
            <v>28.9619</v>
          </cell>
          <cell r="C112">
            <v>314647.2</v>
          </cell>
        </row>
        <row r="113">
          <cell r="A113" t="str">
            <v>0120</v>
          </cell>
          <cell r="B113">
            <v>57.518800000000006</v>
          </cell>
          <cell r="C113">
            <v>637935.91</v>
          </cell>
        </row>
        <row r="114">
          <cell r="A114" t="str">
            <v>0121</v>
          </cell>
          <cell r="B114">
            <v>0</v>
          </cell>
          <cell r="C114">
            <v>0</v>
          </cell>
        </row>
        <row r="115">
          <cell r="A115" t="str">
            <v>0122</v>
          </cell>
          <cell r="B115">
            <v>0</v>
          </cell>
          <cell r="C115">
            <v>0</v>
          </cell>
        </row>
        <row r="116">
          <cell r="A116" t="str">
            <v>0123</v>
          </cell>
          <cell r="B116">
            <v>12.940200000000001</v>
          </cell>
          <cell r="C116">
            <v>144915.11000000002</v>
          </cell>
        </row>
        <row r="117">
          <cell r="A117" t="str">
            <v>0124</v>
          </cell>
          <cell r="B117">
            <v>0.50529999999999997</v>
          </cell>
          <cell r="C117">
            <v>4833.05</v>
          </cell>
        </row>
        <row r="118">
          <cell r="A118" t="str">
            <v>0125</v>
          </cell>
          <cell r="B118">
            <v>23.210900000000002</v>
          </cell>
          <cell r="C118">
            <v>235008.81</v>
          </cell>
        </row>
        <row r="119">
          <cell r="A119" t="str">
            <v>0126</v>
          </cell>
          <cell r="B119">
            <v>13.627000000000001</v>
          </cell>
          <cell r="C119">
            <v>119173.18000000001</v>
          </cell>
        </row>
        <row r="120">
          <cell r="A120" t="str">
            <v>0127</v>
          </cell>
          <cell r="B120">
            <v>0</v>
          </cell>
          <cell r="C120">
            <v>0</v>
          </cell>
        </row>
        <row r="121">
          <cell r="A121" t="str">
            <v>0128</v>
          </cell>
          <cell r="B121">
            <v>0</v>
          </cell>
          <cell r="C121">
            <v>0</v>
          </cell>
        </row>
        <row r="122">
          <cell r="A122" t="str">
            <v>0129</v>
          </cell>
          <cell r="B122">
            <v>76.848500000000001</v>
          </cell>
          <cell r="C122">
            <v>634969.32000000007</v>
          </cell>
        </row>
        <row r="123">
          <cell r="A123" t="str">
            <v>0131</v>
          </cell>
          <cell r="B123">
            <v>308.2158</v>
          </cell>
          <cell r="C123">
            <v>3337878.2600000002</v>
          </cell>
        </row>
        <row r="124">
          <cell r="A124" t="str">
            <v>0132</v>
          </cell>
          <cell r="B124">
            <v>2.4300000000000002E-2</v>
          </cell>
          <cell r="C124">
            <v>290.95</v>
          </cell>
        </row>
        <row r="125">
          <cell r="A125" t="str">
            <v>0133</v>
          </cell>
          <cell r="B125">
            <v>80.62700000000001</v>
          </cell>
          <cell r="C125">
            <v>886112</v>
          </cell>
        </row>
        <row r="126">
          <cell r="A126" t="str">
            <v>0134</v>
          </cell>
          <cell r="B126">
            <v>79.450900000000004</v>
          </cell>
          <cell r="C126">
            <v>771179.68</v>
          </cell>
        </row>
        <row r="127">
          <cell r="A127" t="str">
            <v>0135</v>
          </cell>
          <cell r="B127">
            <v>0</v>
          </cell>
          <cell r="C127">
            <v>0</v>
          </cell>
        </row>
        <row r="128">
          <cell r="A128" t="str">
            <v>0136</v>
          </cell>
          <cell r="B128">
            <v>9.6951999999999998</v>
          </cell>
          <cell r="C128">
            <v>80371.23000000001</v>
          </cell>
        </row>
        <row r="129">
          <cell r="A129" t="str">
            <v>0137</v>
          </cell>
          <cell r="B129">
            <v>173.476</v>
          </cell>
          <cell r="C129">
            <v>1746557.9000000001</v>
          </cell>
        </row>
        <row r="130">
          <cell r="A130" t="str">
            <v>0138</v>
          </cell>
          <cell r="B130">
            <v>16.538800000000002</v>
          </cell>
          <cell r="C130">
            <v>183663.66</v>
          </cell>
        </row>
        <row r="131">
          <cell r="A131" t="str">
            <v>0139</v>
          </cell>
          <cell r="B131">
            <v>1.9056000000000002</v>
          </cell>
          <cell r="C131">
            <v>17698.7</v>
          </cell>
        </row>
        <row r="132">
          <cell r="A132" t="str">
            <v>0140</v>
          </cell>
          <cell r="B132">
            <v>10.3248</v>
          </cell>
          <cell r="C132">
            <v>96835.02</v>
          </cell>
        </row>
        <row r="133">
          <cell r="A133" t="str">
            <v>0141</v>
          </cell>
          <cell r="B133">
            <v>53.232200000000006</v>
          </cell>
          <cell r="C133">
            <v>531897.65</v>
          </cell>
        </row>
        <row r="134">
          <cell r="A134" t="str">
            <v>0142</v>
          </cell>
          <cell r="B134">
            <v>0</v>
          </cell>
          <cell r="C134">
            <v>0</v>
          </cell>
        </row>
        <row r="135">
          <cell r="A135" t="str">
            <v>0143</v>
          </cell>
          <cell r="B135">
            <v>77.3245</v>
          </cell>
          <cell r="C135">
            <v>814404.57000000007</v>
          </cell>
        </row>
        <row r="136">
          <cell r="A136" t="str">
            <v>0144</v>
          </cell>
          <cell r="B136">
            <v>85.336100000000002</v>
          </cell>
          <cell r="C136">
            <v>705635.99</v>
          </cell>
        </row>
        <row r="137">
          <cell r="A137" t="str">
            <v>0145</v>
          </cell>
          <cell r="B137">
            <v>8.2363</v>
          </cell>
          <cell r="C137">
            <v>98493.81</v>
          </cell>
        </row>
        <row r="138">
          <cell r="A138" t="str">
            <v>0146</v>
          </cell>
          <cell r="B138">
            <v>118.6267</v>
          </cell>
          <cell r="C138">
            <v>1073993.58</v>
          </cell>
        </row>
        <row r="139">
          <cell r="A139" t="str">
            <v>0147</v>
          </cell>
          <cell r="B139">
            <v>145.05940000000001</v>
          </cell>
          <cell r="C139">
            <v>1643719.01</v>
          </cell>
        </row>
        <row r="140">
          <cell r="A140" t="str">
            <v>0148</v>
          </cell>
          <cell r="B140">
            <v>109.0528</v>
          </cell>
          <cell r="C140">
            <v>1031085.17</v>
          </cell>
        </row>
        <row r="141">
          <cell r="A141" t="str">
            <v>0149</v>
          </cell>
          <cell r="B141">
            <v>15.043700000000001</v>
          </cell>
          <cell r="C141">
            <v>137050.95000000001</v>
          </cell>
        </row>
        <row r="142">
          <cell r="A142" t="str">
            <v>0150</v>
          </cell>
          <cell r="B142">
            <v>131.89000000000001</v>
          </cell>
          <cell r="C142">
            <v>1045816.8300000001</v>
          </cell>
        </row>
        <row r="143">
          <cell r="A143" t="str">
            <v>0151</v>
          </cell>
          <cell r="B143">
            <v>14.861000000000001</v>
          </cell>
          <cell r="C143">
            <v>106920.33</v>
          </cell>
        </row>
        <row r="144">
          <cell r="A144" t="str">
            <v>0152</v>
          </cell>
          <cell r="B144">
            <v>0</v>
          </cell>
          <cell r="C144">
            <v>0</v>
          </cell>
        </row>
        <row r="145">
          <cell r="A145" t="str">
            <v>0153</v>
          </cell>
          <cell r="B145">
            <v>20.741400000000002</v>
          </cell>
          <cell r="C145">
            <v>230168.32000000001</v>
          </cell>
        </row>
        <row r="146">
          <cell r="A146" t="str">
            <v>0154</v>
          </cell>
          <cell r="B146">
            <v>0</v>
          </cell>
          <cell r="C146">
            <v>0</v>
          </cell>
        </row>
        <row r="147">
          <cell r="A147" t="str">
            <v>0155</v>
          </cell>
          <cell r="B147">
            <v>40.176100000000005</v>
          </cell>
          <cell r="C147">
            <v>435085.22000000003</v>
          </cell>
        </row>
        <row r="148">
          <cell r="A148" t="str">
            <v>0156</v>
          </cell>
          <cell r="B148">
            <v>168.47790000000001</v>
          </cell>
          <cell r="C148">
            <v>1763935.55</v>
          </cell>
        </row>
        <row r="149">
          <cell r="A149" t="str">
            <v>0157</v>
          </cell>
          <cell r="B149">
            <v>44.108200000000004</v>
          </cell>
          <cell r="C149">
            <v>479058.65</v>
          </cell>
        </row>
        <row r="150">
          <cell r="A150" t="str">
            <v>0158</v>
          </cell>
          <cell r="B150">
            <v>2.7383999999999999</v>
          </cell>
          <cell r="C150">
            <v>28932.91</v>
          </cell>
        </row>
        <row r="151">
          <cell r="A151" t="str">
            <v>0159</v>
          </cell>
          <cell r="B151">
            <v>0.2215</v>
          </cell>
          <cell r="C151">
            <v>2484.6200000000003</v>
          </cell>
        </row>
        <row r="152">
          <cell r="A152" t="str">
            <v>0160</v>
          </cell>
          <cell r="B152">
            <v>14.1477</v>
          </cell>
          <cell r="C152">
            <v>118925.56000000001</v>
          </cell>
        </row>
        <row r="153">
          <cell r="A153" t="str">
            <v>0161</v>
          </cell>
          <cell r="B153">
            <v>47.887599999999999</v>
          </cell>
          <cell r="C153">
            <v>528978.38</v>
          </cell>
        </row>
        <row r="154">
          <cell r="A154" t="str">
            <v>0162</v>
          </cell>
          <cell r="B154">
            <v>691.80090000000007</v>
          </cell>
          <cell r="C154">
            <v>0</v>
          </cell>
        </row>
        <row r="155">
          <cell r="A155" t="str">
            <v>0163</v>
          </cell>
          <cell r="B155">
            <v>691.80090000000007</v>
          </cell>
          <cell r="C155">
            <v>0</v>
          </cell>
        </row>
        <row r="156">
          <cell r="A156" t="str">
            <v>0164</v>
          </cell>
          <cell r="B156">
            <v>0</v>
          </cell>
          <cell r="C156">
            <v>0</v>
          </cell>
        </row>
        <row r="157">
          <cell r="A157" t="str">
            <v>0165</v>
          </cell>
          <cell r="B157">
            <v>6.59E-2</v>
          </cell>
          <cell r="C157">
            <v>682.43000000000006</v>
          </cell>
        </row>
        <row r="158">
          <cell r="A158" t="str">
            <v>0166</v>
          </cell>
          <cell r="B158">
            <v>0</v>
          </cell>
          <cell r="C158">
            <v>0</v>
          </cell>
        </row>
        <row r="159">
          <cell r="A159" t="str">
            <v>0167</v>
          </cell>
          <cell r="B159">
            <v>30.234400000000001</v>
          </cell>
          <cell r="C159">
            <v>343968.8</v>
          </cell>
        </row>
        <row r="160">
          <cell r="A160" t="str">
            <v>0168</v>
          </cell>
          <cell r="B160">
            <v>26.456400000000002</v>
          </cell>
          <cell r="C160">
            <v>249251.7</v>
          </cell>
        </row>
        <row r="161">
          <cell r="A161" t="str">
            <v>0169</v>
          </cell>
          <cell r="B161">
            <v>29.927100000000003</v>
          </cell>
          <cell r="C161">
            <v>245114.48</v>
          </cell>
        </row>
        <row r="162">
          <cell r="A162" t="str">
            <v>0170</v>
          </cell>
          <cell r="B162">
            <v>0</v>
          </cell>
          <cell r="C162">
            <v>0</v>
          </cell>
        </row>
        <row r="163">
          <cell r="A163" t="str">
            <v>0171</v>
          </cell>
          <cell r="B163">
            <v>8.4068000000000005</v>
          </cell>
          <cell r="C163">
            <v>100490.81</v>
          </cell>
        </row>
        <row r="164">
          <cell r="A164" t="str">
            <v>0172</v>
          </cell>
          <cell r="B164">
            <v>0</v>
          </cell>
          <cell r="C164">
            <v>0</v>
          </cell>
        </row>
        <row r="165">
          <cell r="A165" t="str">
            <v>0173</v>
          </cell>
          <cell r="B165">
            <v>9.2993000000000006</v>
          </cell>
          <cell r="C165">
            <v>96780.21</v>
          </cell>
        </row>
        <row r="166">
          <cell r="A166" t="str">
            <v>0174</v>
          </cell>
          <cell r="B166">
            <v>0</v>
          </cell>
          <cell r="C166">
            <v>0</v>
          </cell>
        </row>
        <row r="167">
          <cell r="A167" t="str">
            <v>0175</v>
          </cell>
          <cell r="B167">
            <v>36.619199999999999</v>
          </cell>
          <cell r="C167">
            <v>399368.60000000003</v>
          </cell>
        </row>
        <row r="168">
          <cell r="A168" t="str">
            <v>0176</v>
          </cell>
          <cell r="B168">
            <v>0</v>
          </cell>
          <cell r="C168">
            <v>0</v>
          </cell>
        </row>
        <row r="169">
          <cell r="A169" t="str">
            <v>0177</v>
          </cell>
          <cell r="B169">
            <v>15.668700000000001</v>
          </cell>
          <cell r="C169">
            <v>149018.45000000001</v>
          </cell>
        </row>
        <row r="170">
          <cell r="A170" t="str">
            <v>0178</v>
          </cell>
          <cell r="B170">
            <v>31.282</v>
          </cell>
          <cell r="C170">
            <v>372175.85000000003</v>
          </cell>
        </row>
        <row r="171">
          <cell r="A171" t="str">
            <v>0179</v>
          </cell>
          <cell r="B171">
            <v>11.7576</v>
          </cell>
          <cell r="C171">
            <v>126431.21</v>
          </cell>
        </row>
        <row r="172">
          <cell r="A172" t="str">
            <v>0180</v>
          </cell>
          <cell r="B172">
            <v>0</v>
          </cell>
          <cell r="C172">
            <v>0</v>
          </cell>
        </row>
        <row r="173">
          <cell r="A173" t="str">
            <v>0181</v>
          </cell>
          <cell r="B173">
            <v>0</v>
          </cell>
          <cell r="C173">
            <v>0</v>
          </cell>
        </row>
        <row r="174">
          <cell r="A174" t="str">
            <v>0182</v>
          </cell>
          <cell r="B174">
            <v>2.4287000000000001</v>
          </cell>
          <cell r="C174">
            <v>28871</v>
          </cell>
        </row>
        <row r="175">
          <cell r="A175" t="str">
            <v>0183</v>
          </cell>
          <cell r="B175">
            <v>3.3163</v>
          </cell>
          <cell r="C175">
            <v>36844.400000000001</v>
          </cell>
        </row>
        <row r="176">
          <cell r="A176" t="str">
            <v>0184</v>
          </cell>
          <cell r="B176">
            <v>0</v>
          </cell>
          <cell r="C176">
            <v>0</v>
          </cell>
        </row>
        <row r="177">
          <cell r="A177" t="str">
            <v>0185</v>
          </cell>
          <cell r="B177">
            <v>26.281500000000001</v>
          </cell>
          <cell r="C177">
            <v>309043.78000000003</v>
          </cell>
        </row>
        <row r="178">
          <cell r="A178" t="str">
            <v>0186</v>
          </cell>
          <cell r="B178">
            <v>2.4721000000000002</v>
          </cell>
          <cell r="C178">
            <v>27066.61</v>
          </cell>
        </row>
        <row r="179">
          <cell r="A179" t="str">
            <v>0187</v>
          </cell>
          <cell r="B179">
            <v>13.0068</v>
          </cell>
          <cell r="C179">
            <v>137707.5</v>
          </cell>
        </row>
        <row r="180">
          <cell r="A180" t="str">
            <v>0188</v>
          </cell>
          <cell r="B180">
            <v>18.8415</v>
          </cell>
          <cell r="C180">
            <v>197089.6</v>
          </cell>
        </row>
        <row r="181">
          <cell r="A181" t="str">
            <v>0189</v>
          </cell>
          <cell r="B181">
            <v>0</v>
          </cell>
          <cell r="C181">
            <v>0</v>
          </cell>
        </row>
        <row r="182">
          <cell r="A182" t="str">
            <v>0190</v>
          </cell>
          <cell r="B182">
            <v>10.82</v>
          </cell>
          <cell r="C182">
            <v>81284.58</v>
          </cell>
        </row>
        <row r="183">
          <cell r="A183" t="str">
            <v>0191</v>
          </cell>
          <cell r="B183">
            <v>16.716699999999999</v>
          </cell>
          <cell r="C183">
            <v>185063.24000000002</v>
          </cell>
        </row>
        <row r="184">
          <cell r="A184" t="str">
            <v>0192</v>
          </cell>
          <cell r="B184">
            <v>0</v>
          </cell>
          <cell r="C184">
            <v>0</v>
          </cell>
        </row>
        <row r="185">
          <cell r="A185" t="str">
            <v>0193</v>
          </cell>
          <cell r="B185">
            <v>5.8249000000000004</v>
          </cell>
          <cell r="C185">
            <v>63557.810000000005</v>
          </cell>
        </row>
        <row r="186">
          <cell r="A186" t="str">
            <v>0194</v>
          </cell>
          <cell r="B186">
            <v>0</v>
          </cell>
          <cell r="C186">
            <v>0</v>
          </cell>
        </row>
        <row r="187">
          <cell r="A187" t="str">
            <v>0195</v>
          </cell>
          <cell r="B187">
            <v>17.514200000000002</v>
          </cell>
          <cell r="C187">
            <v>166480.94</v>
          </cell>
        </row>
        <row r="188">
          <cell r="A188" t="str">
            <v>0196</v>
          </cell>
          <cell r="B188">
            <v>0</v>
          </cell>
          <cell r="C188">
            <v>0</v>
          </cell>
        </row>
        <row r="189">
          <cell r="A189" t="str">
            <v>0197</v>
          </cell>
          <cell r="B189">
            <v>0</v>
          </cell>
          <cell r="C189">
            <v>0</v>
          </cell>
        </row>
        <row r="190">
          <cell r="A190" t="str">
            <v>0198</v>
          </cell>
          <cell r="B190">
            <v>0</v>
          </cell>
          <cell r="C190">
            <v>0</v>
          </cell>
        </row>
        <row r="191">
          <cell r="A191" t="str">
            <v>0199</v>
          </cell>
          <cell r="B191">
            <v>0</v>
          </cell>
          <cell r="C191">
            <v>0</v>
          </cell>
        </row>
        <row r="192">
          <cell r="A192" t="str">
            <v>0200</v>
          </cell>
          <cell r="B192">
            <v>20.6555</v>
          </cell>
          <cell r="C192">
            <v>240729.31</v>
          </cell>
        </row>
        <row r="193">
          <cell r="A193" t="str">
            <v>0201</v>
          </cell>
          <cell r="B193">
            <v>0</v>
          </cell>
          <cell r="C193">
            <v>0</v>
          </cell>
        </row>
        <row r="194">
          <cell r="A194" t="str">
            <v>0202</v>
          </cell>
          <cell r="B194">
            <v>0</v>
          </cell>
          <cell r="C194">
            <v>0</v>
          </cell>
        </row>
        <row r="195">
          <cell r="A195" t="str">
            <v>0203</v>
          </cell>
          <cell r="B195">
            <v>7.4157000000000002</v>
          </cell>
          <cell r="C195">
            <v>78099</v>
          </cell>
        </row>
        <row r="196">
          <cell r="A196" t="str">
            <v>0204</v>
          </cell>
          <cell r="B196">
            <v>0</v>
          </cell>
          <cell r="C196">
            <v>0</v>
          </cell>
        </row>
        <row r="197">
          <cell r="A197" t="str">
            <v>0205</v>
          </cell>
          <cell r="B197">
            <v>1.5062</v>
          </cell>
          <cell r="C197">
            <v>10943.050000000001</v>
          </cell>
        </row>
        <row r="198">
          <cell r="A198" t="str">
            <v>0206</v>
          </cell>
          <cell r="B198">
            <v>0</v>
          </cell>
          <cell r="C198">
            <v>0</v>
          </cell>
        </row>
        <row r="199">
          <cell r="A199" t="str">
            <v>0207</v>
          </cell>
          <cell r="B199">
            <v>14.3436</v>
          </cell>
          <cell r="C199">
            <v>132249.25</v>
          </cell>
        </row>
        <row r="200">
          <cell r="A200" t="str">
            <v>0208</v>
          </cell>
          <cell r="B200">
            <v>0</v>
          </cell>
          <cell r="C200">
            <v>0</v>
          </cell>
        </row>
        <row r="201">
          <cell r="A201" t="str">
            <v>0209</v>
          </cell>
          <cell r="B201">
            <v>0</v>
          </cell>
          <cell r="C201">
            <v>0</v>
          </cell>
        </row>
        <row r="202">
          <cell r="A202" t="str">
            <v>0210</v>
          </cell>
          <cell r="B202">
            <v>148.74250000000001</v>
          </cell>
          <cell r="C202">
            <v>1780447.82</v>
          </cell>
        </row>
        <row r="203">
          <cell r="A203" t="str">
            <v>0211</v>
          </cell>
          <cell r="B203">
            <v>0</v>
          </cell>
          <cell r="C203">
            <v>0</v>
          </cell>
        </row>
        <row r="204">
          <cell r="A204" t="str">
            <v>0212</v>
          </cell>
          <cell r="B204">
            <v>33.357600000000005</v>
          </cell>
          <cell r="C204">
            <v>380080.18</v>
          </cell>
        </row>
        <row r="205">
          <cell r="A205" t="str">
            <v>0213</v>
          </cell>
          <cell r="B205">
            <v>7.3391999999999999</v>
          </cell>
          <cell r="C205">
            <v>87850.930000000008</v>
          </cell>
        </row>
        <row r="206">
          <cell r="A206" t="str">
            <v>0214</v>
          </cell>
          <cell r="B206">
            <v>0</v>
          </cell>
          <cell r="C206">
            <v>0</v>
          </cell>
        </row>
        <row r="207">
          <cell r="A207" t="str">
            <v>0215</v>
          </cell>
          <cell r="B207">
            <v>0</v>
          </cell>
          <cell r="C207">
            <v>0</v>
          </cell>
        </row>
        <row r="208">
          <cell r="A208" t="str">
            <v>0216</v>
          </cell>
          <cell r="B208">
            <v>0</v>
          </cell>
          <cell r="C208">
            <v>0</v>
          </cell>
        </row>
        <row r="209">
          <cell r="A209" t="str">
            <v>0217</v>
          </cell>
          <cell r="B209">
            <v>0</v>
          </cell>
          <cell r="C209">
            <v>0</v>
          </cell>
        </row>
        <row r="210">
          <cell r="A210" t="str">
            <v>0218</v>
          </cell>
          <cell r="B210">
            <v>0</v>
          </cell>
          <cell r="C210">
            <v>0</v>
          </cell>
        </row>
        <row r="211">
          <cell r="A211" t="str">
            <v>0219</v>
          </cell>
          <cell r="B211">
            <v>0</v>
          </cell>
          <cell r="C211">
            <v>0</v>
          </cell>
        </row>
        <row r="212">
          <cell r="A212" t="str">
            <v>0220</v>
          </cell>
          <cell r="B212">
            <v>58.840400000000002</v>
          </cell>
          <cell r="C212">
            <v>541643.06000000006</v>
          </cell>
        </row>
        <row r="213">
          <cell r="A213" t="str">
            <v>0221</v>
          </cell>
          <cell r="B213">
            <v>40.775700000000001</v>
          </cell>
          <cell r="C213">
            <v>378005.62</v>
          </cell>
        </row>
        <row r="214">
          <cell r="A214" t="str">
            <v>0222</v>
          </cell>
          <cell r="B214">
            <v>135.28900000000002</v>
          </cell>
          <cell r="C214">
            <v>1618014.1300000001</v>
          </cell>
        </row>
        <row r="215">
          <cell r="A215" t="str">
            <v>0223</v>
          </cell>
          <cell r="B215">
            <v>13.258900000000001</v>
          </cell>
          <cell r="C215">
            <v>130517.43000000001</v>
          </cell>
        </row>
        <row r="216">
          <cell r="A216" t="str">
            <v>0224</v>
          </cell>
          <cell r="B216">
            <v>0</v>
          </cell>
          <cell r="C216">
            <v>0</v>
          </cell>
        </row>
        <row r="217">
          <cell r="A217" t="str">
            <v>0225</v>
          </cell>
          <cell r="B217">
            <v>1.4121000000000001</v>
          </cell>
          <cell r="C217">
            <v>34112</v>
          </cell>
        </row>
        <row r="218">
          <cell r="A218" t="str">
            <v>0226</v>
          </cell>
          <cell r="B218">
            <v>0</v>
          </cell>
          <cell r="C218">
            <v>0</v>
          </cell>
        </row>
        <row r="219">
          <cell r="A219" t="str">
            <v>0227</v>
          </cell>
          <cell r="B219">
            <v>0</v>
          </cell>
          <cell r="C219">
            <v>0</v>
          </cell>
        </row>
        <row r="220">
          <cell r="A220" t="str">
            <v>0228</v>
          </cell>
          <cell r="B220">
            <v>0</v>
          </cell>
          <cell r="C220">
            <v>0</v>
          </cell>
        </row>
        <row r="221">
          <cell r="A221" t="str">
            <v>0229</v>
          </cell>
          <cell r="B221">
            <v>0</v>
          </cell>
          <cell r="C221">
            <v>0</v>
          </cell>
        </row>
        <row r="222">
          <cell r="A222" t="str">
            <v>0230</v>
          </cell>
          <cell r="B222">
            <v>0</v>
          </cell>
          <cell r="C222">
            <v>0</v>
          </cell>
        </row>
        <row r="223">
          <cell r="A223" t="str">
            <v>0231</v>
          </cell>
          <cell r="B223">
            <v>16.329499999999999</v>
          </cell>
          <cell r="C223">
            <v>137916</v>
          </cell>
        </row>
        <row r="224">
          <cell r="A224" t="str">
            <v>0233</v>
          </cell>
          <cell r="B224">
            <v>0</v>
          </cell>
          <cell r="C224">
            <v>0</v>
          </cell>
        </row>
        <row r="225">
          <cell r="A225" t="str">
            <v>0234</v>
          </cell>
          <cell r="B225">
            <v>4.2200000000000001E-2</v>
          </cell>
          <cell r="C225">
            <v>506</v>
          </cell>
        </row>
        <row r="226">
          <cell r="A226" t="str">
            <v>0235</v>
          </cell>
          <cell r="B226">
            <v>0</v>
          </cell>
          <cell r="C226">
            <v>0</v>
          </cell>
        </row>
        <row r="227">
          <cell r="A227" t="str">
            <v>0236</v>
          </cell>
          <cell r="B227">
            <v>0</v>
          </cell>
          <cell r="C227">
            <v>0</v>
          </cell>
        </row>
        <row r="228">
          <cell r="A228" t="str">
            <v>0237</v>
          </cell>
          <cell r="B228">
            <v>0</v>
          </cell>
          <cell r="C228">
            <v>0</v>
          </cell>
        </row>
        <row r="229">
          <cell r="A229" t="str">
            <v>0240</v>
          </cell>
          <cell r="B229">
            <v>0</v>
          </cell>
          <cell r="C229">
            <v>0</v>
          </cell>
        </row>
        <row r="230">
          <cell r="A230" t="str">
            <v>0241</v>
          </cell>
          <cell r="B230">
            <v>0</v>
          </cell>
          <cell r="C230">
            <v>0</v>
          </cell>
        </row>
        <row r="231">
          <cell r="A231" t="str">
            <v>0242</v>
          </cell>
          <cell r="B231">
            <v>0</v>
          </cell>
          <cell r="C231">
            <v>0</v>
          </cell>
        </row>
        <row r="232">
          <cell r="A232" t="str">
            <v>0245</v>
          </cell>
          <cell r="B232">
            <v>0</v>
          </cell>
          <cell r="C232">
            <v>0</v>
          </cell>
        </row>
        <row r="233">
          <cell r="A233" t="str">
            <v>0404</v>
          </cell>
          <cell r="B233">
            <v>1342.9483</v>
          </cell>
          <cell r="C233">
            <v>16020498.67</v>
          </cell>
        </row>
        <row r="234">
          <cell r="A234" t="str">
            <v>0407</v>
          </cell>
          <cell r="B234">
            <v>30.1373</v>
          </cell>
          <cell r="C234">
            <v>354087.08</v>
          </cell>
        </row>
        <row r="235">
          <cell r="A235" t="str">
            <v>500</v>
          </cell>
          <cell r="B235">
            <v>0</v>
          </cell>
          <cell r="C235">
            <v>0</v>
          </cell>
        </row>
        <row r="236">
          <cell r="A236" t="str">
            <v>501</v>
          </cell>
          <cell r="B236">
            <v>335.05630000000002</v>
          </cell>
          <cell r="C236">
            <v>3642508.9010000001</v>
          </cell>
        </row>
        <row r="237">
          <cell r="A237" t="str">
            <v>502</v>
          </cell>
          <cell r="B237">
            <v>237.14160000000001</v>
          </cell>
          <cell r="C237">
            <v>2482702.3600000003</v>
          </cell>
        </row>
        <row r="238">
          <cell r="A238" t="str">
            <v>503</v>
          </cell>
          <cell r="B238">
            <v>38.3292</v>
          </cell>
          <cell r="C238">
            <v>394080.07</v>
          </cell>
        </row>
        <row r="239">
          <cell r="A239" t="str">
            <v>504</v>
          </cell>
          <cell r="B239">
            <v>143.83770000000001</v>
          </cell>
          <cell r="C239">
            <v>1253440.76</v>
          </cell>
        </row>
        <row r="240">
          <cell r="A240" t="str">
            <v>505</v>
          </cell>
          <cell r="B240">
            <v>23.618600000000001</v>
          </cell>
          <cell r="C240">
            <v>259977.72</v>
          </cell>
        </row>
        <row r="241">
          <cell r="A241" t="str">
            <v>506</v>
          </cell>
          <cell r="B241">
            <v>125.01440000000001</v>
          </cell>
          <cell r="C241">
            <v>1373707.09</v>
          </cell>
        </row>
        <row r="242">
          <cell r="A242" t="str">
            <v>507</v>
          </cell>
          <cell r="B242">
            <v>35.286300000000004</v>
          </cell>
          <cell r="C242">
            <v>374399.02</v>
          </cell>
        </row>
        <row r="243">
          <cell r="A243" t="str">
            <v>508</v>
          </cell>
          <cell r="B243">
            <v>107.7497</v>
          </cell>
          <cell r="C243">
            <v>1027851.37</v>
          </cell>
        </row>
        <row r="244">
          <cell r="A244" t="str">
            <v>509</v>
          </cell>
          <cell r="B244">
            <v>128.98220000000001</v>
          </cell>
          <cell r="C244">
            <v>1400800.57</v>
          </cell>
        </row>
        <row r="245">
          <cell r="A245" t="str">
            <v>510</v>
          </cell>
          <cell r="B245">
            <v>89.541200000000003</v>
          </cell>
          <cell r="C245">
            <v>943556.60000000009</v>
          </cell>
        </row>
        <row r="246">
          <cell r="A246" t="str">
            <v>511</v>
          </cell>
          <cell r="B246">
            <v>45.609400000000001</v>
          </cell>
          <cell r="C246">
            <v>526563.13</v>
          </cell>
        </row>
        <row r="247">
          <cell r="A247" t="str">
            <v>512</v>
          </cell>
          <cell r="B247">
            <v>22.1007</v>
          </cell>
          <cell r="C247">
            <v>228722.94</v>
          </cell>
        </row>
        <row r="248">
          <cell r="A248" t="str">
            <v>513</v>
          </cell>
          <cell r="B248">
            <v>9.9641000000000002</v>
          </cell>
          <cell r="C248">
            <v>97085.56</v>
          </cell>
        </row>
        <row r="249">
          <cell r="A249" t="str">
            <v>514</v>
          </cell>
          <cell r="B249">
            <v>42.171800000000005</v>
          </cell>
          <cell r="C249">
            <v>387325.27</v>
          </cell>
        </row>
        <row r="250">
          <cell r="A250" t="str">
            <v>515</v>
          </cell>
          <cell r="B250">
            <v>250.70310000000001</v>
          </cell>
          <cell r="C250">
            <v>2760993.1100000003</v>
          </cell>
        </row>
        <row r="251">
          <cell r="A251" t="str">
            <v>516</v>
          </cell>
          <cell r="B251">
            <v>7.1998000000000006</v>
          </cell>
          <cell r="C251">
            <v>62210.41</v>
          </cell>
        </row>
        <row r="252">
          <cell r="A252" t="str">
            <v>517</v>
          </cell>
          <cell r="B252">
            <v>0</v>
          </cell>
          <cell r="C252">
            <v>0</v>
          </cell>
        </row>
        <row r="253">
          <cell r="A253" t="str">
            <v>518</v>
          </cell>
          <cell r="B253">
            <v>0</v>
          </cell>
          <cell r="C253">
            <v>0</v>
          </cell>
        </row>
        <row r="254">
          <cell r="A254" t="str">
            <v>519</v>
          </cell>
          <cell r="B254">
            <v>28.726500000000001</v>
          </cell>
          <cell r="C254">
            <v>312147.38</v>
          </cell>
        </row>
        <row r="255">
          <cell r="A255" t="str">
            <v>520</v>
          </cell>
          <cell r="B255">
            <v>1.5900000000000001E-2</v>
          </cell>
          <cell r="C255">
            <v>197.94</v>
          </cell>
        </row>
        <row r="256">
          <cell r="A256" t="str">
            <v>521</v>
          </cell>
          <cell r="B256">
            <v>95.958100000000002</v>
          </cell>
          <cell r="C256">
            <v>828403.33000000007</v>
          </cell>
        </row>
        <row r="257">
          <cell r="A257" t="str">
            <v>522</v>
          </cell>
          <cell r="B257">
            <v>27.0122</v>
          </cell>
          <cell r="C257">
            <v>248250.39</v>
          </cell>
        </row>
        <row r="258">
          <cell r="A258" t="str">
            <v>523</v>
          </cell>
          <cell r="B258">
            <v>61.653200000000005</v>
          </cell>
          <cell r="C258">
            <v>626584.80000000005</v>
          </cell>
        </row>
        <row r="259">
          <cell r="A259" t="str">
            <v>524</v>
          </cell>
          <cell r="B259">
            <v>35.435600000000001</v>
          </cell>
          <cell r="C259">
            <v>420451.34</v>
          </cell>
        </row>
        <row r="260">
          <cell r="A260" t="str">
            <v>525</v>
          </cell>
          <cell r="B260">
            <v>36.107800000000005</v>
          </cell>
          <cell r="C260">
            <v>404205.12</v>
          </cell>
        </row>
        <row r="261">
          <cell r="A261" t="str">
            <v>526</v>
          </cell>
          <cell r="B261">
            <v>7.0234000000000005</v>
          </cell>
          <cell r="C261">
            <v>78500.010000000009</v>
          </cell>
        </row>
        <row r="262">
          <cell r="A262" t="str">
            <v>527</v>
          </cell>
          <cell r="B262">
            <v>0</v>
          </cell>
          <cell r="C262">
            <v>0</v>
          </cell>
        </row>
        <row r="263">
          <cell r="A263" t="str">
            <v>528</v>
          </cell>
          <cell r="B263">
            <v>29.1691</v>
          </cell>
          <cell r="C263">
            <v>305520.97000000003</v>
          </cell>
        </row>
        <row r="264">
          <cell r="A264" t="str">
            <v>529</v>
          </cell>
          <cell r="B264">
            <v>9.0423000000000009</v>
          </cell>
          <cell r="C264">
            <v>107382.96</v>
          </cell>
        </row>
        <row r="265">
          <cell r="A265" t="str">
            <v>530</v>
          </cell>
          <cell r="B265">
            <v>34.635300000000001</v>
          </cell>
          <cell r="C265">
            <v>378689.64</v>
          </cell>
        </row>
        <row r="266">
          <cell r="A266" t="str">
            <v>531</v>
          </cell>
          <cell r="B266">
            <v>0</v>
          </cell>
          <cell r="C266">
            <v>0</v>
          </cell>
        </row>
        <row r="267">
          <cell r="A267" t="str">
            <v>532</v>
          </cell>
          <cell r="B267">
            <v>0</v>
          </cell>
          <cell r="C267">
            <v>0</v>
          </cell>
        </row>
        <row r="268">
          <cell r="A268" t="str">
            <v>533</v>
          </cell>
          <cell r="B268">
            <v>3.0967000000000002</v>
          </cell>
          <cell r="C268">
            <v>27887.22</v>
          </cell>
        </row>
        <row r="269">
          <cell r="A269" t="str">
            <v>534</v>
          </cell>
          <cell r="B269">
            <v>0</v>
          </cell>
          <cell r="C269">
            <v>0</v>
          </cell>
        </row>
        <row r="270">
          <cell r="A270" t="str">
            <v>535</v>
          </cell>
          <cell r="B270">
            <v>13.5098</v>
          </cell>
          <cell r="C270">
            <v>161138.76</v>
          </cell>
        </row>
        <row r="271">
          <cell r="A271" t="str">
            <v>536</v>
          </cell>
          <cell r="B271">
            <v>133.91060000000002</v>
          </cell>
          <cell r="C271">
            <v>1602909.71</v>
          </cell>
        </row>
        <row r="272">
          <cell r="A272" t="str">
            <v>537</v>
          </cell>
          <cell r="B272">
            <v>21.5321</v>
          </cell>
          <cell r="C272">
            <v>167299.36000000002</v>
          </cell>
        </row>
        <row r="273">
          <cell r="A273" t="str">
            <v>538</v>
          </cell>
          <cell r="B273">
            <v>0.35560000000000003</v>
          </cell>
          <cell r="C273">
            <v>3805.71</v>
          </cell>
        </row>
        <row r="274">
          <cell r="A274" t="str">
            <v>539</v>
          </cell>
          <cell r="B274">
            <v>0</v>
          </cell>
          <cell r="C274">
            <v>0</v>
          </cell>
        </row>
        <row r="275">
          <cell r="A275" t="str">
            <v>540</v>
          </cell>
          <cell r="B275">
            <v>2.2305000000000001</v>
          </cell>
          <cell r="C275">
            <v>26672.550000000003</v>
          </cell>
        </row>
        <row r="276">
          <cell r="A276" t="str">
            <v>541</v>
          </cell>
          <cell r="B276">
            <v>0</v>
          </cell>
          <cell r="C276">
            <v>0</v>
          </cell>
        </row>
        <row r="277">
          <cell r="A277" t="str">
            <v>542</v>
          </cell>
          <cell r="B277">
            <v>0.58169999999999999</v>
          </cell>
          <cell r="C277">
            <v>4992.4400000000005</v>
          </cell>
        </row>
        <row r="278">
          <cell r="A278" t="str">
            <v>543</v>
          </cell>
          <cell r="B278">
            <v>0</v>
          </cell>
          <cell r="C278">
            <v>0</v>
          </cell>
        </row>
        <row r="279">
          <cell r="A279" t="str">
            <v>544</v>
          </cell>
          <cell r="B279">
            <v>0</v>
          </cell>
          <cell r="C279">
            <v>0</v>
          </cell>
        </row>
        <row r="280">
          <cell r="A280" t="str">
            <v>545</v>
          </cell>
          <cell r="B280">
            <v>1.2747000000000002</v>
          </cell>
          <cell r="C280">
            <v>10311.4</v>
          </cell>
        </row>
        <row r="281">
          <cell r="A281" t="str">
            <v>546</v>
          </cell>
          <cell r="B281">
            <v>1.1611</v>
          </cell>
          <cell r="C281">
            <v>9851.49</v>
          </cell>
        </row>
        <row r="282">
          <cell r="A282" t="str">
            <v>547</v>
          </cell>
          <cell r="B282">
            <v>8.9984999999999999</v>
          </cell>
          <cell r="C282">
            <v>88928.25</v>
          </cell>
        </row>
        <row r="283">
          <cell r="A283" t="str">
            <v>548</v>
          </cell>
          <cell r="B283">
            <v>5.4936000000000007</v>
          </cell>
          <cell r="C283">
            <v>54114.670000000006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BranchID</v>
          </cell>
          <cell r="B1" t="str">
            <v>Region</v>
          </cell>
          <cell r="C1" t="str">
            <v>BranchName</v>
          </cell>
          <cell r="D1" t="str">
            <v>Dep</v>
          </cell>
          <cell r="F1" t="str">
            <v>branchid</v>
          </cell>
          <cell r="G1" t="str">
            <v>Column1</v>
          </cell>
          <cell r="I1" t="str">
            <v>branchid</v>
          </cell>
          <cell r="J1" t="str">
            <v>Column1</v>
          </cell>
        </row>
        <row r="2">
          <cell r="A2" t="str">
            <v>0002</v>
          </cell>
          <cell r="B2" t="str">
            <v>Zone 2</v>
          </cell>
          <cell r="C2" t="str">
            <v>GAWADAR</v>
          </cell>
          <cell r="D2">
            <v>79.630300000000005</v>
          </cell>
          <cell r="F2" t="str">
            <v>0002</v>
          </cell>
          <cell r="G2">
            <v>1055640</v>
          </cell>
          <cell r="I2" t="str">
            <v>0002</v>
          </cell>
          <cell r="J2">
            <v>1062240</v>
          </cell>
        </row>
        <row r="3">
          <cell r="A3" t="str">
            <v>0003</v>
          </cell>
          <cell r="B3" t="str">
            <v>South -1</v>
          </cell>
          <cell r="C3" t="str">
            <v>NORTH NAPIER BR.</v>
          </cell>
          <cell r="D3">
            <v>580.74220000000003</v>
          </cell>
          <cell r="F3" t="str">
            <v>0003</v>
          </cell>
          <cell r="G3">
            <v>3955232</v>
          </cell>
          <cell r="I3" t="str">
            <v>0003</v>
          </cell>
          <cell r="J3">
            <v>25652100</v>
          </cell>
        </row>
        <row r="4">
          <cell r="A4" t="str">
            <v>0004</v>
          </cell>
          <cell r="B4" t="str">
            <v>South -2</v>
          </cell>
          <cell r="C4" t="str">
            <v>F.B. AREA KARACHI</v>
          </cell>
          <cell r="D4">
            <v>181.6473</v>
          </cell>
          <cell r="F4" t="str">
            <v>0004</v>
          </cell>
          <cell r="G4">
            <v>380000</v>
          </cell>
          <cell r="I4" t="str">
            <v>0004</v>
          </cell>
          <cell r="J4">
            <v>380000</v>
          </cell>
        </row>
        <row r="5">
          <cell r="A5" t="str">
            <v>0005</v>
          </cell>
          <cell r="B5" t="str">
            <v>South -2</v>
          </cell>
          <cell r="C5" t="str">
            <v>KARACHI MAIN</v>
          </cell>
          <cell r="D5">
            <v>739.03250000000003</v>
          </cell>
          <cell r="F5" t="str">
            <v>0005</v>
          </cell>
          <cell r="G5">
            <v>603157924.19000006</v>
          </cell>
          <cell r="I5" t="str">
            <v>0005</v>
          </cell>
          <cell r="J5">
            <v>149344565.19</v>
          </cell>
        </row>
        <row r="6">
          <cell r="A6" t="str">
            <v>0006</v>
          </cell>
          <cell r="B6" t="str">
            <v>Central 3</v>
          </cell>
          <cell r="C6" t="str">
            <v>LDA- LAHORE</v>
          </cell>
          <cell r="D6">
            <v>483.61720000000003</v>
          </cell>
          <cell r="F6" t="str">
            <v>0006</v>
          </cell>
          <cell r="G6">
            <v>122055649.64</v>
          </cell>
          <cell r="I6" t="str">
            <v>0006</v>
          </cell>
          <cell r="J6">
            <v>89966269.640000001</v>
          </cell>
        </row>
        <row r="7">
          <cell r="A7" t="str">
            <v>0007</v>
          </cell>
          <cell r="B7" t="str">
            <v>North 1-1</v>
          </cell>
          <cell r="C7" t="str">
            <v>MALL ROAD  RAWALPINDI</v>
          </cell>
          <cell r="D7">
            <v>482.69600000000003</v>
          </cell>
          <cell r="F7" t="str">
            <v>0007</v>
          </cell>
          <cell r="G7">
            <v>37682513</v>
          </cell>
          <cell r="I7" t="str">
            <v>0007</v>
          </cell>
          <cell r="J7">
            <v>32025573</v>
          </cell>
        </row>
        <row r="8">
          <cell r="A8" t="str">
            <v>0008</v>
          </cell>
          <cell r="B8" t="str">
            <v>North 1-2</v>
          </cell>
          <cell r="C8" t="str">
            <v>SATELLITE TOWN RAWALPINDI</v>
          </cell>
          <cell r="D8">
            <v>554.19330000000002</v>
          </cell>
          <cell r="F8" t="str">
            <v>0008</v>
          </cell>
          <cell r="G8">
            <v>25248747</v>
          </cell>
          <cell r="I8" t="str">
            <v>0008</v>
          </cell>
          <cell r="J8">
            <v>24861199</v>
          </cell>
        </row>
        <row r="9">
          <cell r="A9" t="str">
            <v>0009</v>
          </cell>
          <cell r="B9" t="str">
            <v>South -2</v>
          </cell>
          <cell r="C9" t="str">
            <v>NORTH KARACHI  KARACHI</v>
          </cell>
          <cell r="D9">
            <v>346.71879999999999</v>
          </cell>
          <cell r="F9" t="str">
            <v>0009</v>
          </cell>
          <cell r="G9">
            <v>5633475</v>
          </cell>
          <cell r="I9" t="str">
            <v>0009</v>
          </cell>
          <cell r="J9">
            <v>6297701</v>
          </cell>
        </row>
        <row r="10">
          <cell r="A10" t="str">
            <v>0010</v>
          </cell>
          <cell r="B10" t="str">
            <v>South -2</v>
          </cell>
          <cell r="C10" t="str">
            <v>HYDERI NORTH NAZIMABAD BR.</v>
          </cell>
          <cell r="D10">
            <v>226.2141</v>
          </cell>
          <cell r="F10" t="str">
            <v>0010</v>
          </cell>
          <cell r="G10">
            <v>28592117</v>
          </cell>
          <cell r="I10" t="str">
            <v>0010</v>
          </cell>
          <cell r="J10">
            <v>2198267</v>
          </cell>
        </row>
        <row r="11">
          <cell r="A11" t="str">
            <v>0011</v>
          </cell>
          <cell r="B11" t="str">
            <v>South -3</v>
          </cell>
          <cell r="C11" t="str">
            <v>GULSHAN-E-IQBAL KHI</v>
          </cell>
          <cell r="D11">
            <v>366.72160000000002</v>
          </cell>
          <cell r="F11" t="str">
            <v>0011</v>
          </cell>
          <cell r="G11">
            <v>17131871</v>
          </cell>
          <cell r="I11" t="str">
            <v>0011</v>
          </cell>
          <cell r="J11">
            <v>15793788</v>
          </cell>
        </row>
        <row r="12">
          <cell r="A12" t="str">
            <v>0012</v>
          </cell>
          <cell r="B12" t="str">
            <v>South -1</v>
          </cell>
          <cell r="C12" t="str">
            <v>STOCK EXCHANGE KHI</v>
          </cell>
          <cell r="D12">
            <v>314.9341</v>
          </cell>
          <cell r="F12" t="str">
            <v>0012</v>
          </cell>
          <cell r="G12">
            <v>5369352</v>
          </cell>
          <cell r="I12" t="str">
            <v>0012</v>
          </cell>
          <cell r="J12">
            <v>5369352</v>
          </cell>
        </row>
        <row r="13">
          <cell r="A13" t="str">
            <v>0013</v>
          </cell>
          <cell r="B13" t="str">
            <v>South -1</v>
          </cell>
          <cell r="C13" t="str">
            <v>MARRIOT ROAD -KHI</v>
          </cell>
          <cell r="D13">
            <v>360.35770000000002</v>
          </cell>
          <cell r="F13" t="str">
            <v>0013</v>
          </cell>
          <cell r="G13">
            <v>570812</v>
          </cell>
          <cell r="I13" t="str">
            <v>0013</v>
          </cell>
          <cell r="J13">
            <v>0</v>
          </cell>
        </row>
        <row r="14">
          <cell r="A14" t="str">
            <v>0014</v>
          </cell>
          <cell r="B14" t="str">
            <v>South -2</v>
          </cell>
          <cell r="C14" t="str">
            <v>DEFENCE  KARACHI</v>
          </cell>
          <cell r="D14">
            <v>307.37419999999997</v>
          </cell>
          <cell r="F14" t="str">
            <v>0014</v>
          </cell>
          <cell r="G14">
            <v>1317002.1000000001</v>
          </cell>
          <cell r="I14" t="str">
            <v>0014</v>
          </cell>
          <cell r="J14">
            <v>1305380.1000000001</v>
          </cell>
        </row>
        <row r="15">
          <cell r="A15" t="str">
            <v>0015</v>
          </cell>
          <cell r="B15" t="str">
            <v>South -3</v>
          </cell>
          <cell r="C15" t="str">
            <v>M.A.JINNAH ROAD  KARACHI</v>
          </cell>
          <cell r="D15">
            <v>490.38839999999999</v>
          </cell>
          <cell r="F15" t="str">
            <v>0015</v>
          </cell>
          <cell r="G15">
            <v>67809725.320000008</v>
          </cell>
          <cell r="I15" t="str">
            <v>0015</v>
          </cell>
          <cell r="J15">
            <v>92808209</v>
          </cell>
        </row>
        <row r="16">
          <cell r="A16" t="str">
            <v>0016</v>
          </cell>
          <cell r="B16" t="str">
            <v>South -3</v>
          </cell>
          <cell r="C16" t="str">
            <v>BAHADURABAD KARACHI</v>
          </cell>
          <cell r="D16">
            <v>366.86340000000001</v>
          </cell>
          <cell r="F16" t="str">
            <v>0016</v>
          </cell>
          <cell r="G16">
            <v>6103948</v>
          </cell>
          <cell r="I16" t="str">
            <v>0016</v>
          </cell>
          <cell r="J16">
            <v>13817598</v>
          </cell>
        </row>
        <row r="17">
          <cell r="A17" t="str">
            <v>0017</v>
          </cell>
          <cell r="B17" t="str">
            <v>South -2</v>
          </cell>
          <cell r="C17" t="str">
            <v>GULISTAN-E-JAUHAR BR</v>
          </cell>
          <cell r="D17">
            <v>162.86680000000001</v>
          </cell>
          <cell r="F17" t="str">
            <v>0017</v>
          </cell>
          <cell r="G17">
            <v>825000</v>
          </cell>
          <cell r="I17" t="str">
            <v>0017</v>
          </cell>
          <cell r="J17">
            <v>3473181</v>
          </cell>
        </row>
        <row r="18">
          <cell r="A18" t="str">
            <v>0018</v>
          </cell>
          <cell r="B18" t="str">
            <v>South -1</v>
          </cell>
          <cell r="C18" t="str">
            <v>PAPER MARKET  KARACHI</v>
          </cell>
          <cell r="D18">
            <v>516.76229999999998</v>
          </cell>
          <cell r="F18" t="str">
            <v>0018</v>
          </cell>
          <cell r="G18">
            <v>4851593.5</v>
          </cell>
          <cell r="I18" t="str">
            <v>0018</v>
          </cell>
          <cell r="J18">
            <v>7505924.5</v>
          </cell>
        </row>
        <row r="19">
          <cell r="A19" t="str">
            <v>0019</v>
          </cell>
          <cell r="B19" t="str">
            <v>South -1</v>
          </cell>
          <cell r="C19" t="str">
            <v>S.I.T.E  KARACHI</v>
          </cell>
          <cell r="D19">
            <v>401.01949999999999</v>
          </cell>
          <cell r="F19" t="str">
            <v>0019</v>
          </cell>
          <cell r="G19">
            <v>9431982</v>
          </cell>
          <cell r="I19" t="str">
            <v>0019</v>
          </cell>
          <cell r="J19">
            <v>15916648</v>
          </cell>
        </row>
        <row r="20">
          <cell r="A20" t="str">
            <v>0020</v>
          </cell>
          <cell r="B20" t="str">
            <v>South -3</v>
          </cell>
          <cell r="C20" t="str">
            <v>PECHS KARACHI</v>
          </cell>
          <cell r="D20">
            <v>379.80930000000001</v>
          </cell>
          <cell r="F20" t="str">
            <v>0020</v>
          </cell>
          <cell r="G20">
            <v>3378777</v>
          </cell>
          <cell r="I20" t="str">
            <v>0020</v>
          </cell>
          <cell r="J20">
            <v>3578529</v>
          </cell>
        </row>
        <row r="21">
          <cell r="A21" t="str">
            <v>0021</v>
          </cell>
          <cell r="B21" t="str">
            <v>South -1</v>
          </cell>
          <cell r="C21" t="str">
            <v>TIMBER MARKET KARACHI</v>
          </cell>
          <cell r="D21">
            <v>732.84770000000003</v>
          </cell>
          <cell r="F21" t="str">
            <v>0021</v>
          </cell>
          <cell r="G21">
            <v>9146707.0700000003</v>
          </cell>
          <cell r="I21" t="str">
            <v>0021</v>
          </cell>
          <cell r="J21">
            <v>8609135.0700000003</v>
          </cell>
        </row>
        <row r="22">
          <cell r="A22" t="str">
            <v>0022</v>
          </cell>
          <cell r="B22" t="str">
            <v>South -3</v>
          </cell>
          <cell r="C22" t="str">
            <v>KORANGI BYPASSKARACHI</v>
          </cell>
          <cell r="D22">
            <v>79.433400000000006</v>
          </cell>
          <cell r="F22" t="str">
            <v>0022</v>
          </cell>
          <cell r="G22">
            <v>1473900</v>
          </cell>
          <cell r="I22" t="str">
            <v>0022</v>
          </cell>
          <cell r="J22">
            <v>1473900</v>
          </cell>
        </row>
        <row r="23">
          <cell r="A23" t="str">
            <v>0023</v>
          </cell>
          <cell r="B23" t="str">
            <v>South -3</v>
          </cell>
          <cell r="C23" t="str">
            <v>KORANGI KARACHI</v>
          </cell>
          <cell r="D23">
            <v>232.36449999999999</v>
          </cell>
          <cell r="F23" t="str">
            <v>0023</v>
          </cell>
          <cell r="G23">
            <v>7969050</v>
          </cell>
          <cell r="I23" t="str">
            <v>0023</v>
          </cell>
          <cell r="J23">
            <v>8582980</v>
          </cell>
        </row>
        <row r="24">
          <cell r="A24" t="str">
            <v>0024</v>
          </cell>
          <cell r="B24" t="str">
            <v>South -1</v>
          </cell>
          <cell r="C24" t="str">
            <v>EIDGAH  KHI</v>
          </cell>
          <cell r="D24">
            <v>425.01510000000002</v>
          </cell>
          <cell r="F24" t="str">
            <v>0024</v>
          </cell>
          <cell r="G24">
            <v>17402837</v>
          </cell>
          <cell r="I24" t="str">
            <v>0024</v>
          </cell>
          <cell r="J24">
            <v>13388188</v>
          </cell>
        </row>
        <row r="25">
          <cell r="A25" t="str">
            <v>0025</v>
          </cell>
          <cell r="B25" t="str">
            <v>South -3</v>
          </cell>
          <cell r="C25" t="str">
            <v>TIPU SULTAN ROAD</v>
          </cell>
          <cell r="D25">
            <v>330.15219999999999</v>
          </cell>
          <cell r="F25" t="str">
            <v>0025</v>
          </cell>
          <cell r="G25">
            <v>0</v>
          </cell>
          <cell r="I25" t="str">
            <v>0025</v>
          </cell>
          <cell r="J25">
            <v>0</v>
          </cell>
        </row>
        <row r="26">
          <cell r="A26" t="str">
            <v>0026</v>
          </cell>
          <cell r="B26" t="str">
            <v>South -1</v>
          </cell>
          <cell r="C26" t="str">
            <v>JODIA BAZAR  KARACHI</v>
          </cell>
          <cell r="D26">
            <v>859.95150000000001</v>
          </cell>
          <cell r="F26" t="str">
            <v>0026</v>
          </cell>
          <cell r="G26">
            <v>55180055</v>
          </cell>
          <cell r="I26" t="str">
            <v>0026</v>
          </cell>
          <cell r="J26">
            <v>22749687</v>
          </cell>
        </row>
        <row r="27">
          <cell r="A27" t="str">
            <v>0027</v>
          </cell>
          <cell r="B27" t="str">
            <v>South -1</v>
          </cell>
          <cell r="C27" t="str">
            <v>CLOTH MARKET  KARACHI</v>
          </cell>
          <cell r="D27">
            <v>899.02139999999997</v>
          </cell>
          <cell r="F27" t="str">
            <v>0027</v>
          </cell>
          <cell r="G27">
            <v>16630043</v>
          </cell>
          <cell r="I27" t="str">
            <v>0027</v>
          </cell>
          <cell r="J27">
            <v>27354670</v>
          </cell>
        </row>
        <row r="28">
          <cell r="A28" t="str">
            <v>0028</v>
          </cell>
          <cell r="B28" t="str">
            <v>Central 4</v>
          </cell>
          <cell r="C28" t="str">
            <v>GULBERG  LAHORE</v>
          </cell>
          <cell r="D28">
            <v>1518.0029999999999</v>
          </cell>
          <cell r="F28" t="str">
            <v>0028</v>
          </cell>
          <cell r="G28">
            <v>53246892.5</v>
          </cell>
          <cell r="I28" t="str">
            <v>0028</v>
          </cell>
          <cell r="J28">
            <v>110238820.5</v>
          </cell>
        </row>
        <row r="29">
          <cell r="A29" t="str">
            <v>0029</v>
          </cell>
          <cell r="B29" t="str">
            <v>Central 2</v>
          </cell>
          <cell r="C29" t="str">
            <v>SIALKOT</v>
          </cell>
          <cell r="D29">
            <v>528.93240000000003</v>
          </cell>
          <cell r="F29" t="str">
            <v>0029</v>
          </cell>
          <cell r="G29">
            <v>3551030</v>
          </cell>
          <cell r="I29" t="str">
            <v>0029</v>
          </cell>
          <cell r="J29">
            <v>3080880</v>
          </cell>
        </row>
        <row r="30">
          <cell r="A30" t="str">
            <v>0030</v>
          </cell>
          <cell r="B30" t="str">
            <v>South -3</v>
          </cell>
          <cell r="C30" t="str">
            <v>SHARA-E-FAISAL KARACHI</v>
          </cell>
          <cell r="D30">
            <v>282.56079999999997</v>
          </cell>
          <cell r="F30" t="str">
            <v>0030</v>
          </cell>
          <cell r="G30">
            <v>10156798.83</v>
          </cell>
          <cell r="I30" t="str">
            <v>0030</v>
          </cell>
          <cell r="J30">
            <v>12732092.41</v>
          </cell>
        </row>
        <row r="31">
          <cell r="A31" t="str">
            <v>0031</v>
          </cell>
          <cell r="B31" t="str">
            <v>South -3</v>
          </cell>
          <cell r="C31" t="str">
            <v>CLIFTON KARACHI</v>
          </cell>
          <cell r="D31">
            <v>1223.4909</v>
          </cell>
          <cell r="F31" t="str">
            <v>0031</v>
          </cell>
          <cell r="G31">
            <v>258376778.59</v>
          </cell>
          <cell r="I31" t="str">
            <v>0031</v>
          </cell>
          <cell r="J31">
            <v>241716108.29000002</v>
          </cell>
        </row>
        <row r="32">
          <cell r="A32" t="str">
            <v>0032</v>
          </cell>
          <cell r="B32" t="str">
            <v>North 2-1</v>
          </cell>
          <cell r="C32" t="str">
            <v>PESHAWAR</v>
          </cell>
          <cell r="D32">
            <v>780.07809999999995</v>
          </cell>
          <cell r="F32" t="str">
            <v>0032</v>
          </cell>
          <cell r="G32">
            <v>226579132.40000001</v>
          </cell>
          <cell r="I32" t="str">
            <v>0032</v>
          </cell>
          <cell r="J32">
            <v>220803904.40000001</v>
          </cell>
        </row>
        <row r="33">
          <cell r="A33" t="str">
            <v>0033</v>
          </cell>
          <cell r="B33" t="str">
            <v>Central 1</v>
          </cell>
          <cell r="C33" t="str">
            <v>DEFENCE  LHR</v>
          </cell>
          <cell r="D33">
            <v>389.1234</v>
          </cell>
          <cell r="F33" t="str">
            <v>0033</v>
          </cell>
          <cell r="G33">
            <v>12120025</v>
          </cell>
          <cell r="I33" t="str">
            <v>0033</v>
          </cell>
          <cell r="J33">
            <v>10645762</v>
          </cell>
        </row>
        <row r="34">
          <cell r="A34" t="str">
            <v>0034</v>
          </cell>
          <cell r="B34" t="str">
            <v>Central 6</v>
          </cell>
          <cell r="C34" t="str">
            <v>MULTAN</v>
          </cell>
          <cell r="D34">
            <v>320.28480000000002</v>
          </cell>
          <cell r="F34" t="str">
            <v>0034</v>
          </cell>
          <cell r="G34">
            <v>8745460</v>
          </cell>
          <cell r="I34" t="str">
            <v>0034</v>
          </cell>
          <cell r="J34">
            <v>18193175</v>
          </cell>
        </row>
        <row r="35">
          <cell r="A35" t="str">
            <v>0035</v>
          </cell>
          <cell r="B35" t="str">
            <v>North 1-3</v>
          </cell>
          <cell r="C35" t="str">
            <v>BLUE AREA ISLAMABAD</v>
          </cell>
          <cell r="D35">
            <v>1329.6370999999999</v>
          </cell>
          <cell r="F35" t="str">
            <v>0035</v>
          </cell>
          <cell r="G35">
            <v>38871723.460000001</v>
          </cell>
          <cell r="I35" t="str">
            <v>0035</v>
          </cell>
          <cell r="J35">
            <v>42894198.460000001</v>
          </cell>
        </row>
        <row r="36">
          <cell r="A36" t="str">
            <v>0036</v>
          </cell>
          <cell r="B36" t="str">
            <v>Central 5</v>
          </cell>
          <cell r="C36" t="str">
            <v>FAISALABAD MAIN</v>
          </cell>
          <cell r="D36">
            <v>829.02940000000001</v>
          </cell>
          <cell r="F36" t="str">
            <v>0036</v>
          </cell>
          <cell r="G36">
            <v>28688269.16</v>
          </cell>
          <cell r="I36" t="str">
            <v>0036</v>
          </cell>
          <cell r="J36">
            <v>36406829</v>
          </cell>
        </row>
        <row r="37">
          <cell r="A37" t="str">
            <v>0037</v>
          </cell>
          <cell r="B37" t="str">
            <v>Central 2</v>
          </cell>
          <cell r="C37" t="str">
            <v>CIR LHR</v>
          </cell>
          <cell r="D37">
            <v>755.09379999999999</v>
          </cell>
          <cell r="F37" t="str">
            <v>0037</v>
          </cell>
          <cell r="G37">
            <v>17186345</v>
          </cell>
          <cell r="I37" t="str">
            <v>0037</v>
          </cell>
          <cell r="J37">
            <v>13636123</v>
          </cell>
        </row>
        <row r="38">
          <cell r="A38" t="str">
            <v>0038</v>
          </cell>
          <cell r="B38" t="str">
            <v>Central 6</v>
          </cell>
          <cell r="C38" t="str">
            <v>VEHARI RD MULTAN</v>
          </cell>
          <cell r="D38">
            <v>296.52670000000001</v>
          </cell>
          <cell r="F38" t="str">
            <v>0038</v>
          </cell>
          <cell r="G38">
            <v>59251382</v>
          </cell>
          <cell r="I38" t="str">
            <v>0038</v>
          </cell>
          <cell r="J38">
            <v>55066582</v>
          </cell>
        </row>
        <row r="39">
          <cell r="A39" t="str">
            <v>0039</v>
          </cell>
          <cell r="B39" t="str">
            <v>Central 1</v>
          </cell>
          <cell r="C39" t="str">
            <v>TOWNSHIP  LAHORE</v>
          </cell>
          <cell r="D39">
            <v>578.92909999999995</v>
          </cell>
          <cell r="F39" t="str">
            <v>0039</v>
          </cell>
          <cell r="G39">
            <v>12255059</v>
          </cell>
          <cell r="I39" t="str">
            <v>0039</v>
          </cell>
          <cell r="J39">
            <v>12361613</v>
          </cell>
        </row>
        <row r="40">
          <cell r="A40" t="str">
            <v>0040</v>
          </cell>
          <cell r="B40" t="str">
            <v>Zone 1</v>
          </cell>
          <cell r="C40" t="str">
            <v>SARAFFA BAZAR SUKKUR</v>
          </cell>
          <cell r="D40">
            <v>165.2629</v>
          </cell>
          <cell r="F40" t="str">
            <v>0040</v>
          </cell>
          <cell r="G40">
            <v>358150</v>
          </cell>
          <cell r="I40" t="str">
            <v>0040</v>
          </cell>
          <cell r="J40">
            <v>723650</v>
          </cell>
        </row>
        <row r="41">
          <cell r="A41" t="str">
            <v>0041</v>
          </cell>
          <cell r="B41" t="str">
            <v>Central 2</v>
          </cell>
          <cell r="C41" t="str">
            <v>BADAMI BAGH  LAHORE</v>
          </cell>
          <cell r="D41">
            <v>729.68110000000001</v>
          </cell>
          <cell r="F41" t="str">
            <v>0041</v>
          </cell>
          <cell r="G41">
            <v>3571066</v>
          </cell>
          <cell r="I41" t="str">
            <v>0041</v>
          </cell>
          <cell r="J41">
            <v>7863266</v>
          </cell>
        </row>
        <row r="42">
          <cell r="A42" t="str">
            <v>0042</v>
          </cell>
          <cell r="B42" t="str">
            <v>Central 1</v>
          </cell>
          <cell r="C42" t="str">
            <v>ALLAMA IQBAL TOWN</v>
          </cell>
          <cell r="D42">
            <v>507.6968</v>
          </cell>
          <cell r="F42" t="str">
            <v>0042</v>
          </cell>
          <cell r="G42">
            <v>845191</v>
          </cell>
          <cell r="I42" t="str">
            <v>0042</v>
          </cell>
          <cell r="J42">
            <v>30664491</v>
          </cell>
        </row>
        <row r="43">
          <cell r="A43" t="str">
            <v>0043</v>
          </cell>
          <cell r="B43" t="str">
            <v>Zone 3</v>
          </cell>
          <cell r="C43" t="str">
            <v>SARGODHA</v>
          </cell>
          <cell r="D43">
            <v>252.2535</v>
          </cell>
          <cell r="F43" t="str">
            <v>0043</v>
          </cell>
          <cell r="G43">
            <v>12420795</v>
          </cell>
          <cell r="I43" t="str">
            <v>0043</v>
          </cell>
          <cell r="J43">
            <v>8159407</v>
          </cell>
        </row>
        <row r="44">
          <cell r="A44" t="str">
            <v>0044</v>
          </cell>
          <cell r="B44" t="str">
            <v>Central 3</v>
          </cell>
          <cell r="C44" t="str">
            <v>SHADMAN TOWN LAHORE</v>
          </cell>
          <cell r="D44">
            <v>836.63990000000001</v>
          </cell>
          <cell r="F44" t="str">
            <v>0044</v>
          </cell>
          <cell r="G44">
            <v>27153844.900000002</v>
          </cell>
          <cell r="I44" t="str">
            <v>0044</v>
          </cell>
          <cell r="J44">
            <v>29427355</v>
          </cell>
        </row>
        <row r="45">
          <cell r="A45" t="str">
            <v>0045</v>
          </cell>
          <cell r="B45" t="str">
            <v>Zone 1</v>
          </cell>
          <cell r="C45" t="str">
            <v>HYDERABAD MAIN</v>
          </cell>
          <cell r="D45">
            <v>311.87569999999999</v>
          </cell>
          <cell r="F45" t="str">
            <v>0045</v>
          </cell>
          <cell r="G45">
            <v>51549816</v>
          </cell>
          <cell r="I45" t="str">
            <v>0045</v>
          </cell>
          <cell r="J45">
            <v>42166790</v>
          </cell>
        </row>
        <row r="46">
          <cell r="A46" t="str">
            <v>0046</v>
          </cell>
          <cell r="B46" t="str">
            <v>Central 2</v>
          </cell>
          <cell r="C46" t="str">
            <v>SHAH ALAM</v>
          </cell>
          <cell r="D46">
            <v>654.61879999999996</v>
          </cell>
          <cell r="F46" t="str">
            <v>0046</v>
          </cell>
          <cell r="G46">
            <v>1534300</v>
          </cell>
          <cell r="I46" t="str">
            <v>0046</v>
          </cell>
          <cell r="J46">
            <v>14665823</v>
          </cell>
        </row>
        <row r="47">
          <cell r="A47" t="str">
            <v>0047</v>
          </cell>
          <cell r="B47" t="str">
            <v>Central 1</v>
          </cell>
          <cell r="C47" t="str">
            <v>TUFAIL ROAD LAHORE CANTT.</v>
          </cell>
          <cell r="D47">
            <v>474.96469999999999</v>
          </cell>
          <cell r="F47" t="str">
            <v>0047</v>
          </cell>
          <cell r="G47">
            <v>9724495</v>
          </cell>
          <cell r="I47" t="str">
            <v>0047</v>
          </cell>
          <cell r="J47">
            <v>4931818</v>
          </cell>
        </row>
        <row r="48">
          <cell r="A48" t="str">
            <v>0048</v>
          </cell>
          <cell r="B48" t="str">
            <v>South -1</v>
          </cell>
          <cell r="C48" t="str">
            <v>STOCK EXCHANGE  LAHORE</v>
          </cell>
          <cell r="D48">
            <v>199.11869999999999</v>
          </cell>
          <cell r="F48" t="str">
            <v>0048</v>
          </cell>
          <cell r="G48">
            <v>3233667</v>
          </cell>
          <cell r="I48" t="str">
            <v>0048</v>
          </cell>
          <cell r="J48">
            <v>12426440</v>
          </cell>
        </row>
        <row r="49">
          <cell r="A49" t="str">
            <v>0052</v>
          </cell>
          <cell r="B49" t="str">
            <v>Central 6</v>
          </cell>
          <cell r="C49" t="str">
            <v>SADIQABAD</v>
          </cell>
          <cell r="D49">
            <v>229.24469999999999</v>
          </cell>
          <cell r="F49" t="str">
            <v>0052</v>
          </cell>
          <cell r="G49">
            <v>1946700</v>
          </cell>
          <cell r="I49" t="str">
            <v>0052</v>
          </cell>
          <cell r="J49">
            <v>2291100</v>
          </cell>
        </row>
        <row r="50">
          <cell r="A50" t="str">
            <v>0053</v>
          </cell>
          <cell r="B50" t="str">
            <v>Central 3</v>
          </cell>
          <cell r="C50" t="str">
            <v>GUJRANWALA</v>
          </cell>
          <cell r="D50">
            <v>859.98699999999997</v>
          </cell>
          <cell r="F50" t="str">
            <v>0053</v>
          </cell>
          <cell r="G50">
            <v>20763682</v>
          </cell>
          <cell r="I50" t="str">
            <v>0053</v>
          </cell>
          <cell r="J50">
            <v>26197262</v>
          </cell>
        </row>
        <row r="51">
          <cell r="A51" t="str">
            <v>0054</v>
          </cell>
          <cell r="B51" t="str">
            <v>Central 5</v>
          </cell>
          <cell r="C51" t="str">
            <v>PEOPLES COLONY FSD</v>
          </cell>
          <cell r="D51">
            <v>262.07569999999998</v>
          </cell>
          <cell r="F51" t="str">
            <v>0054</v>
          </cell>
          <cell r="G51">
            <v>18784858</v>
          </cell>
          <cell r="I51" t="str">
            <v>0054</v>
          </cell>
          <cell r="J51">
            <v>19712661</v>
          </cell>
        </row>
        <row r="52">
          <cell r="A52" t="str">
            <v>0055</v>
          </cell>
          <cell r="B52" t="str">
            <v>Central 4</v>
          </cell>
          <cell r="C52" t="str">
            <v>BUREWALA</v>
          </cell>
          <cell r="D52">
            <v>152.05799999999999</v>
          </cell>
          <cell r="F52" t="str">
            <v>0055</v>
          </cell>
          <cell r="G52">
            <v>31623510.5</v>
          </cell>
          <cell r="I52" t="str">
            <v>0055</v>
          </cell>
          <cell r="J52">
            <v>22354510.5</v>
          </cell>
        </row>
        <row r="53">
          <cell r="A53" t="str">
            <v>0056</v>
          </cell>
          <cell r="B53" t="str">
            <v>North 1-1</v>
          </cell>
          <cell r="C53" t="str">
            <v>WAH CANTT BR</v>
          </cell>
          <cell r="D53">
            <v>453.4948</v>
          </cell>
          <cell r="F53" t="str">
            <v>0056</v>
          </cell>
          <cell r="G53">
            <v>99545799</v>
          </cell>
          <cell r="I53" t="str">
            <v>0056</v>
          </cell>
          <cell r="J53">
            <v>102390973.34</v>
          </cell>
        </row>
        <row r="54">
          <cell r="A54" t="str">
            <v>0057</v>
          </cell>
          <cell r="B54" t="str">
            <v>North 2-2</v>
          </cell>
          <cell r="C54" t="str">
            <v>D.I KHAN</v>
          </cell>
          <cell r="D54">
            <v>320.85059999999999</v>
          </cell>
          <cell r="F54" t="str">
            <v>0057</v>
          </cell>
          <cell r="G54">
            <v>8360626</v>
          </cell>
          <cell r="I54" t="str">
            <v>0057</v>
          </cell>
          <cell r="J54">
            <v>6393484</v>
          </cell>
        </row>
        <row r="55">
          <cell r="A55" t="str">
            <v>0058</v>
          </cell>
          <cell r="B55" t="str">
            <v>Central 5</v>
          </cell>
          <cell r="C55" t="str">
            <v>JHANG</v>
          </cell>
          <cell r="D55">
            <v>236.60159999999999</v>
          </cell>
          <cell r="F55" t="str">
            <v>0058</v>
          </cell>
          <cell r="G55">
            <v>40862998</v>
          </cell>
          <cell r="I55" t="str">
            <v>0058</v>
          </cell>
          <cell r="J55">
            <v>19889966</v>
          </cell>
        </row>
        <row r="56">
          <cell r="A56" t="str">
            <v>0059</v>
          </cell>
          <cell r="B56" t="str">
            <v>Zone 2</v>
          </cell>
          <cell r="C56" t="str">
            <v>HAZARGANJI QUETTA</v>
          </cell>
          <cell r="D56">
            <v>154.80500000000001</v>
          </cell>
          <cell r="F56" t="str">
            <v>0059</v>
          </cell>
          <cell r="G56">
            <v>127000</v>
          </cell>
          <cell r="I56" t="str">
            <v>0059</v>
          </cell>
          <cell r="J56">
            <v>127000</v>
          </cell>
        </row>
        <row r="57">
          <cell r="A57" t="str">
            <v>0060</v>
          </cell>
          <cell r="B57" t="str">
            <v>Zone 2</v>
          </cell>
          <cell r="C57" t="str">
            <v>QUETTA MAIN</v>
          </cell>
          <cell r="D57">
            <v>705.33069999999998</v>
          </cell>
          <cell r="F57" t="str">
            <v>0060</v>
          </cell>
          <cell r="G57">
            <v>65824213.700000003</v>
          </cell>
          <cell r="I57" t="str">
            <v>0060</v>
          </cell>
          <cell r="J57">
            <v>92986591.299999997</v>
          </cell>
        </row>
        <row r="58">
          <cell r="A58" t="str">
            <v>0061</v>
          </cell>
          <cell r="B58" t="str">
            <v>Central 2</v>
          </cell>
          <cell r="C58" t="str">
            <v>RAVI RD. LHR</v>
          </cell>
          <cell r="D58">
            <v>383.73520000000002</v>
          </cell>
          <cell r="F58" t="str">
            <v>0061</v>
          </cell>
          <cell r="G58">
            <v>4717092</v>
          </cell>
          <cell r="I58" t="str">
            <v>0061</v>
          </cell>
          <cell r="J58">
            <v>6226009</v>
          </cell>
        </row>
        <row r="59">
          <cell r="A59" t="str">
            <v>0062</v>
          </cell>
          <cell r="B59" t="str">
            <v>Central 2</v>
          </cell>
          <cell r="C59" t="str">
            <v>SHEIKHUPURA  LHR</v>
          </cell>
          <cell r="D59">
            <v>191.8194</v>
          </cell>
          <cell r="F59" t="str">
            <v>0062</v>
          </cell>
          <cell r="G59">
            <v>5186442</v>
          </cell>
          <cell r="I59" t="str">
            <v>0062</v>
          </cell>
          <cell r="J59">
            <v>4917922</v>
          </cell>
        </row>
        <row r="60">
          <cell r="A60" t="str">
            <v>0063</v>
          </cell>
          <cell r="B60" t="str">
            <v>Central 1</v>
          </cell>
          <cell r="C60" t="str">
            <v>BAGHBANPURA  LAHORE</v>
          </cell>
          <cell r="D60">
            <v>363.4871</v>
          </cell>
          <cell r="F60" t="str">
            <v>0063</v>
          </cell>
          <cell r="G60">
            <v>14872769</v>
          </cell>
          <cell r="I60" t="str">
            <v>0063</v>
          </cell>
          <cell r="J60">
            <v>9353369</v>
          </cell>
        </row>
        <row r="61">
          <cell r="A61" t="str">
            <v>0064</v>
          </cell>
          <cell r="B61" t="str">
            <v>North 2-2</v>
          </cell>
          <cell r="C61" t="str">
            <v>PESHAWAR CITY</v>
          </cell>
          <cell r="D61">
            <v>643.50160000000005</v>
          </cell>
          <cell r="F61" t="str">
            <v>0064</v>
          </cell>
          <cell r="G61">
            <v>7973230</v>
          </cell>
          <cell r="I61" t="str">
            <v>0064</v>
          </cell>
          <cell r="J61">
            <v>13100580</v>
          </cell>
        </row>
        <row r="62">
          <cell r="A62" t="str">
            <v>0065</v>
          </cell>
          <cell r="B62" t="str">
            <v>Central 1</v>
          </cell>
          <cell r="C62" t="str">
            <v>LIBERTY MARKET LHR.</v>
          </cell>
          <cell r="D62">
            <v>267.62329999999997</v>
          </cell>
          <cell r="F62" t="str">
            <v>0065</v>
          </cell>
          <cell r="G62">
            <v>1121935</v>
          </cell>
          <cell r="I62" t="str">
            <v>0065</v>
          </cell>
          <cell r="J62">
            <v>2424535</v>
          </cell>
        </row>
        <row r="63">
          <cell r="A63" t="str">
            <v>0066</v>
          </cell>
          <cell r="B63" t="str">
            <v>Central 2</v>
          </cell>
          <cell r="C63" t="str">
            <v>SHAHDIN MANZIL LHR</v>
          </cell>
          <cell r="D63">
            <v>465.4341</v>
          </cell>
          <cell r="F63" t="str">
            <v>0066</v>
          </cell>
          <cell r="G63">
            <v>85637345.540000007</v>
          </cell>
          <cell r="I63" t="str">
            <v>0066</v>
          </cell>
          <cell r="J63">
            <v>65494725.220000006</v>
          </cell>
        </row>
        <row r="64">
          <cell r="A64" t="str">
            <v>0067</v>
          </cell>
          <cell r="B64" t="str">
            <v>North 2-1</v>
          </cell>
          <cell r="C64" t="str">
            <v>MARDAN</v>
          </cell>
          <cell r="D64">
            <v>336.39190000000002</v>
          </cell>
          <cell r="F64" t="str">
            <v>0067</v>
          </cell>
          <cell r="G64">
            <v>2725400</v>
          </cell>
          <cell r="I64" t="str">
            <v>0067</v>
          </cell>
          <cell r="J64">
            <v>10620400</v>
          </cell>
        </row>
        <row r="65">
          <cell r="A65" t="str">
            <v>0068</v>
          </cell>
          <cell r="B65" t="str">
            <v>North 2-1</v>
          </cell>
          <cell r="C65" t="str">
            <v>ABBOTABAD</v>
          </cell>
          <cell r="D65">
            <v>371.74290000000002</v>
          </cell>
          <cell r="F65" t="str">
            <v>0068</v>
          </cell>
          <cell r="G65">
            <v>11105383.5</v>
          </cell>
          <cell r="I65" t="str">
            <v>0068</v>
          </cell>
          <cell r="J65">
            <v>10525582.5</v>
          </cell>
        </row>
        <row r="66">
          <cell r="A66" t="str">
            <v>0069</v>
          </cell>
          <cell r="B66" t="str">
            <v>Central 1</v>
          </cell>
          <cell r="C66" t="str">
            <v>SAHIWAL ROAD - OKARA</v>
          </cell>
          <cell r="D66">
            <v>249.9939</v>
          </cell>
          <cell r="F66" t="str">
            <v>0069</v>
          </cell>
          <cell r="G66">
            <v>22877966</v>
          </cell>
          <cell r="I66" t="str">
            <v>0069</v>
          </cell>
          <cell r="J66">
            <v>4012588</v>
          </cell>
        </row>
        <row r="67">
          <cell r="A67" t="str">
            <v>0070</v>
          </cell>
          <cell r="B67" t="str">
            <v>North 1-2</v>
          </cell>
          <cell r="C67" t="str">
            <v>JEHLUM</v>
          </cell>
          <cell r="D67">
            <v>222.46289999999999</v>
          </cell>
          <cell r="F67" t="str">
            <v>0070</v>
          </cell>
          <cell r="G67">
            <v>2521290</v>
          </cell>
          <cell r="I67" t="str">
            <v>0070</v>
          </cell>
          <cell r="J67">
            <v>2119005</v>
          </cell>
        </row>
        <row r="68">
          <cell r="A68" t="str">
            <v>0071</v>
          </cell>
          <cell r="B68" t="str">
            <v>Central 3</v>
          </cell>
          <cell r="C68" t="str">
            <v>LALA MUSA</v>
          </cell>
          <cell r="D68">
            <v>181.69290000000001</v>
          </cell>
          <cell r="F68" t="str">
            <v>0071</v>
          </cell>
          <cell r="G68">
            <v>1247983</v>
          </cell>
          <cell r="I68" t="str">
            <v>0071</v>
          </cell>
          <cell r="J68">
            <v>530000</v>
          </cell>
        </row>
        <row r="69">
          <cell r="A69" t="str">
            <v>0072</v>
          </cell>
          <cell r="B69" t="str">
            <v>Central 6</v>
          </cell>
          <cell r="C69" t="str">
            <v>RAHIM YAR KHAN</v>
          </cell>
          <cell r="D69">
            <v>281.12700000000001</v>
          </cell>
          <cell r="F69" t="str">
            <v>0072</v>
          </cell>
          <cell r="G69">
            <v>13429919</v>
          </cell>
          <cell r="I69" t="str">
            <v>0072</v>
          </cell>
          <cell r="J69">
            <v>15688212</v>
          </cell>
        </row>
        <row r="70">
          <cell r="A70" t="str">
            <v>0073</v>
          </cell>
          <cell r="B70" t="str">
            <v>Central 6</v>
          </cell>
          <cell r="C70" t="str">
            <v>MIAN CHUNNO</v>
          </cell>
          <cell r="D70">
            <v>268.8614</v>
          </cell>
          <cell r="F70" t="str">
            <v>0073</v>
          </cell>
          <cell r="G70">
            <v>12657205</v>
          </cell>
          <cell r="I70" t="str">
            <v>0073</v>
          </cell>
          <cell r="J70">
            <v>13400702</v>
          </cell>
        </row>
        <row r="71">
          <cell r="A71" t="str">
            <v>0074</v>
          </cell>
          <cell r="B71" t="str">
            <v>Zone 3</v>
          </cell>
          <cell r="C71" t="str">
            <v>MANDI BAHAUDDIN BR</v>
          </cell>
          <cell r="D71">
            <v>242.70490000000001</v>
          </cell>
          <cell r="F71" t="str">
            <v>0074</v>
          </cell>
          <cell r="G71">
            <v>25337840</v>
          </cell>
          <cell r="I71" t="str">
            <v>0074</v>
          </cell>
          <cell r="J71">
            <v>3023060</v>
          </cell>
        </row>
        <row r="72">
          <cell r="A72" t="str">
            <v>0075</v>
          </cell>
          <cell r="B72" t="str">
            <v>Central 6</v>
          </cell>
          <cell r="C72" t="str">
            <v>DERA GHAZI KHAN</v>
          </cell>
          <cell r="D72">
            <v>193.89009999999999</v>
          </cell>
          <cell r="F72" t="str">
            <v>0075</v>
          </cell>
          <cell r="G72">
            <v>36416830</v>
          </cell>
          <cell r="I72" t="str">
            <v>0075</v>
          </cell>
          <cell r="J72">
            <v>61909720</v>
          </cell>
        </row>
        <row r="73">
          <cell r="A73" t="str">
            <v>0076</v>
          </cell>
          <cell r="B73" t="str">
            <v>Central 1</v>
          </cell>
          <cell r="C73" t="str">
            <v>THOKER NIAZ BEGH RAIWIND</v>
          </cell>
          <cell r="D73">
            <v>369.94639999999998</v>
          </cell>
          <cell r="F73" t="str">
            <v>0076</v>
          </cell>
          <cell r="G73">
            <v>29113733</v>
          </cell>
          <cell r="I73" t="str">
            <v>0076</v>
          </cell>
          <cell r="J73">
            <v>27977831</v>
          </cell>
        </row>
        <row r="74">
          <cell r="A74" t="str">
            <v>0077</v>
          </cell>
          <cell r="B74" t="str">
            <v>Central 1</v>
          </cell>
          <cell r="C74" t="str">
            <v>SAHIWAL</v>
          </cell>
          <cell r="D74">
            <v>218.70009999999999</v>
          </cell>
          <cell r="F74" t="str">
            <v>0077</v>
          </cell>
          <cell r="G74">
            <v>8533224</v>
          </cell>
          <cell r="I74" t="str">
            <v>0077</v>
          </cell>
          <cell r="J74">
            <v>7870656</v>
          </cell>
        </row>
        <row r="75">
          <cell r="A75" t="str">
            <v>0078</v>
          </cell>
          <cell r="B75" t="str">
            <v>North 2-1</v>
          </cell>
          <cell r="C75" t="str">
            <v>MINGORA SWAT</v>
          </cell>
          <cell r="D75">
            <v>299.98759999999999</v>
          </cell>
          <cell r="F75" t="str">
            <v>0078</v>
          </cell>
          <cell r="G75">
            <v>12647342</v>
          </cell>
          <cell r="I75" t="str">
            <v>0078</v>
          </cell>
          <cell r="J75">
            <v>11982560</v>
          </cell>
        </row>
        <row r="76">
          <cell r="A76" t="str">
            <v>0079</v>
          </cell>
          <cell r="B76" t="str">
            <v>Central 5</v>
          </cell>
          <cell r="C76" t="str">
            <v>TOBA TEK SINGH</v>
          </cell>
          <cell r="D76">
            <v>134.9272</v>
          </cell>
          <cell r="F76" t="str">
            <v>0079</v>
          </cell>
          <cell r="G76">
            <v>8836563</v>
          </cell>
          <cell r="I76" t="str">
            <v>0079</v>
          </cell>
          <cell r="J76">
            <v>13405549</v>
          </cell>
        </row>
        <row r="77">
          <cell r="A77" t="str">
            <v>0080</v>
          </cell>
          <cell r="B77" t="str">
            <v>North 2-2</v>
          </cell>
          <cell r="C77" t="str">
            <v>HANGU BR</v>
          </cell>
          <cell r="D77">
            <v>108.89360000000001</v>
          </cell>
          <cell r="F77" t="str">
            <v>0080</v>
          </cell>
          <cell r="G77">
            <v>2835400</v>
          </cell>
          <cell r="I77" t="str">
            <v>0080</v>
          </cell>
          <cell r="J77">
            <v>6381680</v>
          </cell>
        </row>
        <row r="78">
          <cell r="A78" t="str">
            <v>0081</v>
          </cell>
          <cell r="B78" t="str">
            <v>Central 3</v>
          </cell>
          <cell r="C78" t="str">
            <v>GUJRAT</v>
          </cell>
          <cell r="D78">
            <v>388.25099999999998</v>
          </cell>
          <cell r="F78" t="str">
            <v>0081</v>
          </cell>
          <cell r="G78">
            <v>7116797.3200000003</v>
          </cell>
          <cell r="I78" t="str">
            <v>0081</v>
          </cell>
          <cell r="J78">
            <v>7020829.3200000003</v>
          </cell>
        </row>
        <row r="79">
          <cell r="A79" t="str">
            <v>0082</v>
          </cell>
          <cell r="B79" t="str">
            <v>North 1-3</v>
          </cell>
          <cell r="C79" t="str">
            <v>I-10  ISLAMABAD</v>
          </cell>
          <cell r="D79">
            <v>589.81910000000005</v>
          </cell>
          <cell r="F79" t="str">
            <v>0082</v>
          </cell>
          <cell r="G79">
            <v>14986746</v>
          </cell>
          <cell r="I79" t="str">
            <v>0082</v>
          </cell>
          <cell r="J79">
            <v>11374775</v>
          </cell>
        </row>
        <row r="80">
          <cell r="A80" t="str">
            <v>0083</v>
          </cell>
          <cell r="B80" t="str">
            <v>North 1-2</v>
          </cell>
          <cell r="C80" t="str">
            <v>JINNAH ROAD - RWP</v>
          </cell>
          <cell r="D80">
            <v>547.72490000000005</v>
          </cell>
          <cell r="F80" t="str">
            <v>0083</v>
          </cell>
          <cell r="G80">
            <v>3025000</v>
          </cell>
          <cell r="I80" t="str">
            <v>0083</v>
          </cell>
          <cell r="J80">
            <v>670500</v>
          </cell>
        </row>
        <row r="81">
          <cell r="A81" t="str">
            <v>0085</v>
          </cell>
          <cell r="B81" t="str">
            <v>Central 6</v>
          </cell>
          <cell r="C81" t="str">
            <v>CIRCULAR ROAD BAHAWALPUR</v>
          </cell>
          <cell r="D81">
            <v>147.5934</v>
          </cell>
          <cell r="F81" t="str">
            <v>0085</v>
          </cell>
          <cell r="G81">
            <v>20741340</v>
          </cell>
          <cell r="I81" t="str">
            <v>0085</v>
          </cell>
          <cell r="J81">
            <v>6395800</v>
          </cell>
        </row>
        <row r="82">
          <cell r="A82" t="str">
            <v>0086</v>
          </cell>
          <cell r="B82" t="str">
            <v>North 2-2</v>
          </cell>
          <cell r="C82" t="str">
            <v>KOHAT</v>
          </cell>
          <cell r="D82">
            <v>281.71039999999999</v>
          </cell>
          <cell r="F82" t="str">
            <v>0086</v>
          </cell>
          <cell r="G82">
            <v>1790392.7000000002</v>
          </cell>
          <cell r="I82" t="str">
            <v>0086</v>
          </cell>
          <cell r="J82">
            <v>1690392.7000000002</v>
          </cell>
        </row>
        <row r="83">
          <cell r="A83" t="str">
            <v>0088</v>
          </cell>
          <cell r="B83" t="str">
            <v>South -3</v>
          </cell>
          <cell r="C83" t="str">
            <v>LANDHI BR</v>
          </cell>
          <cell r="D83">
            <v>223.55789999999999</v>
          </cell>
          <cell r="F83" t="str">
            <v>0088</v>
          </cell>
          <cell r="G83">
            <v>180000</v>
          </cell>
          <cell r="I83" t="str">
            <v>0088</v>
          </cell>
          <cell r="J83">
            <v>180000</v>
          </cell>
        </row>
        <row r="84">
          <cell r="A84" t="str">
            <v>0089</v>
          </cell>
          <cell r="B84" t="str">
            <v>South -3</v>
          </cell>
          <cell r="C84" t="str">
            <v>TARIQ RD KHI</v>
          </cell>
          <cell r="D84">
            <v>207.0856</v>
          </cell>
          <cell r="F84" t="str">
            <v>0089</v>
          </cell>
          <cell r="G84">
            <v>1500000</v>
          </cell>
          <cell r="I84" t="str">
            <v>0089</v>
          </cell>
          <cell r="J84">
            <v>36779142</v>
          </cell>
        </row>
        <row r="85">
          <cell r="A85" t="str">
            <v>0091</v>
          </cell>
          <cell r="B85" t="str">
            <v>South -2</v>
          </cell>
          <cell r="C85" t="str">
            <v>SHERSHAH  KHI</v>
          </cell>
          <cell r="D85">
            <v>620.72889999999995</v>
          </cell>
          <cell r="F85" t="str">
            <v>0091</v>
          </cell>
          <cell r="G85">
            <v>3274300</v>
          </cell>
          <cell r="I85" t="str">
            <v>0091</v>
          </cell>
          <cell r="J85">
            <v>15735710</v>
          </cell>
        </row>
        <row r="86">
          <cell r="A86" t="str">
            <v>0092</v>
          </cell>
          <cell r="B86" t="str">
            <v>South -2</v>
          </cell>
          <cell r="C86" t="str">
            <v>MALIR CANTT BR</v>
          </cell>
          <cell r="D86">
            <v>214.4374</v>
          </cell>
          <cell r="F86" t="str">
            <v>0092</v>
          </cell>
          <cell r="G86">
            <v>0</v>
          </cell>
          <cell r="I86" t="str">
            <v>0092</v>
          </cell>
          <cell r="J86">
            <v>0</v>
          </cell>
        </row>
        <row r="87">
          <cell r="A87" t="str">
            <v>0093</v>
          </cell>
          <cell r="B87" t="str">
            <v>Central 2</v>
          </cell>
          <cell r="C87" t="str">
            <v>URDU BAZAR LHR</v>
          </cell>
          <cell r="D87">
            <v>258.3229</v>
          </cell>
          <cell r="F87" t="str">
            <v>0093</v>
          </cell>
          <cell r="G87">
            <v>36944300</v>
          </cell>
          <cell r="I87" t="str">
            <v>0093</v>
          </cell>
          <cell r="J87">
            <v>34275493</v>
          </cell>
        </row>
        <row r="88">
          <cell r="A88" t="str">
            <v>0094</v>
          </cell>
          <cell r="B88" t="str">
            <v>Central 4</v>
          </cell>
          <cell r="C88" t="str">
            <v>FEROZEPUR RD BR</v>
          </cell>
          <cell r="D88">
            <v>434.81119999999999</v>
          </cell>
          <cell r="F88" t="str">
            <v>0094</v>
          </cell>
          <cell r="G88">
            <v>625840</v>
          </cell>
          <cell r="I88" t="str">
            <v>0094</v>
          </cell>
          <cell r="J88">
            <v>1190830</v>
          </cell>
        </row>
        <row r="89">
          <cell r="A89" t="str">
            <v>0095</v>
          </cell>
          <cell r="B89" t="str">
            <v>Central 2</v>
          </cell>
          <cell r="C89" t="str">
            <v>SHAHDARA BR</v>
          </cell>
          <cell r="D89">
            <v>371.67419999999998</v>
          </cell>
          <cell r="F89" t="str">
            <v>0095</v>
          </cell>
          <cell r="G89">
            <v>7126750</v>
          </cell>
          <cell r="I89" t="str">
            <v>0095</v>
          </cell>
          <cell r="J89">
            <v>16453505</v>
          </cell>
        </row>
        <row r="90">
          <cell r="A90" t="str">
            <v>0096</v>
          </cell>
          <cell r="B90" t="str">
            <v>Central 4</v>
          </cell>
          <cell r="C90" t="str">
            <v>WALTON BR</v>
          </cell>
          <cell r="D90">
            <v>114.2581</v>
          </cell>
          <cell r="F90" t="str">
            <v>0096</v>
          </cell>
          <cell r="G90">
            <v>3707272</v>
          </cell>
          <cell r="I90" t="str">
            <v>0096</v>
          </cell>
          <cell r="J90">
            <v>3821700</v>
          </cell>
        </row>
        <row r="91">
          <cell r="A91" t="str">
            <v>0097</v>
          </cell>
          <cell r="B91" t="str">
            <v>Zone 2</v>
          </cell>
          <cell r="C91" t="str">
            <v>SHAHRA-E-IQBAL-QTA</v>
          </cell>
          <cell r="D91">
            <v>405.53109999999998</v>
          </cell>
          <cell r="F91" t="str">
            <v>0097</v>
          </cell>
          <cell r="G91">
            <v>425760</v>
          </cell>
          <cell r="I91" t="str">
            <v>0097</v>
          </cell>
          <cell r="J91">
            <v>125760</v>
          </cell>
        </row>
        <row r="92">
          <cell r="A92" t="str">
            <v>0098</v>
          </cell>
          <cell r="B92" t="str">
            <v>North 1-1</v>
          </cell>
          <cell r="C92" t="str">
            <v>CHAKLALA SCH III RWP</v>
          </cell>
          <cell r="D92">
            <v>170.82329999999999</v>
          </cell>
          <cell r="F92" t="str">
            <v>0098</v>
          </cell>
          <cell r="G92">
            <v>144400</v>
          </cell>
          <cell r="I92" t="str">
            <v>0098</v>
          </cell>
          <cell r="J92">
            <v>64100</v>
          </cell>
        </row>
        <row r="93">
          <cell r="A93" t="str">
            <v>0100</v>
          </cell>
          <cell r="B93" t="str">
            <v>North 1-2</v>
          </cell>
          <cell r="C93" t="str">
            <v>COLLEGE ROAD  RWP</v>
          </cell>
          <cell r="D93">
            <v>410.45370000000003</v>
          </cell>
          <cell r="F93" t="str">
            <v>0100</v>
          </cell>
          <cell r="G93">
            <v>26562833</v>
          </cell>
          <cell r="I93" t="str">
            <v>0100</v>
          </cell>
          <cell r="J93">
            <v>5658264</v>
          </cell>
        </row>
        <row r="94">
          <cell r="A94" t="str">
            <v>0101</v>
          </cell>
          <cell r="B94" t="str">
            <v>North 1-1</v>
          </cell>
          <cell r="C94" t="str">
            <v>LALAZAR BR</v>
          </cell>
          <cell r="D94">
            <v>166.4076</v>
          </cell>
          <cell r="F94" t="str">
            <v>0101</v>
          </cell>
          <cell r="G94">
            <v>1815020</v>
          </cell>
          <cell r="I94" t="str">
            <v>0101</v>
          </cell>
          <cell r="J94">
            <v>6553720</v>
          </cell>
        </row>
        <row r="95">
          <cell r="A95" t="str">
            <v>0102</v>
          </cell>
          <cell r="B95" t="str">
            <v>North 2-2</v>
          </cell>
          <cell r="C95" t="str">
            <v>PESHAWAR HAYATABAD BR</v>
          </cell>
          <cell r="D95">
            <v>361.3537</v>
          </cell>
          <cell r="F95" t="str">
            <v>0102</v>
          </cell>
          <cell r="G95">
            <v>71147719</v>
          </cell>
          <cell r="I95" t="str">
            <v>0102</v>
          </cell>
          <cell r="J95">
            <v>9766945</v>
          </cell>
        </row>
        <row r="96">
          <cell r="A96" t="str">
            <v>0103</v>
          </cell>
          <cell r="B96" t="str">
            <v>North 2-2</v>
          </cell>
          <cell r="C96" t="str">
            <v>PESHAWAR GT RD BR</v>
          </cell>
          <cell r="D96">
            <v>377.4502</v>
          </cell>
          <cell r="F96" t="str">
            <v>0103</v>
          </cell>
          <cell r="G96">
            <v>6829230</v>
          </cell>
          <cell r="I96" t="str">
            <v>0103</v>
          </cell>
          <cell r="J96">
            <v>6830530</v>
          </cell>
        </row>
        <row r="97">
          <cell r="A97" t="str">
            <v>0104</v>
          </cell>
          <cell r="B97" t="str">
            <v>Central 5</v>
          </cell>
          <cell r="C97" t="str">
            <v>MINERVA RD FSD</v>
          </cell>
          <cell r="D97">
            <v>327.55810000000002</v>
          </cell>
          <cell r="F97" t="str">
            <v>0104</v>
          </cell>
          <cell r="G97">
            <v>9490179</v>
          </cell>
          <cell r="I97" t="str">
            <v>0104</v>
          </cell>
          <cell r="J97">
            <v>19106400</v>
          </cell>
        </row>
        <row r="98">
          <cell r="A98" t="str">
            <v>0105</v>
          </cell>
          <cell r="B98" t="str">
            <v>Zone 3</v>
          </cell>
          <cell r="C98" t="str">
            <v>BHALWAL</v>
          </cell>
          <cell r="D98">
            <v>94.854299999999995</v>
          </cell>
          <cell r="F98" t="str">
            <v>0105</v>
          </cell>
          <cell r="G98">
            <v>11852400</v>
          </cell>
          <cell r="I98" t="str">
            <v>0105</v>
          </cell>
          <cell r="J98">
            <v>237100</v>
          </cell>
        </row>
        <row r="99">
          <cell r="A99" t="str">
            <v>0106</v>
          </cell>
          <cell r="B99" t="str">
            <v>Central 5</v>
          </cell>
          <cell r="C99" t="str">
            <v>SUSAN-ROAD FSD</v>
          </cell>
          <cell r="D99">
            <v>189.8741</v>
          </cell>
          <cell r="F99" t="str">
            <v>0106</v>
          </cell>
          <cell r="G99">
            <v>19642153</v>
          </cell>
          <cell r="I99" t="str">
            <v>0106</v>
          </cell>
          <cell r="J99">
            <v>9583741</v>
          </cell>
        </row>
        <row r="100">
          <cell r="A100" t="str">
            <v>0107</v>
          </cell>
          <cell r="B100" t="str">
            <v>Central 5</v>
          </cell>
          <cell r="C100" t="str">
            <v>RAIL BAZAR FSD</v>
          </cell>
          <cell r="D100">
            <v>439.03129999999999</v>
          </cell>
          <cell r="F100" t="str">
            <v>0107</v>
          </cell>
          <cell r="G100">
            <v>12887614</v>
          </cell>
          <cell r="I100" t="str">
            <v>0107</v>
          </cell>
          <cell r="J100">
            <v>12379692</v>
          </cell>
        </row>
        <row r="101">
          <cell r="A101" t="str">
            <v>0108</v>
          </cell>
          <cell r="B101" t="str">
            <v>Central 5</v>
          </cell>
          <cell r="C101" t="str">
            <v>YARN MARKET FSD</v>
          </cell>
          <cell r="D101">
            <v>337.54790000000003</v>
          </cell>
          <cell r="F101" t="str">
            <v>0108</v>
          </cell>
          <cell r="G101">
            <v>3319140</v>
          </cell>
          <cell r="I101" t="str">
            <v>0108</v>
          </cell>
          <cell r="J101">
            <v>2803575</v>
          </cell>
        </row>
        <row r="102">
          <cell r="A102" t="str">
            <v>0109</v>
          </cell>
          <cell r="B102" t="str">
            <v>Central 6</v>
          </cell>
          <cell r="C102" t="str">
            <v>HUSSAIN AGAHI</v>
          </cell>
          <cell r="D102">
            <v>185.9494</v>
          </cell>
          <cell r="F102" t="str">
            <v>0109</v>
          </cell>
          <cell r="G102">
            <v>10179862</v>
          </cell>
          <cell r="I102" t="str">
            <v>0109</v>
          </cell>
          <cell r="J102">
            <v>5476558</v>
          </cell>
        </row>
        <row r="103">
          <cell r="A103" t="str">
            <v>0110</v>
          </cell>
          <cell r="B103" t="str">
            <v>Central 6</v>
          </cell>
          <cell r="C103" t="str">
            <v>CHOWK SHAHEEDAN MUL</v>
          </cell>
          <cell r="D103">
            <v>201.15469999999999</v>
          </cell>
          <cell r="F103" t="str">
            <v>0110</v>
          </cell>
          <cell r="G103">
            <v>3045445</v>
          </cell>
          <cell r="I103" t="str">
            <v>0110</v>
          </cell>
          <cell r="J103">
            <v>3178645</v>
          </cell>
        </row>
        <row r="104">
          <cell r="A104" t="str">
            <v>0111</v>
          </cell>
          <cell r="B104" t="str">
            <v>Central 5</v>
          </cell>
          <cell r="C104" t="str">
            <v>CHINIOT BR</v>
          </cell>
          <cell r="D104">
            <v>182.4341</v>
          </cell>
          <cell r="F104" t="str">
            <v>0111</v>
          </cell>
          <cell r="G104">
            <v>355950</v>
          </cell>
          <cell r="I104" t="str">
            <v>0111</v>
          </cell>
          <cell r="J104">
            <v>304750</v>
          </cell>
        </row>
        <row r="105">
          <cell r="A105" t="str">
            <v>0112</v>
          </cell>
          <cell r="B105" t="str">
            <v>Central 2</v>
          </cell>
          <cell r="C105" t="str">
            <v>DASKA BR</v>
          </cell>
          <cell r="D105">
            <v>183.75219999999999</v>
          </cell>
          <cell r="F105" t="str">
            <v>0112</v>
          </cell>
          <cell r="G105">
            <v>4399530</v>
          </cell>
          <cell r="I105" t="str">
            <v>0112</v>
          </cell>
          <cell r="J105">
            <v>4195030</v>
          </cell>
        </row>
        <row r="106">
          <cell r="A106" t="str">
            <v>0113</v>
          </cell>
          <cell r="B106" t="str">
            <v>Zone 3</v>
          </cell>
          <cell r="C106" t="str">
            <v>HAFIZABAD BR</v>
          </cell>
          <cell r="D106">
            <v>222.1241</v>
          </cell>
          <cell r="F106" t="str">
            <v>0113</v>
          </cell>
          <cell r="G106">
            <v>9954438</v>
          </cell>
          <cell r="I106" t="str">
            <v>0113</v>
          </cell>
          <cell r="J106">
            <v>4522400</v>
          </cell>
        </row>
        <row r="107">
          <cell r="A107" t="str">
            <v>0114</v>
          </cell>
          <cell r="B107" t="str">
            <v>North 1-2</v>
          </cell>
          <cell r="C107" t="str">
            <v>KHARIAN BR</v>
          </cell>
          <cell r="D107">
            <v>186.54949999999999</v>
          </cell>
          <cell r="F107" t="str">
            <v>0114</v>
          </cell>
          <cell r="G107">
            <v>1295200</v>
          </cell>
          <cell r="I107" t="str">
            <v>0114</v>
          </cell>
          <cell r="J107">
            <v>1338200</v>
          </cell>
        </row>
        <row r="108">
          <cell r="A108" t="str">
            <v>0115</v>
          </cell>
          <cell r="B108" t="str">
            <v>Central 4</v>
          </cell>
          <cell r="C108" t="str">
            <v>ARIFWALA BR</v>
          </cell>
          <cell r="D108">
            <v>206.2062</v>
          </cell>
          <cell r="F108" t="str">
            <v>0115</v>
          </cell>
          <cell r="G108">
            <v>298500</v>
          </cell>
          <cell r="I108" t="str">
            <v>0115</v>
          </cell>
          <cell r="J108">
            <v>3181100</v>
          </cell>
        </row>
        <row r="109">
          <cell r="A109" t="str">
            <v>0116</v>
          </cell>
          <cell r="B109" t="str">
            <v>Central 1</v>
          </cell>
          <cell r="C109" t="str">
            <v>CHICHA WATNI</v>
          </cell>
          <cell r="D109">
            <v>247.55199999999999</v>
          </cell>
          <cell r="F109" t="str">
            <v>0116</v>
          </cell>
          <cell r="G109">
            <v>2098700</v>
          </cell>
          <cell r="I109" t="str">
            <v>0116</v>
          </cell>
          <cell r="J109">
            <v>1817500</v>
          </cell>
        </row>
        <row r="110">
          <cell r="A110" t="str">
            <v>0117</v>
          </cell>
          <cell r="B110" t="str">
            <v>Central 4</v>
          </cell>
          <cell r="C110" t="str">
            <v>KASUR BR</v>
          </cell>
          <cell r="D110">
            <v>249.31960000000001</v>
          </cell>
          <cell r="F110" t="str">
            <v>0117</v>
          </cell>
          <cell r="G110">
            <v>18754820</v>
          </cell>
          <cell r="I110" t="str">
            <v>0117</v>
          </cell>
          <cell r="J110">
            <v>1821610</v>
          </cell>
        </row>
        <row r="111">
          <cell r="A111" t="str">
            <v>0118</v>
          </cell>
          <cell r="B111" t="str">
            <v>Central 4</v>
          </cell>
          <cell r="C111" t="str">
            <v>PAKPATAN BR</v>
          </cell>
          <cell r="D111">
            <v>173.1182</v>
          </cell>
          <cell r="F111" t="str">
            <v>0118</v>
          </cell>
          <cell r="G111">
            <v>10478900</v>
          </cell>
          <cell r="I111" t="str">
            <v>0118</v>
          </cell>
          <cell r="J111">
            <v>9683100</v>
          </cell>
        </row>
        <row r="112">
          <cell r="A112" t="str">
            <v>0119</v>
          </cell>
          <cell r="B112" t="str">
            <v>North 2-1</v>
          </cell>
          <cell r="C112" t="str">
            <v>GILGIT BR</v>
          </cell>
          <cell r="D112">
            <v>140.05959999999999</v>
          </cell>
          <cell r="F112" t="str">
            <v>0119</v>
          </cell>
          <cell r="G112">
            <v>16504342</v>
          </cell>
          <cell r="I112" t="str">
            <v>0119</v>
          </cell>
          <cell r="J112">
            <v>15634667</v>
          </cell>
        </row>
        <row r="113">
          <cell r="A113" t="str">
            <v>0120</v>
          </cell>
          <cell r="B113" t="str">
            <v>North 1-1</v>
          </cell>
          <cell r="C113" t="str">
            <v>KECHERY CHOWK ATTOCK</v>
          </cell>
          <cell r="D113">
            <v>167.19649999999999</v>
          </cell>
          <cell r="F113" t="str">
            <v>0120</v>
          </cell>
          <cell r="G113">
            <v>6669652</v>
          </cell>
          <cell r="I113" t="str">
            <v>0120</v>
          </cell>
          <cell r="J113">
            <v>8021249</v>
          </cell>
        </row>
        <row r="114">
          <cell r="A114" t="str">
            <v>0121</v>
          </cell>
          <cell r="B114" t="str">
            <v>Zone 2</v>
          </cell>
          <cell r="C114" t="str">
            <v>CHAMAN BR</v>
          </cell>
          <cell r="D114">
            <v>269.14080000000001</v>
          </cell>
          <cell r="F114" t="str">
            <v>0121</v>
          </cell>
          <cell r="G114">
            <v>10000</v>
          </cell>
          <cell r="I114" t="str">
            <v>0121</v>
          </cell>
          <cell r="J114">
            <v>18500</v>
          </cell>
        </row>
        <row r="115">
          <cell r="A115" t="str">
            <v>0122</v>
          </cell>
          <cell r="B115" t="str">
            <v>Central 6</v>
          </cell>
          <cell r="C115" t="str">
            <v>AHMEDPUR EAST</v>
          </cell>
          <cell r="D115">
            <v>142.9546</v>
          </cell>
          <cell r="F115" t="str">
            <v>0122</v>
          </cell>
          <cell r="G115">
            <v>7336900</v>
          </cell>
          <cell r="I115" t="str">
            <v>0122</v>
          </cell>
          <cell r="J115">
            <v>6915900</v>
          </cell>
        </row>
        <row r="116">
          <cell r="A116" t="str">
            <v>0123</v>
          </cell>
          <cell r="B116" t="str">
            <v>Zone 1</v>
          </cell>
          <cell r="C116" t="str">
            <v>DHARKI BR</v>
          </cell>
          <cell r="D116">
            <v>152.27070000000001</v>
          </cell>
          <cell r="F116" t="str">
            <v>0123</v>
          </cell>
          <cell r="G116">
            <v>3831976</v>
          </cell>
          <cell r="I116" t="str">
            <v>0123</v>
          </cell>
          <cell r="J116">
            <v>5815576</v>
          </cell>
        </row>
        <row r="117">
          <cell r="A117" t="str">
            <v>0124</v>
          </cell>
          <cell r="B117" t="str">
            <v>Zone 1</v>
          </cell>
          <cell r="C117" t="str">
            <v>GHOTKI</v>
          </cell>
          <cell r="D117">
            <v>153.7663</v>
          </cell>
          <cell r="F117" t="str">
            <v>0124</v>
          </cell>
          <cell r="G117">
            <v>16216812</v>
          </cell>
          <cell r="I117" t="str">
            <v>0124</v>
          </cell>
          <cell r="J117">
            <v>12581010</v>
          </cell>
        </row>
        <row r="118">
          <cell r="A118" t="str">
            <v>0125</v>
          </cell>
          <cell r="B118" t="str">
            <v>Central 6</v>
          </cell>
          <cell r="C118" t="str">
            <v>HAROONABAD BR</v>
          </cell>
          <cell r="D118">
            <v>114.2794</v>
          </cell>
          <cell r="F118" t="str">
            <v>0125</v>
          </cell>
          <cell r="G118">
            <v>987036</v>
          </cell>
          <cell r="I118" t="str">
            <v>0125</v>
          </cell>
          <cell r="J118">
            <v>1171779</v>
          </cell>
        </row>
        <row r="119">
          <cell r="A119" t="str">
            <v>0126</v>
          </cell>
          <cell r="B119" t="str">
            <v>Central 6</v>
          </cell>
          <cell r="C119" t="str">
            <v>HASILPUR BR</v>
          </cell>
          <cell r="D119">
            <v>115.2158</v>
          </cell>
          <cell r="F119" t="str">
            <v>0126</v>
          </cell>
          <cell r="G119">
            <v>2085830</v>
          </cell>
          <cell r="I119" t="str">
            <v>0126</v>
          </cell>
          <cell r="J119">
            <v>2316610</v>
          </cell>
        </row>
        <row r="120">
          <cell r="A120" t="str">
            <v>0127</v>
          </cell>
          <cell r="B120" t="str">
            <v>Zone 1</v>
          </cell>
          <cell r="C120" t="str">
            <v>NAWAB SHAH BR</v>
          </cell>
          <cell r="D120">
            <v>95.599400000000003</v>
          </cell>
          <cell r="F120" t="str">
            <v>0127</v>
          </cell>
          <cell r="G120">
            <v>4943760</v>
          </cell>
          <cell r="I120" t="str">
            <v>0127</v>
          </cell>
          <cell r="J120">
            <v>5278060</v>
          </cell>
        </row>
        <row r="121">
          <cell r="A121" t="str">
            <v>0128</v>
          </cell>
          <cell r="B121" t="str">
            <v>South -1</v>
          </cell>
          <cell r="C121" t="str">
            <v>HAWKSBAY RD  KHI</v>
          </cell>
          <cell r="D121">
            <v>386.3603</v>
          </cell>
          <cell r="F121" t="str">
            <v>0128</v>
          </cell>
          <cell r="G121">
            <v>0</v>
          </cell>
          <cell r="I121" t="str">
            <v>0128</v>
          </cell>
          <cell r="J121">
            <v>0</v>
          </cell>
        </row>
        <row r="122">
          <cell r="A122" t="str">
            <v>0129</v>
          </cell>
          <cell r="B122" t="str">
            <v>North 1-2</v>
          </cell>
          <cell r="C122" t="str">
            <v>CHAKWAL BR</v>
          </cell>
          <cell r="D122">
            <v>136.1378</v>
          </cell>
          <cell r="F122" t="str">
            <v>0129</v>
          </cell>
          <cell r="G122">
            <v>281000</v>
          </cell>
          <cell r="I122" t="str">
            <v>0129</v>
          </cell>
          <cell r="J122">
            <v>36000</v>
          </cell>
        </row>
        <row r="123">
          <cell r="A123" t="str">
            <v>0131</v>
          </cell>
          <cell r="B123" t="str">
            <v>North 1-3</v>
          </cell>
          <cell r="C123" t="str">
            <v>F-10 MARKAZ ISB</v>
          </cell>
          <cell r="D123">
            <v>366.80599999999998</v>
          </cell>
          <cell r="F123" t="str">
            <v>0131</v>
          </cell>
          <cell r="G123">
            <v>12419158.800000001</v>
          </cell>
          <cell r="I123" t="str">
            <v>0131</v>
          </cell>
          <cell r="J123">
            <v>22713995.800000001</v>
          </cell>
        </row>
        <row r="124">
          <cell r="A124" t="str">
            <v>0132</v>
          </cell>
          <cell r="B124" t="str">
            <v>Zone 1</v>
          </cell>
          <cell r="C124" t="str">
            <v>MIRPUR KHAS BR</v>
          </cell>
          <cell r="D124">
            <v>92.998000000000005</v>
          </cell>
          <cell r="F124" t="str">
            <v>0132</v>
          </cell>
          <cell r="G124">
            <v>3511024</v>
          </cell>
          <cell r="I124" t="str">
            <v>0132</v>
          </cell>
          <cell r="J124">
            <v>2974424</v>
          </cell>
        </row>
        <row r="125">
          <cell r="A125" t="str">
            <v>0133</v>
          </cell>
          <cell r="B125" t="str">
            <v>Central 2</v>
          </cell>
          <cell r="C125" t="str">
            <v>BRANDRETH ROAD LHR</v>
          </cell>
          <cell r="D125">
            <v>311.08370000000002</v>
          </cell>
          <cell r="F125" t="str">
            <v>0133</v>
          </cell>
          <cell r="G125">
            <v>7817500</v>
          </cell>
          <cell r="I125" t="str">
            <v>0133</v>
          </cell>
          <cell r="J125">
            <v>22293856</v>
          </cell>
        </row>
        <row r="126">
          <cell r="A126" t="str">
            <v>0134</v>
          </cell>
          <cell r="B126" t="str">
            <v>Central 3</v>
          </cell>
          <cell r="C126" t="str">
            <v>GHARI SHAHU_x000D_</v>
          </cell>
          <cell r="D126">
            <v>247.98179999999999</v>
          </cell>
          <cell r="F126" t="str">
            <v>0134</v>
          </cell>
          <cell r="G126">
            <v>2327417</v>
          </cell>
          <cell r="I126" t="str">
            <v>0134</v>
          </cell>
          <cell r="J126">
            <v>2074531</v>
          </cell>
        </row>
        <row r="127">
          <cell r="A127" t="str">
            <v>0135</v>
          </cell>
          <cell r="B127" t="str">
            <v>South -2</v>
          </cell>
          <cell r="C127" t="str">
            <v>GULSHAN CHOWRANGI BR</v>
          </cell>
          <cell r="D127">
            <v>147.21029999999999</v>
          </cell>
          <cell r="F127" t="str">
            <v>0135</v>
          </cell>
          <cell r="G127">
            <v>0</v>
          </cell>
          <cell r="I127" t="str">
            <v>0135</v>
          </cell>
          <cell r="J127">
            <v>0</v>
          </cell>
        </row>
        <row r="128">
          <cell r="A128" t="str">
            <v>0136</v>
          </cell>
          <cell r="B128" t="str">
            <v>Central 3</v>
          </cell>
          <cell r="C128" t="str">
            <v>MURIDKAY</v>
          </cell>
          <cell r="D128">
            <v>185.23150000000001</v>
          </cell>
          <cell r="F128" t="str">
            <v>0136</v>
          </cell>
          <cell r="G128">
            <v>465580</v>
          </cell>
          <cell r="I128" t="str">
            <v>0136</v>
          </cell>
          <cell r="J128">
            <v>1248000</v>
          </cell>
        </row>
        <row r="129">
          <cell r="A129" t="str">
            <v>0137</v>
          </cell>
          <cell r="B129" t="str">
            <v>Central 4</v>
          </cell>
          <cell r="C129" t="str">
            <v>MODEL TOWN R LHR_x000D_</v>
          </cell>
          <cell r="D129">
            <v>302.78829999999999</v>
          </cell>
          <cell r="F129" t="str">
            <v>0137</v>
          </cell>
          <cell r="G129">
            <v>17261200</v>
          </cell>
          <cell r="I129" t="str">
            <v>0137</v>
          </cell>
          <cell r="J129">
            <v>4347560</v>
          </cell>
        </row>
        <row r="130">
          <cell r="A130" t="str">
            <v>0138</v>
          </cell>
          <cell r="B130" t="str">
            <v>North 2-1</v>
          </cell>
          <cell r="C130" t="str">
            <v>MANSEHRA BR</v>
          </cell>
          <cell r="D130">
            <v>255.57050000000001</v>
          </cell>
          <cell r="F130" t="str">
            <v>0138</v>
          </cell>
          <cell r="G130">
            <v>5951913</v>
          </cell>
          <cell r="I130" t="str">
            <v>0138</v>
          </cell>
          <cell r="J130">
            <v>10157900</v>
          </cell>
        </row>
        <row r="131">
          <cell r="A131" t="str">
            <v>0139</v>
          </cell>
          <cell r="B131" t="str">
            <v>North 1-1</v>
          </cell>
          <cell r="C131" t="str">
            <v>PSR RD BR.PINDI_x000D_</v>
          </cell>
          <cell r="D131">
            <v>142.80940000000001</v>
          </cell>
          <cell r="F131" t="str">
            <v>0139</v>
          </cell>
          <cell r="G131">
            <v>295340</v>
          </cell>
          <cell r="I131" t="str">
            <v>0139</v>
          </cell>
          <cell r="J131">
            <v>1000340</v>
          </cell>
        </row>
        <row r="132">
          <cell r="A132" t="str">
            <v>0140</v>
          </cell>
          <cell r="B132" t="str">
            <v>North 1-1</v>
          </cell>
          <cell r="C132" t="str">
            <v>AIRPORT RD RWP</v>
          </cell>
          <cell r="D132">
            <v>162.56819999999999</v>
          </cell>
          <cell r="F132" t="str">
            <v>0140</v>
          </cell>
          <cell r="G132">
            <v>0</v>
          </cell>
          <cell r="I132" t="str">
            <v>0140</v>
          </cell>
          <cell r="J132">
            <v>0</v>
          </cell>
        </row>
        <row r="133">
          <cell r="A133" t="str">
            <v>0141</v>
          </cell>
          <cell r="B133" t="str">
            <v>North 1-1</v>
          </cell>
          <cell r="C133" t="str">
            <v>HAZRO BR._x000D_</v>
          </cell>
          <cell r="D133">
            <v>238.4504</v>
          </cell>
          <cell r="F133" t="str">
            <v>0141</v>
          </cell>
          <cell r="G133">
            <v>17400</v>
          </cell>
          <cell r="I133" t="str">
            <v>0141</v>
          </cell>
          <cell r="J133">
            <v>16400</v>
          </cell>
        </row>
        <row r="134">
          <cell r="A134" t="str">
            <v>0142</v>
          </cell>
          <cell r="B134" t="str">
            <v>North 2-1</v>
          </cell>
          <cell r="C134" t="str">
            <v>CHITRAL_x000D_</v>
          </cell>
          <cell r="D134">
            <v>26.731400000000001</v>
          </cell>
          <cell r="F134" t="str">
            <v>0142</v>
          </cell>
          <cell r="G134">
            <v>2919680</v>
          </cell>
          <cell r="I134" t="str">
            <v>0142</v>
          </cell>
          <cell r="J134">
            <v>2643640</v>
          </cell>
        </row>
        <row r="135">
          <cell r="A135" t="str">
            <v>0143</v>
          </cell>
          <cell r="B135" t="str">
            <v>North 2-1</v>
          </cell>
          <cell r="C135" t="str">
            <v>HARIPUR</v>
          </cell>
          <cell r="D135">
            <v>286.57659999999998</v>
          </cell>
          <cell r="F135" t="str">
            <v>0143</v>
          </cell>
          <cell r="G135">
            <v>5928660</v>
          </cell>
          <cell r="I135" t="str">
            <v>0143</v>
          </cell>
          <cell r="J135">
            <v>9893170</v>
          </cell>
        </row>
        <row r="136">
          <cell r="A136" t="str">
            <v>0144</v>
          </cell>
          <cell r="B136" t="str">
            <v>Central 3</v>
          </cell>
          <cell r="C136" t="str">
            <v>KOTLA BR._x000D_</v>
          </cell>
          <cell r="D136">
            <v>103.8519</v>
          </cell>
          <cell r="F136" t="str">
            <v>0144</v>
          </cell>
          <cell r="G136">
            <v>20000</v>
          </cell>
          <cell r="I136" t="str">
            <v>0144</v>
          </cell>
          <cell r="J136">
            <v>20000</v>
          </cell>
        </row>
        <row r="137">
          <cell r="A137" t="str">
            <v>0145</v>
          </cell>
          <cell r="B137" t="str">
            <v>South -1</v>
          </cell>
          <cell r="C137" t="str">
            <v>GARDEN EAST KARACHI_x000D_</v>
          </cell>
          <cell r="D137">
            <v>112.53</v>
          </cell>
          <cell r="F137" t="str">
            <v>0145</v>
          </cell>
          <cell r="G137">
            <v>2539469</v>
          </cell>
          <cell r="I137" t="str">
            <v>0145</v>
          </cell>
          <cell r="J137">
            <v>2539469</v>
          </cell>
        </row>
        <row r="138">
          <cell r="A138" t="str">
            <v>0146</v>
          </cell>
          <cell r="B138" t="str">
            <v>North 1-3</v>
          </cell>
          <cell r="C138" t="str">
            <v>I-8 ISLAMABAD BR_x000D_</v>
          </cell>
          <cell r="D138">
            <v>229.93279999999999</v>
          </cell>
          <cell r="F138" t="str">
            <v>0146</v>
          </cell>
          <cell r="G138">
            <v>5999486</v>
          </cell>
          <cell r="I138" t="str">
            <v>0146</v>
          </cell>
          <cell r="J138">
            <v>5754913</v>
          </cell>
        </row>
        <row r="139">
          <cell r="A139" t="str">
            <v>0147</v>
          </cell>
          <cell r="B139" t="str">
            <v>North 1-3</v>
          </cell>
          <cell r="C139" t="str">
            <v>G-9 ISLAMABAD</v>
          </cell>
          <cell r="D139">
            <v>168.33340000000001</v>
          </cell>
          <cell r="F139" t="str">
            <v>0147</v>
          </cell>
          <cell r="G139">
            <v>4327530</v>
          </cell>
          <cell r="I139" t="str">
            <v>0147</v>
          </cell>
          <cell r="J139">
            <v>2128802</v>
          </cell>
        </row>
        <row r="140">
          <cell r="A140" t="str">
            <v>0148</v>
          </cell>
          <cell r="B140" t="str">
            <v>North 1-3</v>
          </cell>
          <cell r="C140" t="str">
            <v>F-8 ISLAMABAD</v>
          </cell>
          <cell r="D140">
            <v>513.78150000000005</v>
          </cell>
          <cell r="F140" t="str">
            <v>0148</v>
          </cell>
          <cell r="G140">
            <v>6245668</v>
          </cell>
          <cell r="I140" t="str">
            <v>0148</v>
          </cell>
          <cell r="J140">
            <v>6247705</v>
          </cell>
        </row>
        <row r="141">
          <cell r="A141" t="str">
            <v>0149</v>
          </cell>
          <cell r="B141" t="str">
            <v>North 1-1</v>
          </cell>
          <cell r="C141" t="str">
            <v>GUJARKHAN</v>
          </cell>
          <cell r="D141">
            <v>83.278700000000001</v>
          </cell>
          <cell r="F141" t="str">
            <v>0149</v>
          </cell>
          <cell r="G141">
            <v>737000</v>
          </cell>
          <cell r="I141" t="str">
            <v>0149</v>
          </cell>
          <cell r="J141">
            <v>720000</v>
          </cell>
        </row>
        <row r="142">
          <cell r="A142" t="str">
            <v>0150</v>
          </cell>
          <cell r="B142" t="str">
            <v>North 1-3</v>
          </cell>
          <cell r="C142" t="str">
            <v>KALLAR SAIDAN</v>
          </cell>
          <cell r="D142">
            <v>133.55009999999999</v>
          </cell>
          <cell r="F142" t="str">
            <v>0150</v>
          </cell>
          <cell r="G142">
            <v>635000</v>
          </cell>
          <cell r="I142" t="str">
            <v>0150</v>
          </cell>
          <cell r="J142">
            <v>635000</v>
          </cell>
        </row>
        <row r="143">
          <cell r="A143" t="str">
            <v>0151</v>
          </cell>
          <cell r="B143" t="str">
            <v>North 1-2</v>
          </cell>
          <cell r="C143" t="str">
            <v>MIRPUR BR, AJ &amp; KASHMIR_x000D_</v>
          </cell>
          <cell r="D143">
            <v>61.264600000000002</v>
          </cell>
          <cell r="F143" t="str">
            <v>0151</v>
          </cell>
          <cell r="G143">
            <v>1260000</v>
          </cell>
          <cell r="I143" t="str">
            <v>0151</v>
          </cell>
          <cell r="J143">
            <v>1260000</v>
          </cell>
        </row>
        <row r="144">
          <cell r="A144" t="str">
            <v>0152</v>
          </cell>
          <cell r="B144" t="str">
            <v>Zone 1</v>
          </cell>
          <cell r="C144" t="str">
            <v>LARKANA BR._x000D_</v>
          </cell>
          <cell r="D144">
            <v>107.15349999999999</v>
          </cell>
          <cell r="F144" t="str">
            <v>0152</v>
          </cell>
          <cell r="G144">
            <v>10201548</v>
          </cell>
          <cell r="I144" t="str">
            <v>0152</v>
          </cell>
          <cell r="J144">
            <v>8796477</v>
          </cell>
        </row>
        <row r="145">
          <cell r="A145" t="str">
            <v>0153</v>
          </cell>
          <cell r="B145" t="str">
            <v>Central 2</v>
          </cell>
          <cell r="C145" t="str">
            <v>CHAUBURGI</v>
          </cell>
          <cell r="D145">
            <v>167.12540000000001</v>
          </cell>
          <cell r="F145" t="str">
            <v>0153</v>
          </cell>
          <cell r="G145">
            <v>9666954</v>
          </cell>
          <cell r="I145" t="str">
            <v>0153</v>
          </cell>
          <cell r="J145">
            <v>10246707</v>
          </cell>
        </row>
        <row r="146">
          <cell r="A146" t="str">
            <v>0154</v>
          </cell>
          <cell r="B146" t="str">
            <v>North 2-2</v>
          </cell>
          <cell r="C146" t="str">
            <v>BANNU BR._x000D_</v>
          </cell>
          <cell r="D146">
            <v>256.03730000000002</v>
          </cell>
          <cell r="F146" t="str">
            <v>0154</v>
          </cell>
          <cell r="G146">
            <v>1162020</v>
          </cell>
          <cell r="I146" t="str">
            <v>0154</v>
          </cell>
          <cell r="J146">
            <v>1628170</v>
          </cell>
        </row>
        <row r="147">
          <cell r="A147" t="str">
            <v>0155</v>
          </cell>
          <cell r="B147" t="str">
            <v>South -3</v>
          </cell>
          <cell r="C147" t="str">
            <v>DEFENCE PHASE-IV</v>
          </cell>
          <cell r="D147">
            <v>179.988</v>
          </cell>
          <cell r="F147" t="str">
            <v>0155</v>
          </cell>
          <cell r="G147">
            <v>2469260</v>
          </cell>
          <cell r="I147" t="str">
            <v>0155</v>
          </cell>
          <cell r="J147">
            <v>2469260</v>
          </cell>
        </row>
        <row r="148">
          <cell r="A148" t="str">
            <v>0156</v>
          </cell>
          <cell r="B148" t="str">
            <v>Central 1</v>
          </cell>
          <cell r="C148" t="str">
            <v>DHA 2 LHR BR_x000D_</v>
          </cell>
          <cell r="D148">
            <v>150.19130000000001</v>
          </cell>
          <cell r="F148" t="str">
            <v>0156</v>
          </cell>
          <cell r="G148">
            <v>540314</v>
          </cell>
          <cell r="I148" t="str">
            <v>0156</v>
          </cell>
          <cell r="J148">
            <v>2227714</v>
          </cell>
        </row>
        <row r="149">
          <cell r="A149" t="str">
            <v>0157</v>
          </cell>
          <cell r="B149" t="str">
            <v>Central 4</v>
          </cell>
          <cell r="C149" t="str">
            <v>CAVELRY GROUND LAHORE</v>
          </cell>
          <cell r="D149">
            <v>174.67410000000001</v>
          </cell>
          <cell r="F149" t="str">
            <v>0157</v>
          </cell>
          <cell r="G149">
            <v>19113482.460000001</v>
          </cell>
          <cell r="I149" t="str">
            <v>0157</v>
          </cell>
          <cell r="J149">
            <v>10898223.710000001</v>
          </cell>
        </row>
        <row r="150">
          <cell r="A150" t="str">
            <v>0158</v>
          </cell>
          <cell r="B150" t="str">
            <v>Central 5</v>
          </cell>
          <cell r="C150" t="str">
            <v>SHEIKHUPURA RD FSD</v>
          </cell>
          <cell r="D150">
            <v>145.727</v>
          </cell>
          <cell r="F150" t="str">
            <v>0158</v>
          </cell>
          <cell r="G150">
            <v>3007748</v>
          </cell>
          <cell r="I150" t="str">
            <v>0158</v>
          </cell>
          <cell r="J150">
            <v>5767260</v>
          </cell>
        </row>
        <row r="151">
          <cell r="A151" t="str">
            <v>0159</v>
          </cell>
          <cell r="B151" t="str">
            <v>Central 5</v>
          </cell>
          <cell r="C151" t="str">
            <v>JARANWALA</v>
          </cell>
          <cell r="D151">
            <v>118.2141</v>
          </cell>
          <cell r="F151" t="str">
            <v>0159</v>
          </cell>
          <cell r="G151">
            <v>731400</v>
          </cell>
          <cell r="I151" t="str">
            <v>0159</v>
          </cell>
          <cell r="J151">
            <v>731400</v>
          </cell>
        </row>
        <row r="152">
          <cell r="A152" t="str">
            <v>0160</v>
          </cell>
          <cell r="B152" t="str">
            <v>Central 5</v>
          </cell>
          <cell r="C152" t="str">
            <v>GOJRA</v>
          </cell>
          <cell r="D152">
            <v>162.88630000000001</v>
          </cell>
          <cell r="F152" t="str">
            <v>0160</v>
          </cell>
          <cell r="G152">
            <v>3806620</v>
          </cell>
          <cell r="I152" t="str">
            <v>0160</v>
          </cell>
          <cell r="J152">
            <v>5745880</v>
          </cell>
        </row>
        <row r="153">
          <cell r="A153" t="str">
            <v>0161</v>
          </cell>
          <cell r="B153" t="str">
            <v>Central 4</v>
          </cell>
          <cell r="C153" t="str">
            <v>MAIN MARKET LAHORE</v>
          </cell>
          <cell r="D153">
            <v>250.4811</v>
          </cell>
          <cell r="F153" t="str">
            <v>0161</v>
          </cell>
          <cell r="G153">
            <v>3698515</v>
          </cell>
          <cell r="I153" t="str">
            <v>0161</v>
          </cell>
          <cell r="J153">
            <v>3679265</v>
          </cell>
        </row>
        <row r="154">
          <cell r="A154" t="str">
            <v>0162</v>
          </cell>
          <cell r="B154" t="str">
            <v>South -3</v>
          </cell>
          <cell r="C154" t="str">
            <v>GIZRI</v>
          </cell>
          <cell r="D154">
            <v>1161.9196999999999</v>
          </cell>
          <cell r="F154" t="str">
            <v>0162</v>
          </cell>
          <cell r="G154">
            <v>0</v>
          </cell>
          <cell r="I154" t="str">
            <v>0162</v>
          </cell>
          <cell r="J154">
            <v>241716108.29000002</v>
          </cell>
        </row>
        <row r="155">
          <cell r="A155" t="str">
            <v>0163</v>
          </cell>
          <cell r="B155" t="str">
            <v>South -3</v>
          </cell>
          <cell r="C155" t="str">
            <v>SEA VIEW</v>
          </cell>
          <cell r="D155">
            <v>1161.9196999999999</v>
          </cell>
          <cell r="F155" t="str">
            <v>0163</v>
          </cell>
          <cell r="G155">
            <v>0</v>
          </cell>
          <cell r="I155" t="str">
            <v>0163</v>
          </cell>
          <cell r="J155">
            <v>241716108.29000002</v>
          </cell>
        </row>
        <row r="156">
          <cell r="A156" t="str">
            <v>0164</v>
          </cell>
          <cell r="B156" t="str">
            <v>Central 6</v>
          </cell>
          <cell r="C156" t="str">
            <v>BHAWALNAGAR</v>
          </cell>
          <cell r="D156">
            <v>188.46709999999999</v>
          </cell>
          <cell r="F156" t="str">
            <v>0164</v>
          </cell>
          <cell r="G156">
            <v>1672886</v>
          </cell>
          <cell r="I156" t="str">
            <v>0164</v>
          </cell>
          <cell r="J156">
            <v>3063470</v>
          </cell>
        </row>
        <row r="157">
          <cell r="A157" t="str">
            <v>0165</v>
          </cell>
          <cell r="B157" t="str">
            <v>Central 6</v>
          </cell>
          <cell r="C157" t="str">
            <v>KHANPUR</v>
          </cell>
          <cell r="D157">
            <v>86.805300000000003</v>
          </cell>
          <cell r="F157" t="str">
            <v>0165</v>
          </cell>
          <cell r="G157">
            <v>5123750</v>
          </cell>
          <cell r="I157" t="str">
            <v>0165</v>
          </cell>
          <cell r="J157">
            <v>4975510</v>
          </cell>
        </row>
        <row r="158">
          <cell r="A158" t="str">
            <v>0166</v>
          </cell>
          <cell r="B158" t="str">
            <v>Central 6</v>
          </cell>
          <cell r="C158" t="str">
            <v>MUZAFFARGARH</v>
          </cell>
          <cell r="D158">
            <v>132.44130000000001</v>
          </cell>
          <cell r="F158" t="str">
            <v>0166</v>
          </cell>
          <cell r="G158">
            <v>5441250</v>
          </cell>
          <cell r="I158" t="str">
            <v>0166</v>
          </cell>
          <cell r="J158">
            <v>9236650</v>
          </cell>
        </row>
        <row r="159">
          <cell r="A159" t="str">
            <v>0167</v>
          </cell>
          <cell r="B159" t="str">
            <v>South -2</v>
          </cell>
          <cell r="C159" t="str">
            <v>GOAL MARKET NAZIMABAD</v>
          </cell>
          <cell r="D159">
            <v>96.517399999999995</v>
          </cell>
          <cell r="F159" t="str">
            <v>0167</v>
          </cell>
          <cell r="G159">
            <v>205000</v>
          </cell>
          <cell r="I159" t="str">
            <v>0167</v>
          </cell>
          <cell r="J159">
            <v>305000</v>
          </cell>
        </row>
        <row r="160">
          <cell r="A160" t="str">
            <v>0168</v>
          </cell>
          <cell r="B160" t="str">
            <v>Central 3</v>
          </cell>
          <cell r="C160" t="str">
            <v>WAZIRABAD</v>
          </cell>
          <cell r="D160">
            <v>143.334</v>
          </cell>
          <cell r="F160" t="str">
            <v>0168</v>
          </cell>
          <cell r="G160">
            <v>327300</v>
          </cell>
          <cell r="I160" t="str">
            <v>0168</v>
          </cell>
          <cell r="J160">
            <v>1331300</v>
          </cell>
        </row>
        <row r="161">
          <cell r="A161" t="str">
            <v>0169</v>
          </cell>
          <cell r="B161" t="str">
            <v>Central 3</v>
          </cell>
          <cell r="C161" t="str">
            <v>DINGA</v>
          </cell>
          <cell r="D161">
            <v>102.38760000000001</v>
          </cell>
          <cell r="F161" t="str">
            <v>0169</v>
          </cell>
          <cell r="G161">
            <v>3850</v>
          </cell>
          <cell r="I161" t="str">
            <v>0169</v>
          </cell>
          <cell r="J161">
            <v>3850</v>
          </cell>
        </row>
        <row r="162">
          <cell r="A162" t="str">
            <v>0170</v>
          </cell>
          <cell r="B162" t="str">
            <v>Zone 2</v>
          </cell>
          <cell r="C162" t="str">
            <v>DOUBLE ROAD</v>
          </cell>
          <cell r="D162">
            <v>301.04579999999999</v>
          </cell>
          <cell r="F162" t="str">
            <v>0170</v>
          </cell>
          <cell r="G162">
            <v>3261804</v>
          </cell>
          <cell r="I162" t="str">
            <v>0170</v>
          </cell>
          <cell r="J162">
            <v>3544204</v>
          </cell>
        </row>
        <row r="163">
          <cell r="A163" t="str">
            <v>0171</v>
          </cell>
          <cell r="B163" t="str">
            <v>South -2</v>
          </cell>
          <cell r="C163" t="str">
            <v>SADDAR</v>
          </cell>
          <cell r="D163">
            <v>116.03360000000001</v>
          </cell>
          <cell r="F163" t="str">
            <v>0171</v>
          </cell>
          <cell r="G163">
            <v>268040</v>
          </cell>
          <cell r="I163" t="str">
            <v>0171</v>
          </cell>
          <cell r="J163">
            <v>381713</v>
          </cell>
        </row>
        <row r="164">
          <cell r="A164" t="str">
            <v>0172</v>
          </cell>
          <cell r="B164" t="str">
            <v>Zone 3</v>
          </cell>
          <cell r="C164" t="str">
            <v>MIANWALI</v>
          </cell>
          <cell r="D164">
            <v>39.082700000000003</v>
          </cell>
          <cell r="F164" t="str">
            <v>0172</v>
          </cell>
          <cell r="G164">
            <v>2071676</v>
          </cell>
          <cell r="I164" t="str">
            <v>0172</v>
          </cell>
          <cell r="J164">
            <v>8444536</v>
          </cell>
        </row>
        <row r="165">
          <cell r="A165" t="str">
            <v>0173</v>
          </cell>
          <cell r="B165" t="str">
            <v>Zone 3</v>
          </cell>
          <cell r="C165" t="str">
            <v>JOHARABAD</v>
          </cell>
          <cell r="D165">
            <v>77.724699999999999</v>
          </cell>
          <cell r="F165" t="str">
            <v>0173</v>
          </cell>
          <cell r="G165">
            <v>699820</v>
          </cell>
          <cell r="I165" t="str">
            <v>0173</v>
          </cell>
          <cell r="J165">
            <v>2832334</v>
          </cell>
        </row>
        <row r="166">
          <cell r="A166" t="str">
            <v>0174</v>
          </cell>
          <cell r="B166" t="str">
            <v>Central 2</v>
          </cell>
          <cell r="C166" t="str">
            <v>MANDI FAIZABAD</v>
          </cell>
          <cell r="D166">
            <v>59.474400000000003</v>
          </cell>
          <cell r="F166" t="str">
            <v>0174</v>
          </cell>
          <cell r="G166">
            <v>804700</v>
          </cell>
          <cell r="I166" t="str">
            <v>0174</v>
          </cell>
          <cell r="J166">
            <v>4073420</v>
          </cell>
        </row>
        <row r="167">
          <cell r="A167" t="str">
            <v>0175</v>
          </cell>
          <cell r="B167" t="str">
            <v>Central 3</v>
          </cell>
          <cell r="C167" t="str">
            <v>MONTGOMERY ROAD</v>
          </cell>
          <cell r="D167">
            <v>162.24680000000001</v>
          </cell>
          <cell r="F167" t="str">
            <v>0175</v>
          </cell>
          <cell r="G167">
            <v>1062271</v>
          </cell>
          <cell r="I167" t="str">
            <v>0175</v>
          </cell>
          <cell r="J167">
            <v>1179250</v>
          </cell>
        </row>
        <row r="168">
          <cell r="A168" t="str">
            <v>0176</v>
          </cell>
          <cell r="B168" t="str">
            <v>Zone 3</v>
          </cell>
          <cell r="C168" t="str">
            <v>BHERA</v>
          </cell>
          <cell r="D168">
            <v>14.827500000000001</v>
          </cell>
          <cell r="F168" t="str">
            <v>0176</v>
          </cell>
          <cell r="G168">
            <v>485360</v>
          </cell>
          <cell r="I168" t="str">
            <v>0176</v>
          </cell>
          <cell r="J168">
            <v>1018750</v>
          </cell>
        </row>
        <row r="169">
          <cell r="A169" t="str">
            <v>0177</v>
          </cell>
          <cell r="B169" t="str">
            <v>North 1-3</v>
          </cell>
          <cell r="C169" t="str">
            <v>KHANNA</v>
          </cell>
          <cell r="D169">
            <v>231.7294</v>
          </cell>
          <cell r="F169" t="str">
            <v>0177</v>
          </cell>
          <cell r="G169">
            <v>1847083</v>
          </cell>
          <cell r="I169" t="str">
            <v>0177</v>
          </cell>
          <cell r="J169">
            <v>1818083</v>
          </cell>
        </row>
        <row r="170">
          <cell r="A170" t="str">
            <v>0178</v>
          </cell>
          <cell r="B170" t="str">
            <v>North 1-2</v>
          </cell>
          <cell r="C170" t="str">
            <v>TALAGANG</v>
          </cell>
          <cell r="D170">
            <v>126.64449999999999</v>
          </cell>
          <cell r="F170" t="str">
            <v>0178</v>
          </cell>
          <cell r="G170">
            <v>362700</v>
          </cell>
          <cell r="I170" t="str">
            <v>0178</v>
          </cell>
          <cell r="J170">
            <v>788940</v>
          </cell>
        </row>
        <row r="171">
          <cell r="A171" t="str">
            <v>0179</v>
          </cell>
          <cell r="B171" t="str">
            <v>North 2-1</v>
          </cell>
          <cell r="C171" t="str">
            <v>OGHI</v>
          </cell>
          <cell r="D171">
            <v>100.4569</v>
          </cell>
          <cell r="F171" t="str">
            <v>0179</v>
          </cell>
          <cell r="G171">
            <v>225800</v>
          </cell>
          <cell r="I171" t="str">
            <v>0179</v>
          </cell>
          <cell r="J171">
            <v>219700</v>
          </cell>
        </row>
        <row r="172">
          <cell r="A172" t="str">
            <v>0180</v>
          </cell>
          <cell r="B172" t="str">
            <v>North 1-2</v>
          </cell>
          <cell r="C172" t="str">
            <v>MURREE</v>
          </cell>
          <cell r="D172">
            <v>38.615000000000002</v>
          </cell>
          <cell r="F172" t="str">
            <v>0180</v>
          </cell>
          <cell r="G172">
            <v>0</v>
          </cell>
          <cell r="I172" t="str">
            <v>0180</v>
          </cell>
          <cell r="J172">
            <v>0</v>
          </cell>
        </row>
        <row r="173">
          <cell r="A173" t="str">
            <v>0181</v>
          </cell>
          <cell r="B173" t="str">
            <v>Zone 1</v>
          </cell>
          <cell r="C173" t="str">
            <v>GRAIN MARKET HYD</v>
          </cell>
          <cell r="D173">
            <v>175.75210000000001</v>
          </cell>
          <cell r="F173" t="str">
            <v>0181</v>
          </cell>
          <cell r="G173">
            <v>2138000</v>
          </cell>
          <cell r="I173" t="str">
            <v>0181</v>
          </cell>
          <cell r="J173">
            <v>1724000</v>
          </cell>
        </row>
        <row r="174">
          <cell r="A174" t="str">
            <v>0182</v>
          </cell>
          <cell r="B174" t="str">
            <v>South -3</v>
          </cell>
          <cell r="C174" t="str">
            <v>JAMSHED ROAD</v>
          </cell>
          <cell r="D174">
            <v>135.3827</v>
          </cell>
          <cell r="F174" t="str">
            <v>0182</v>
          </cell>
          <cell r="G174">
            <v>0</v>
          </cell>
          <cell r="I174" t="str">
            <v>0182</v>
          </cell>
          <cell r="J174">
            <v>0</v>
          </cell>
        </row>
        <row r="175">
          <cell r="A175" t="str">
            <v>0183</v>
          </cell>
          <cell r="B175" t="str">
            <v>Zone 2</v>
          </cell>
          <cell r="C175" t="str">
            <v>MODEL TOWN QUETTA</v>
          </cell>
          <cell r="D175">
            <v>173.42349999999999</v>
          </cell>
          <cell r="F175" t="str">
            <v>0183</v>
          </cell>
          <cell r="G175">
            <v>19160336</v>
          </cell>
          <cell r="I175" t="str">
            <v>0183</v>
          </cell>
          <cell r="J175">
            <v>12679338</v>
          </cell>
        </row>
        <row r="176">
          <cell r="A176" t="str">
            <v>0184</v>
          </cell>
          <cell r="B176" t="str">
            <v>Central 6</v>
          </cell>
          <cell r="C176" t="str">
            <v>KHANEWAL</v>
          </cell>
          <cell r="D176">
            <v>99.206999999999994</v>
          </cell>
          <cell r="F176" t="str">
            <v>0184</v>
          </cell>
          <cell r="G176">
            <v>1142250</v>
          </cell>
          <cell r="I176" t="str">
            <v>0184</v>
          </cell>
          <cell r="J176">
            <v>702120</v>
          </cell>
        </row>
        <row r="177">
          <cell r="A177" t="str">
            <v>0185</v>
          </cell>
          <cell r="B177" t="str">
            <v>Central 6</v>
          </cell>
          <cell r="C177" t="str">
            <v>SHAH RUKN-E-ALAM</v>
          </cell>
          <cell r="D177">
            <v>129.12549999999999</v>
          </cell>
          <cell r="F177" t="str">
            <v>0185</v>
          </cell>
          <cell r="G177">
            <v>605140</v>
          </cell>
          <cell r="I177" t="str">
            <v>0185</v>
          </cell>
          <cell r="J177">
            <v>2364616</v>
          </cell>
        </row>
        <row r="178">
          <cell r="A178" t="str">
            <v>0186</v>
          </cell>
          <cell r="B178" t="str">
            <v>North 2-2</v>
          </cell>
          <cell r="C178" t="str">
            <v>PEEPAL MANDI</v>
          </cell>
          <cell r="D178">
            <v>269.59519999999998</v>
          </cell>
          <cell r="F178" t="str">
            <v>0186</v>
          </cell>
          <cell r="G178">
            <v>0</v>
          </cell>
          <cell r="I178" t="str">
            <v>0186</v>
          </cell>
          <cell r="J178">
            <v>0</v>
          </cell>
        </row>
        <row r="179">
          <cell r="A179" t="str">
            <v>0187</v>
          </cell>
          <cell r="B179" t="str">
            <v>Central 5</v>
          </cell>
          <cell r="C179" t="str">
            <v>BABAR CHOWK</v>
          </cell>
          <cell r="D179">
            <v>77.467399999999998</v>
          </cell>
          <cell r="F179" t="str">
            <v>0187</v>
          </cell>
          <cell r="G179">
            <v>673000</v>
          </cell>
          <cell r="I179" t="str">
            <v>0187</v>
          </cell>
          <cell r="J179">
            <v>634000</v>
          </cell>
        </row>
        <row r="180">
          <cell r="A180" t="str">
            <v>0188</v>
          </cell>
          <cell r="B180" t="str">
            <v>Central 5</v>
          </cell>
          <cell r="C180" t="str">
            <v>PIR MAHAL</v>
          </cell>
          <cell r="D180">
            <v>46.322099999999999</v>
          </cell>
          <cell r="F180" t="str">
            <v>0188</v>
          </cell>
          <cell r="G180">
            <v>80000</v>
          </cell>
          <cell r="I180" t="str">
            <v>0188</v>
          </cell>
          <cell r="J180">
            <v>0</v>
          </cell>
        </row>
        <row r="181">
          <cell r="A181" t="str">
            <v>0189</v>
          </cell>
          <cell r="B181" t="str">
            <v>South -2</v>
          </cell>
          <cell r="C181" t="str">
            <v>JOHAR CHOWNGI</v>
          </cell>
          <cell r="D181">
            <v>23.570499999999999</v>
          </cell>
          <cell r="F181" t="str">
            <v>0189</v>
          </cell>
          <cell r="G181">
            <v>100000</v>
          </cell>
          <cell r="I181" t="str">
            <v>0189</v>
          </cell>
          <cell r="J181">
            <v>100000</v>
          </cell>
        </row>
        <row r="182">
          <cell r="A182" t="str">
            <v>0190</v>
          </cell>
          <cell r="B182" t="str">
            <v>North 1-2</v>
          </cell>
          <cell r="C182" t="str">
            <v>DINA</v>
          </cell>
          <cell r="D182">
            <v>92.47</v>
          </cell>
          <cell r="F182" t="str">
            <v>0190</v>
          </cell>
          <cell r="G182">
            <v>821000</v>
          </cell>
          <cell r="I182" t="str">
            <v>0190</v>
          </cell>
          <cell r="J182">
            <v>811000</v>
          </cell>
        </row>
        <row r="183">
          <cell r="A183" t="str">
            <v>0191</v>
          </cell>
          <cell r="B183" t="str">
            <v>North 1-1</v>
          </cell>
          <cell r="C183" t="str">
            <v>KAMRA</v>
          </cell>
          <cell r="D183">
            <v>144.51769999999999</v>
          </cell>
          <cell r="F183" t="str">
            <v>0191</v>
          </cell>
          <cell r="G183">
            <v>5242100</v>
          </cell>
          <cell r="I183" t="str">
            <v>0191</v>
          </cell>
          <cell r="J183">
            <v>4532000</v>
          </cell>
        </row>
        <row r="184">
          <cell r="A184" t="str">
            <v>0192</v>
          </cell>
          <cell r="B184" t="str">
            <v>Central 4</v>
          </cell>
          <cell r="C184" t="str">
            <v>DEEPAL PUR</v>
          </cell>
          <cell r="D184">
            <v>131.8639</v>
          </cell>
          <cell r="F184" t="str">
            <v>0192</v>
          </cell>
          <cell r="G184">
            <v>1199140</v>
          </cell>
          <cell r="I184" t="str">
            <v>0192</v>
          </cell>
          <cell r="J184">
            <v>1405135</v>
          </cell>
        </row>
        <row r="185">
          <cell r="A185" t="str">
            <v>0193</v>
          </cell>
          <cell r="B185" t="str">
            <v>North 1-1</v>
          </cell>
          <cell r="C185" t="str">
            <v>FATEH JANG</v>
          </cell>
          <cell r="D185">
            <v>83.966300000000004</v>
          </cell>
          <cell r="F185" t="str">
            <v>0193</v>
          </cell>
          <cell r="G185">
            <v>82500</v>
          </cell>
          <cell r="I185" t="str">
            <v>0193</v>
          </cell>
          <cell r="J185">
            <v>20500</v>
          </cell>
        </row>
        <row r="186">
          <cell r="A186" t="str">
            <v>0194</v>
          </cell>
          <cell r="B186" t="str">
            <v>South -2</v>
          </cell>
          <cell r="C186" t="str">
            <v>NAGAN CHOWARANGI</v>
          </cell>
          <cell r="D186">
            <v>62.210299999999997</v>
          </cell>
          <cell r="F186" t="str">
            <v>0194</v>
          </cell>
          <cell r="G186">
            <v>150000</v>
          </cell>
          <cell r="I186" t="str">
            <v>0194</v>
          </cell>
          <cell r="J186">
            <v>9900000</v>
          </cell>
        </row>
        <row r="187">
          <cell r="A187" t="str">
            <v>0195</v>
          </cell>
          <cell r="B187" t="str">
            <v>Central 4</v>
          </cell>
          <cell r="C187" t="str">
            <v>JOHAR TOWN</v>
          </cell>
          <cell r="D187">
            <v>173.94370000000001</v>
          </cell>
          <cell r="F187" t="str">
            <v>0195</v>
          </cell>
          <cell r="G187">
            <v>5536745</v>
          </cell>
          <cell r="I187" t="str">
            <v>0195</v>
          </cell>
          <cell r="J187">
            <v>6193131</v>
          </cell>
        </row>
        <row r="188">
          <cell r="A188" t="str">
            <v>0196</v>
          </cell>
          <cell r="B188" t="str">
            <v>South -2</v>
          </cell>
          <cell r="C188" t="str">
            <v>GULSHAN-E-HADEED</v>
          </cell>
          <cell r="D188">
            <v>24.532399999999999</v>
          </cell>
          <cell r="F188" t="str">
            <v>0196</v>
          </cell>
          <cell r="G188">
            <v>1426800</v>
          </cell>
          <cell r="I188" t="str">
            <v>0196</v>
          </cell>
          <cell r="J188">
            <v>1676800</v>
          </cell>
        </row>
        <row r="189">
          <cell r="A189" t="str">
            <v>0197</v>
          </cell>
          <cell r="B189" t="str">
            <v>Central 6</v>
          </cell>
          <cell r="C189" t="str">
            <v>LODHRAN</v>
          </cell>
          <cell r="D189">
            <v>65.872100000000003</v>
          </cell>
          <cell r="F189" t="str">
            <v>0197</v>
          </cell>
          <cell r="G189">
            <v>4914000</v>
          </cell>
          <cell r="I189" t="str">
            <v>0197</v>
          </cell>
          <cell r="J189">
            <v>2656500</v>
          </cell>
        </row>
        <row r="190">
          <cell r="A190" t="str">
            <v>0198</v>
          </cell>
          <cell r="B190" t="str">
            <v>Central 6</v>
          </cell>
          <cell r="C190" t="str">
            <v>BOSAN ROAD</v>
          </cell>
          <cell r="D190">
            <v>46.929099999999998</v>
          </cell>
          <cell r="F190" t="str">
            <v>0198</v>
          </cell>
          <cell r="G190">
            <v>0</v>
          </cell>
          <cell r="I190" t="str">
            <v>0198</v>
          </cell>
          <cell r="J190">
            <v>0</v>
          </cell>
        </row>
        <row r="191">
          <cell r="A191" t="str">
            <v>0199</v>
          </cell>
          <cell r="B191" t="str">
            <v>Central 6</v>
          </cell>
          <cell r="C191" t="str">
            <v>JAHANIA</v>
          </cell>
          <cell r="D191">
            <v>55.258400000000002</v>
          </cell>
          <cell r="F191" t="str">
            <v>0199</v>
          </cell>
          <cell r="G191">
            <v>0</v>
          </cell>
          <cell r="I191" t="str">
            <v>0199</v>
          </cell>
          <cell r="J191">
            <v>0</v>
          </cell>
        </row>
        <row r="192">
          <cell r="A192" t="str">
            <v>0200</v>
          </cell>
          <cell r="B192" t="str">
            <v>North 1-2</v>
          </cell>
          <cell r="C192" t="str">
            <v>CHWOK SADIQABAD RWP</v>
          </cell>
          <cell r="D192">
            <v>128.97380000000001</v>
          </cell>
          <cell r="F192" t="str">
            <v>0200</v>
          </cell>
          <cell r="G192">
            <v>4000</v>
          </cell>
          <cell r="I192" t="str">
            <v>0200</v>
          </cell>
          <cell r="J192">
            <v>500</v>
          </cell>
        </row>
        <row r="193">
          <cell r="A193" t="str">
            <v>0201</v>
          </cell>
          <cell r="B193" t="str">
            <v>North 1-2</v>
          </cell>
          <cell r="C193" t="str">
            <v>KAHUTTA</v>
          </cell>
          <cell r="D193">
            <v>104.7548</v>
          </cell>
          <cell r="F193" t="str">
            <v>0201</v>
          </cell>
          <cell r="G193">
            <v>0</v>
          </cell>
          <cell r="I193" t="str">
            <v>0201</v>
          </cell>
          <cell r="J193">
            <v>131020</v>
          </cell>
        </row>
        <row r="194">
          <cell r="A194" t="str">
            <v>0202</v>
          </cell>
          <cell r="B194" t="str">
            <v>North 2-2</v>
          </cell>
          <cell r="C194" t="str">
            <v>BHAKKAR</v>
          </cell>
          <cell r="D194">
            <v>87.779799999999994</v>
          </cell>
          <cell r="F194" t="str">
            <v>0202</v>
          </cell>
          <cell r="G194">
            <v>5562745</v>
          </cell>
          <cell r="I194" t="str">
            <v>0202</v>
          </cell>
          <cell r="J194">
            <v>3215530</v>
          </cell>
        </row>
        <row r="195">
          <cell r="A195" t="str">
            <v>0203</v>
          </cell>
          <cell r="B195" t="str">
            <v>Central 3</v>
          </cell>
          <cell r="C195" t="str">
            <v>SATELLITE TOWN, GUJRANWALA</v>
          </cell>
          <cell r="D195">
            <v>119.9734</v>
          </cell>
          <cell r="F195" t="str">
            <v>0203</v>
          </cell>
          <cell r="G195">
            <v>105000</v>
          </cell>
          <cell r="I195" t="str">
            <v>0203</v>
          </cell>
          <cell r="J195">
            <v>287000</v>
          </cell>
        </row>
        <row r="196">
          <cell r="A196" t="str">
            <v>0204</v>
          </cell>
          <cell r="B196" t="str">
            <v>North 2-2</v>
          </cell>
          <cell r="C196" t="str">
            <v>Jamrud Road</v>
          </cell>
          <cell r="D196">
            <v>135.75200000000001</v>
          </cell>
          <cell r="F196" t="str">
            <v>0204</v>
          </cell>
          <cell r="G196">
            <v>2642050</v>
          </cell>
          <cell r="I196" t="str">
            <v>0204</v>
          </cell>
          <cell r="J196">
            <v>1453220</v>
          </cell>
        </row>
        <row r="197">
          <cell r="A197" t="str">
            <v>0205</v>
          </cell>
          <cell r="B197" t="str">
            <v>North 1-1</v>
          </cell>
          <cell r="C197" t="str">
            <v>TAXILA</v>
          </cell>
          <cell r="D197">
            <v>99.698499999999996</v>
          </cell>
          <cell r="F197" t="str">
            <v>0205</v>
          </cell>
          <cell r="G197">
            <v>1323900</v>
          </cell>
          <cell r="I197" t="str">
            <v>0205</v>
          </cell>
          <cell r="J197">
            <v>1469507</v>
          </cell>
        </row>
        <row r="198">
          <cell r="A198" t="str">
            <v>0206</v>
          </cell>
          <cell r="B198" t="str">
            <v>North 1-3</v>
          </cell>
          <cell r="C198" t="str">
            <v>GRAIN MARKET ISLAMABAD</v>
          </cell>
          <cell r="D198">
            <v>135.9898</v>
          </cell>
          <cell r="F198" t="str">
            <v>0206</v>
          </cell>
          <cell r="G198">
            <v>2700000</v>
          </cell>
          <cell r="I198" t="str">
            <v>0206</v>
          </cell>
          <cell r="J198">
            <v>50000</v>
          </cell>
        </row>
        <row r="199">
          <cell r="A199" t="str">
            <v>0207</v>
          </cell>
          <cell r="B199" t="str">
            <v>North 1-3</v>
          </cell>
          <cell r="C199" t="str">
            <v>BHARA KAHU</v>
          </cell>
          <cell r="D199">
            <v>127.6589</v>
          </cell>
          <cell r="F199" t="str">
            <v>0207</v>
          </cell>
          <cell r="G199">
            <v>0</v>
          </cell>
          <cell r="I199" t="str">
            <v>0207</v>
          </cell>
          <cell r="J199">
            <v>0</v>
          </cell>
        </row>
        <row r="200">
          <cell r="A200" t="str">
            <v>0208</v>
          </cell>
          <cell r="B200" t="str">
            <v>Central 5</v>
          </cell>
          <cell r="C200" t="str">
            <v>SAMANABAD</v>
          </cell>
          <cell r="D200">
            <v>85.401799999999994</v>
          </cell>
          <cell r="F200" t="str">
            <v>0208</v>
          </cell>
          <cell r="G200">
            <v>0</v>
          </cell>
          <cell r="I200" t="str">
            <v>0208</v>
          </cell>
          <cell r="J200">
            <v>290000</v>
          </cell>
        </row>
        <row r="201">
          <cell r="A201" t="str">
            <v>0209</v>
          </cell>
          <cell r="B201" t="str">
            <v>Central 5</v>
          </cell>
          <cell r="C201" t="str">
            <v>KHURRIANWALA</v>
          </cell>
          <cell r="D201">
            <v>15.494300000000001</v>
          </cell>
          <cell r="F201" t="str">
            <v>0209</v>
          </cell>
          <cell r="G201">
            <v>0</v>
          </cell>
          <cell r="I201" t="str">
            <v>0209</v>
          </cell>
          <cell r="J201">
            <v>100000</v>
          </cell>
        </row>
        <row r="202">
          <cell r="A202" t="str">
            <v>0210</v>
          </cell>
          <cell r="B202" t="str">
            <v>Central 4</v>
          </cell>
          <cell r="C202" t="str">
            <v>Wapda Town</v>
          </cell>
          <cell r="D202">
            <v>36.238599999999998</v>
          </cell>
          <cell r="F202" t="str">
            <v>0210</v>
          </cell>
          <cell r="G202">
            <v>713440</v>
          </cell>
          <cell r="I202" t="str">
            <v>0210</v>
          </cell>
          <cell r="J202">
            <v>5104548</v>
          </cell>
        </row>
        <row r="203">
          <cell r="A203" t="str">
            <v>0211</v>
          </cell>
          <cell r="B203" t="str">
            <v>North 2-2</v>
          </cell>
          <cell r="C203" t="str">
            <v>SKARDU</v>
          </cell>
          <cell r="D203">
            <v>85.963399999999993</v>
          </cell>
          <cell r="F203" t="str">
            <v>0211</v>
          </cell>
          <cell r="G203">
            <v>416400</v>
          </cell>
          <cell r="I203" t="str">
            <v>0211</v>
          </cell>
          <cell r="J203">
            <v>266420</v>
          </cell>
        </row>
        <row r="204">
          <cell r="A204" t="str">
            <v>0212</v>
          </cell>
          <cell r="B204" t="str">
            <v>South -1</v>
          </cell>
          <cell r="C204" t="str">
            <v>AKBER ROAD</v>
          </cell>
          <cell r="D204">
            <v>127.55029999999999</v>
          </cell>
          <cell r="F204" t="str">
            <v>0212</v>
          </cell>
          <cell r="G204">
            <v>3643581</v>
          </cell>
          <cell r="I204" t="str">
            <v>0212</v>
          </cell>
          <cell r="J204">
            <v>1650912</v>
          </cell>
        </row>
        <row r="205">
          <cell r="A205" t="str">
            <v>0213</v>
          </cell>
          <cell r="B205" t="str">
            <v>South -1</v>
          </cell>
          <cell r="C205" t="str">
            <v>STEEL MARKET</v>
          </cell>
          <cell r="D205">
            <v>260.84980000000002</v>
          </cell>
          <cell r="F205" t="str">
            <v>0213</v>
          </cell>
          <cell r="G205">
            <v>72800</v>
          </cell>
          <cell r="I205" t="str">
            <v>0213</v>
          </cell>
          <cell r="J205">
            <v>7475304</v>
          </cell>
        </row>
        <row r="206">
          <cell r="A206" t="str">
            <v>0214</v>
          </cell>
          <cell r="B206" t="str">
            <v>Zone 3</v>
          </cell>
          <cell r="C206" t="str">
            <v>MANDI QUIADABAD</v>
          </cell>
          <cell r="D206">
            <v>55.261000000000003</v>
          </cell>
          <cell r="F206" t="str">
            <v>0214</v>
          </cell>
          <cell r="G206">
            <v>187200</v>
          </cell>
          <cell r="I206" t="str">
            <v>0214</v>
          </cell>
          <cell r="J206">
            <v>180500</v>
          </cell>
        </row>
        <row r="207">
          <cell r="A207" t="str">
            <v>0215</v>
          </cell>
          <cell r="B207" t="str">
            <v>Zone 3</v>
          </cell>
          <cell r="C207" t="str">
            <v>CHAK NO.111 SB</v>
          </cell>
          <cell r="D207">
            <v>64.7834</v>
          </cell>
          <cell r="F207" t="str">
            <v>0215</v>
          </cell>
          <cell r="G207">
            <v>0</v>
          </cell>
          <cell r="I207" t="str">
            <v>0215</v>
          </cell>
          <cell r="J207">
            <v>1352005</v>
          </cell>
        </row>
        <row r="208">
          <cell r="A208" t="str">
            <v>0216</v>
          </cell>
          <cell r="B208" t="str">
            <v>South -2</v>
          </cell>
          <cell r="C208" t="str">
            <v>MALIR CITY</v>
          </cell>
          <cell r="D208">
            <v>38.3337</v>
          </cell>
          <cell r="F208" t="str">
            <v>0216</v>
          </cell>
          <cell r="G208">
            <v>0</v>
          </cell>
          <cell r="I208" t="str">
            <v>0216</v>
          </cell>
          <cell r="J208">
            <v>0</v>
          </cell>
        </row>
        <row r="209">
          <cell r="A209" t="str">
            <v>0217</v>
          </cell>
          <cell r="B209" t="str">
            <v>Zone 2</v>
          </cell>
          <cell r="C209" t="str">
            <v>LORALAI</v>
          </cell>
          <cell r="D209">
            <v>85.721599999999995</v>
          </cell>
          <cell r="F209" t="str">
            <v>0217</v>
          </cell>
          <cell r="G209">
            <v>0</v>
          </cell>
          <cell r="I209" t="str">
            <v>0217</v>
          </cell>
          <cell r="J209">
            <v>0</v>
          </cell>
        </row>
        <row r="210">
          <cell r="A210" t="str">
            <v>0218</v>
          </cell>
          <cell r="B210" t="str">
            <v>Zone 2</v>
          </cell>
          <cell r="C210" t="str">
            <v>TURBAT</v>
          </cell>
          <cell r="D210">
            <v>38.542099999999998</v>
          </cell>
          <cell r="F210" t="str">
            <v>0218</v>
          </cell>
          <cell r="G210">
            <v>9500</v>
          </cell>
          <cell r="I210" t="str">
            <v>0218</v>
          </cell>
          <cell r="J210">
            <v>45500</v>
          </cell>
        </row>
        <row r="211">
          <cell r="A211" t="str">
            <v>0219</v>
          </cell>
          <cell r="B211" t="str">
            <v>Central 2</v>
          </cell>
          <cell r="C211" t="str">
            <v>AZAM CLOTH MARKET LHR</v>
          </cell>
          <cell r="D211">
            <v>472.60660000000001</v>
          </cell>
          <cell r="F211" t="str">
            <v>0219</v>
          </cell>
          <cell r="G211">
            <v>0</v>
          </cell>
          <cell r="I211" t="str">
            <v>0219</v>
          </cell>
          <cell r="J211">
            <v>0</v>
          </cell>
        </row>
        <row r="212">
          <cell r="A212" t="str">
            <v>0220</v>
          </cell>
          <cell r="B212" t="str">
            <v>Central 1</v>
          </cell>
          <cell r="C212" t="str">
            <v>DHA EXT  LHR</v>
          </cell>
          <cell r="D212">
            <v>99.080399999999997</v>
          </cell>
          <cell r="F212" t="str">
            <v>0220</v>
          </cell>
          <cell r="G212">
            <v>1878500</v>
          </cell>
          <cell r="I212" t="str">
            <v>0220</v>
          </cell>
          <cell r="J212">
            <v>732600</v>
          </cell>
        </row>
        <row r="213">
          <cell r="A213" t="str">
            <v>0221</v>
          </cell>
          <cell r="B213" t="str">
            <v>Central 1</v>
          </cell>
          <cell r="C213" t="str">
            <v>SHADBAGH  LHR</v>
          </cell>
          <cell r="D213">
            <v>291.18540000000002</v>
          </cell>
          <cell r="F213" t="str">
            <v>0221</v>
          </cell>
          <cell r="G213">
            <v>27362677</v>
          </cell>
          <cell r="I213" t="str">
            <v>0221</v>
          </cell>
          <cell r="J213">
            <v>20877145</v>
          </cell>
        </row>
        <row r="214">
          <cell r="A214" t="str">
            <v>0222</v>
          </cell>
          <cell r="B214" t="str">
            <v>South -3</v>
          </cell>
          <cell r="C214" t="str">
            <v>WEST WHARF, KARACHI</v>
          </cell>
          <cell r="D214">
            <v>136.45419999999999</v>
          </cell>
          <cell r="F214" t="str">
            <v>0222</v>
          </cell>
          <cell r="G214">
            <v>0</v>
          </cell>
          <cell r="I214" t="str">
            <v>0222</v>
          </cell>
          <cell r="J214">
            <v>1470500</v>
          </cell>
        </row>
        <row r="215">
          <cell r="A215" t="str">
            <v>0223</v>
          </cell>
          <cell r="B215" t="str">
            <v>Central 3</v>
          </cell>
          <cell r="C215" t="str">
            <v>SAMBRIAL</v>
          </cell>
          <cell r="D215">
            <v>68.325699999999998</v>
          </cell>
          <cell r="F215" t="str">
            <v>0223</v>
          </cell>
          <cell r="G215">
            <v>127000</v>
          </cell>
          <cell r="I215" t="str">
            <v>0223</v>
          </cell>
          <cell r="J215">
            <v>2000</v>
          </cell>
        </row>
        <row r="216">
          <cell r="A216" t="str">
            <v>0224</v>
          </cell>
          <cell r="B216" t="str">
            <v>Zone 3</v>
          </cell>
          <cell r="C216" t="str">
            <v>JALAL PUR BHATTIAN</v>
          </cell>
          <cell r="D216">
            <v>80.7119</v>
          </cell>
          <cell r="F216" t="str">
            <v>0224</v>
          </cell>
          <cell r="G216">
            <v>139500</v>
          </cell>
          <cell r="I216" t="str">
            <v>0224</v>
          </cell>
          <cell r="J216">
            <v>135000</v>
          </cell>
        </row>
        <row r="217">
          <cell r="A217" t="str">
            <v>0225</v>
          </cell>
          <cell r="B217" t="str">
            <v>Central 2</v>
          </cell>
          <cell r="C217" t="str">
            <v>NAROWAL</v>
          </cell>
          <cell r="D217">
            <v>45.861699999999999</v>
          </cell>
          <cell r="F217" t="str">
            <v>0225</v>
          </cell>
          <cell r="G217">
            <v>4400</v>
          </cell>
          <cell r="I217" t="str">
            <v>0225</v>
          </cell>
          <cell r="J217">
            <v>4400</v>
          </cell>
        </row>
        <row r="218">
          <cell r="A218" t="str">
            <v>0226</v>
          </cell>
          <cell r="B218" t="str">
            <v>Central 2</v>
          </cell>
          <cell r="C218" t="str">
            <v>NANKANA SAHIB</v>
          </cell>
          <cell r="D218">
            <v>78.405799999999999</v>
          </cell>
          <cell r="F218" t="str">
            <v>0226</v>
          </cell>
          <cell r="G218">
            <v>507184</v>
          </cell>
          <cell r="I218" t="str">
            <v>0226</v>
          </cell>
          <cell r="J218">
            <v>255800</v>
          </cell>
        </row>
        <row r="219">
          <cell r="A219" t="str">
            <v>0227</v>
          </cell>
          <cell r="B219" t="str">
            <v>Central 4</v>
          </cell>
          <cell r="C219" t="str">
            <v>PATTOKI</v>
          </cell>
          <cell r="D219">
            <v>82.2898</v>
          </cell>
          <cell r="F219" t="str">
            <v>0227</v>
          </cell>
          <cell r="G219">
            <v>852640</v>
          </cell>
          <cell r="I219" t="str">
            <v>0227</v>
          </cell>
          <cell r="J219">
            <v>1574640</v>
          </cell>
        </row>
        <row r="220">
          <cell r="A220" t="str">
            <v>0228</v>
          </cell>
          <cell r="B220" t="str">
            <v>Central 1</v>
          </cell>
          <cell r="C220" t="str">
            <v>FORTRESS STADIUM</v>
          </cell>
          <cell r="D220">
            <v>45.464700000000001</v>
          </cell>
          <cell r="F220" t="str">
            <v>0228</v>
          </cell>
          <cell r="G220">
            <v>8800</v>
          </cell>
          <cell r="I220" t="str">
            <v>0228</v>
          </cell>
          <cell r="J220">
            <v>8800</v>
          </cell>
        </row>
        <row r="221">
          <cell r="A221" t="str">
            <v>0229</v>
          </cell>
          <cell r="B221" t="str">
            <v>Central 1</v>
          </cell>
          <cell r="C221" t="str">
            <v>BEDIAN ROAD</v>
          </cell>
          <cell r="D221">
            <v>13.0115</v>
          </cell>
          <cell r="F221" t="str">
            <v>0229</v>
          </cell>
          <cell r="G221">
            <v>0</v>
          </cell>
          <cell r="I221" t="str">
            <v>0229</v>
          </cell>
          <cell r="J221">
            <v>0</v>
          </cell>
        </row>
        <row r="222">
          <cell r="A222" t="str">
            <v>0230</v>
          </cell>
          <cell r="B222" t="str">
            <v>North 2-1</v>
          </cell>
          <cell r="C222" t="str">
            <v>BATTAGRAM</v>
          </cell>
          <cell r="D222">
            <v>83.848399999999998</v>
          </cell>
          <cell r="F222" t="str">
            <v>0230</v>
          </cell>
          <cell r="G222">
            <v>638809</v>
          </cell>
          <cell r="I222" t="str">
            <v>0230</v>
          </cell>
          <cell r="J222">
            <v>2531412</v>
          </cell>
        </row>
        <row r="223">
          <cell r="A223" t="str">
            <v>0231</v>
          </cell>
          <cell r="B223" t="str">
            <v>North 1-1</v>
          </cell>
          <cell r="C223" t="str">
            <v>GHOURGHUSHTI</v>
          </cell>
          <cell r="D223">
            <v>73.014600000000002</v>
          </cell>
          <cell r="F223" t="str">
            <v>0231</v>
          </cell>
          <cell r="G223">
            <v>0</v>
          </cell>
          <cell r="I223" t="str">
            <v>0231</v>
          </cell>
          <cell r="J223">
            <v>0</v>
          </cell>
        </row>
        <row r="224">
          <cell r="A224" t="str">
            <v>0233</v>
          </cell>
          <cell r="B224" t="str">
            <v>South -2</v>
          </cell>
          <cell r="C224" t="str">
            <v>LIAQUATABAD BRANCH</v>
          </cell>
          <cell r="D224">
            <v>10.312799999999999</v>
          </cell>
          <cell r="F224" t="str">
            <v>0404</v>
          </cell>
          <cell r="G224">
            <v>2573668</v>
          </cell>
          <cell r="I224" t="str">
            <v>0233</v>
          </cell>
          <cell r="J224">
            <v>0</v>
          </cell>
        </row>
        <row r="225">
          <cell r="A225" t="str">
            <v>0234</v>
          </cell>
          <cell r="B225" t="str">
            <v>North 1-3</v>
          </cell>
          <cell r="C225" t="str">
            <v>G-11 Islamabad</v>
          </cell>
          <cell r="D225">
            <v>77.034599999999998</v>
          </cell>
          <cell r="F225" t="str">
            <v>0407</v>
          </cell>
          <cell r="G225">
            <v>3912091</v>
          </cell>
          <cell r="I225" t="str">
            <v>0234</v>
          </cell>
          <cell r="J225">
            <v>0</v>
          </cell>
        </row>
        <row r="226">
          <cell r="A226" t="str">
            <v>0235</v>
          </cell>
          <cell r="B226" t="str">
            <v>Central 6</v>
          </cell>
          <cell r="C226" t="str">
            <v>Chishtian</v>
          </cell>
          <cell r="D226">
            <v>31.7376</v>
          </cell>
          <cell r="I226" t="str">
            <v>0235</v>
          </cell>
          <cell r="J226">
            <v>750000</v>
          </cell>
        </row>
        <row r="227">
          <cell r="A227" t="str">
            <v>0236</v>
          </cell>
          <cell r="B227" t="str">
            <v>Central 5</v>
          </cell>
          <cell r="C227" t="str">
            <v>SAMUNDRI</v>
          </cell>
          <cell r="D227">
            <v>23.168099999999999</v>
          </cell>
          <cell r="I227" t="str">
            <v>0236</v>
          </cell>
          <cell r="J227">
            <v>0</v>
          </cell>
        </row>
        <row r="228">
          <cell r="A228" t="str">
            <v>0237</v>
          </cell>
          <cell r="B228" t="str">
            <v>North 1-3</v>
          </cell>
          <cell r="C228" t="str">
            <v>TARNOL</v>
          </cell>
          <cell r="D228">
            <v>21.962900000000001</v>
          </cell>
          <cell r="I228" t="str">
            <v>0237</v>
          </cell>
          <cell r="J228">
            <v>0</v>
          </cell>
        </row>
        <row r="229">
          <cell r="A229" t="str">
            <v>0240</v>
          </cell>
          <cell r="B229" t="str">
            <v>South -1</v>
          </cell>
          <cell r="C229" t="str">
            <v>URDU BAZAR</v>
          </cell>
          <cell r="D229">
            <v>0.03</v>
          </cell>
          <cell r="I229" t="str">
            <v>0240</v>
          </cell>
          <cell r="J229">
            <v>0</v>
          </cell>
        </row>
        <row r="230">
          <cell r="A230" t="str">
            <v>0241</v>
          </cell>
          <cell r="B230" t="str">
            <v>North 1-1</v>
          </cell>
          <cell r="C230" t="str">
            <v>TENCH BHATTA</v>
          </cell>
          <cell r="D230">
            <v>5.4264999999999999</v>
          </cell>
          <cell r="I230" t="str">
            <v>0241</v>
          </cell>
          <cell r="J230">
            <v>0</v>
          </cell>
        </row>
        <row r="231">
          <cell r="A231" t="str">
            <v>0242</v>
          </cell>
          <cell r="B231" t="str">
            <v>North 1-1</v>
          </cell>
          <cell r="C231" t="str">
            <v>ADAMJEE ROAD SADDAR</v>
          </cell>
          <cell r="D231">
            <v>15.315200000000001</v>
          </cell>
          <cell r="I231" t="str">
            <v>0242</v>
          </cell>
          <cell r="J231">
            <v>0</v>
          </cell>
        </row>
        <row r="232">
          <cell r="A232" t="str">
            <v>0245</v>
          </cell>
          <cell r="B232" t="str">
            <v>Zone 1</v>
          </cell>
          <cell r="C232" t="str">
            <v>Jacobabad</v>
          </cell>
          <cell r="D232">
            <v>2.5952999999999999</v>
          </cell>
          <cell r="I232" t="str">
            <v>0245</v>
          </cell>
          <cell r="J232">
            <v>0</v>
          </cell>
        </row>
        <row r="233">
          <cell r="A233" t="str">
            <v>0404</v>
          </cell>
          <cell r="B233" t="str">
            <v>North 1-3</v>
          </cell>
          <cell r="C233" t="str">
            <v>F-7 MARKAZ ISLAMABAD</v>
          </cell>
          <cell r="D233">
            <v>377.12459999999999</v>
          </cell>
          <cell r="I233" t="str">
            <v>0404</v>
          </cell>
          <cell r="J233">
            <v>2487135.91</v>
          </cell>
        </row>
        <row r="234">
          <cell r="A234" t="str">
            <v>0407</v>
          </cell>
          <cell r="B234" t="str">
            <v>South -1</v>
          </cell>
          <cell r="C234" t="str">
            <v>STOCK EXCHANGE ISB</v>
          </cell>
          <cell r="D234">
            <v>165.5882</v>
          </cell>
          <cell r="I234" t="str">
            <v>0407</v>
          </cell>
          <cell r="J234">
            <v>4085111</v>
          </cell>
        </row>
        <row r="235">
          <cell r="A235" t="str">
            <v>500</v>
          </cell>
          <cell r="B235" t="str">
            <v>IBD</v>
          </cell>
          <cell r="C235" t="str">
            <v>IBD DIVISONAL OFFICE</v>
          </cell>
          <cell r="D235">
            <v>0</v>
          </cell>
        </row>
        <row r="236">
          <cell r="A236" t="str">
            <v>501</v>
          </cell>
          <cell r="B236" t="str">
            <v>IBD</v>
          </cell>
          <cell r="C236" t="str">
            <v>IBD 66 MAIN BRANCH GULBERG LHR</v>
          </cell>
          <cell r="D236">
            <v>611.45740000000001</v>
          </cell>
        </row>
        <row r="237">
          <cell r="A237" t="str">
            <v>502</v>
          </cell>
          <cell r="B237" t="str">
            <v>IBD</v>
          </cell>
          <cell r="C237" t="str">
            <v>IBD Y-BLOCK DEFENCE BRANCH LHR</v>
          </cell>
          <cell r="D237">
            <v>259.83409999999998</v>
          </cell>
        </row>
        <row r="238">
          <cell r="A238" t="str">
            <v>503</v>
          </cell>
          <cell r="B238" t="str">
            <v>IBD</v>
          </cell>
          <cell r="C238" t="str">
            <v>IBD FAISLABAD BRANCH</v>
          </cell>
          <cell r="D238">
            <v>391.17899999999997</v>
          </cell>
        </row>
        <row r="239">
          <cell r="A239" t="str">
            <v>504</v>
          </cell>
          <cell r="B239" t="str">
            <v>IBD</v>
          </cell>
          <cell r="C239" t="str">
            <v>IBD BLUE AREA BRANCH ISLAMABAD</v>
          </cell>
          <cell r="D239">
            <v>321.65949999999998</v>
          </cell>
        </row>
        <row r="240">
          <cell r="A240" t="str">
            <v>505</v>
          </cell>
          <cell r="B240" t="str">
            <v>IBD</v>
          </cell>
          <cell r="C240" t="str">
            <v>IBD-UNI-TOWER BRANCH KARACHI</v>
          </cell>
          <cell r="D240">
            <v>267.07130000000001</v>
          </cell>
        </row>
        <row r="241">
          <cell r="A241" t="str">
            <v>506</v>
          </cell>
          <cell r="B241" t="str">
            <v>IBD</v>
          </cell>
          <cell r="C241" t="str">
            <v>IBD-MAKLO ROAD BRANCH-LAHORE</v>
          </cell>
          <cell r="D241">
            <v>398.26190000000003</v>
          </cell>
        </row>
        <row r="242">
          <cell r="A242" t="str">
            <v>507</v>
          </cell>
          <cell r="B242" t="str">
            <v>IBD</v>
          </cell>
          <cell r="C242" t="str">
            <v>IBD-GUJRANWALA BRANCH</v>
          </cell>
          <cell r="D242">
            <v>270.25099999999998</v>
          </cell>
        </row>
        <row r="243">
          <cell r="A243" t="str">
            <v>508</v>
          </cell>
          <cell r="B243" t="str">
            <v>IBD</v>
          </cell>
          <cell r="C243" t="str">
            <v>IBD-New Gardon Town Lahore</v>
          </cell>
          <cell r="D243">
            <v>493.6739</v>
          </cell>
        </row>
        <row r="244">
          <cell r="A244" t="str">
            <v>509</v>
          </cell>
          <cell r="B244" t="str">
            <v>IBD</v>
          </cell>
          <cell r="C244" t="str">
            <v>IBD-PESHAWAR BRANCH</v>
          </cell>
          <cell r="D244">
            <v>273.75299999999999</v>
          </cell>
        </row>
        <row r="245">
          <cell r="A245" t="str">
            <v>510</v>
          </cell>
          <cell r="B245" t="str">
            <v>IBD</v>
          </cell>
          <cell r="C245" t="str">
            <v>IBD-JOHAR TOWN BRANCH-LAHORE</v>
          </cell>
          <cell r="D245">
            <v>176.3578</v>
          </cell>
        </row>
        <row r="246">
          <cell r="A246" t="str">
            <v>511</v>
          </cell>
          <cell r="B246" t="str">
            <v>IBD</v>
          </cell>
          <cell r="C246" t="str">
            <v>IBD-FAISALABAD BRANCH</v>
          </cell>
          <cell r="D246">
            <v>169.99340000000001</v>
          </cell>
        </row>
        <row r="247">
          <cell r="A247" t="str">
            <v>512</v>
          </cell>
          <cell r="B247" t="str">
            <v>IBD</v>
          </cell>
          <cell r="C247" t="str">
            <v>IBD-SHAHRAH-E-FAISAL BRANCH-KHI</v>
          </cell>
          <cell r="D247">
            <v>166.7895</v>
          </cell>
        </row>
        <row r="248">
          <cell r="A248" t="str">
            <v>513</v>
          </cell>
          <cell r="B248" t="str">
            <v>IBD</v>
          </cell>
          <cell r="C248" t="str">
            <v>IBD-MULTAN BRANCH</v>
          </cell>
          <cell r="D248">
            <v>109.25279999999999</v>
          </cell>
        </row>
        <row r="249">
          <cell r="A249" t="str">
            <v>514</v>
          </cell>
          <cell r="B249" t="str">
            <v>IBD</v>
          </cell>
          <cell r="C249" t="str">
            <v>IBD-RAWALPINDI BRANCH</v>
          </cell>
          <cell r="D249">
            <v>225.08150000000001</v>
          </cell>
        </row>
        <row r="250">
          <cell r="A250" t="str">
            <v>515</v>
          </cell>
          <cell r="B250" t="str">
            <v>IBD</v>
          </cell>
          <cell r="C250" t="str">
            <v>IBD-SIALKOT BRANCH</v>
          </cell>
          <cell r="D250">
            <v>367.60559999999998</v>
          </cell>
        </row>
        <row r="251">
          <cell r="A251" t="str">
            <v>516</v>
          </cell>
          <cell r="B251" t="str">
            <v>IBD</v>
          </cell>
          <cell r="C251" t="str">
            <v>IBD Rahim Yar Khan Br.</v>
          </cell>
          <cell r="D251">
            <v>85.881600000000006</v>
          </cell>
        </row>
        <row r="252">
          <cell r="A252" t="str">
            <v>517</v>
          </cell>
          <cell r="B252" t="str">
            <v>IBD</v>
          </cell>
          <cell r="C252" t="str">
            <v>IBD KIA Br. KHI</v>
          </cell>
          <cell r="D252">
            <v>0</v>
          </cell>
        </row>
        <row r="253">
          <cell r="A253" t="str">
            <v>518</v>
          </cell>
          <cell r="B253" t="str">
            <v>IBD</v>
          </cell>
          <cell r="C253" t="str">
            <v>IBD Gulshan Iqbal Br.</v>
          </cell>
          <cell r="D253">
            <v>0</v>
          </cell>
        </row>
        <row r="254">
          <cell r="A254" t="str">
            <v>519</v>
          </cell>
          <cell r="B254" t="str">
            <v>IBD</v>
          </cell>
          <cell r="C254" t="str">
            <v>IBD Gulistan e Johar Karachi</v>
          </cell>
          <cell r="D254">
            <v>69.6203</v>
          </cell>
        </row>
        <row r="255">
          <cell r="A255" t="str">
            <v>520</v>
          </cell>
          <cell r="B255" t="str">
            <v>IBD</v>
          </cell>
          <cell r="C255" t="str">
            <v>IBD Jodia Bazar Br</v>
          </cell>
          <cell r="D255">
            <v>102.22020000000001</v>
          </cell>
        </row>
        <row r="256">
          <cell r="A256" t="str">
            <v>521</v>
          </cell>
          <cell r="B256" t="str">
            <v>IBD</v>
          </cell>
          <cell r="C256" t="str">
            <v>IBD Gulshan e Ravi</v>
          </cell>
          <cell r="D256">
            <v>318.10230000000001</v>
          </cell>
        </row>
        <row r="257">
          <cell r="A257" t="str">
            <v>522</v>
          </cell>
          <cell r="B257" t="str">
            <v>IBD</v>
          </cell>
          <cell r="C257" t="str">
            <v>IBD cantt Br.</v>
          </cell>
          <cell r="D257">
            <v>144.23740000000001</v>
          </cell>
        </row>
        <row r="258">
          <cell r="A258" t="str">
            <v>523</v>
          </cell>
          <cell r="B258" t="str">
            <v>IBD</v>
          </cell>
          <cell r="C258" t="str">
            <v>IBD BD Qurtaba CHK Br.</v>
          </cell>
          <cell r="D258">
            <v>143.12710000000001</v>
          </cell>
        </row>
        <row r="259">
          <cell r="A259" t="str">
            <v>524</v>
          </cell>
          <cell r="B259" t="str">
            <v>IBD</v>
          </cell>
          <cell r="C259" t="str">
            <v>IBD Mughalpura Br.</v>
          </cell>
          <cell r="D259">
            <v>72.960499999999996</v>
          </cell>
        </row>
        <row r="260">
          <cell r="A260" t="str">
            <v>525</v>
          </cell>
          <cell r="B260" t="str">
            <v>IBD</v>
          </cell>
          <cell r="C260" t="str">
            <v>IBD Dhorajee Br.</v>
          </cell>
          <cell r="D260">
            <v>56.360399999999998</v>
          </cell>
        </row>
        <row r="261">
          <cell r="A261" t="str">
            <v>526</v>
          </cell>
          <cell r="B261" t="str">
            <v>IBD</v>
          </cell>
          <cell r="C261" t="str">
            <v>IBD Multan Rd Lahore</v>
          </cell>
          <cell r="D261">
            <v>99.922600000000003</v>
          </cell>
        </row>
        <row r="262">
          <cell r="A262" t="str">
            <v>527</v>
          </cell>
          <cell r="B262" t="str">
            <v>IBD</v>
          </cell>
          <cell r="C262" t="str">
            <v>IBD Wahdat Road Lahore</v>
          </cell>
          <cell r="D262">
            <v>0</v>
          </cell>
        </row>
        <row r="263">
          <cell r="A263" t="str">
            <v>528</v>
          </cell>
          <cell r="B263" t="str">
            <v>IBD</v>
          </cell>
          <cell r="C263" t="str">
            <v>IBD DHA Karachi Br</v>
          </cell>
          <cell r="D263">
            <v>40.898499999999999</v>
          </cell>
        </row>
        <row r="264">
          <cell r="A264" t="str">
            <v>529</v>
          </cell>
          <cell r="B264" t="str">
            <v>IBD</v>
          </cell>
          <cell r="C264" t="str">
            <v>IBD North Nazimabad Karachi</v>
          </cell>
          <cell r="D264">
            <v>55.527999999999999</v>
          </cell>
        </row>
        <row r="265">
          <cell r="A265" t="str">
            <v>530</v>
          </cell>
          <cell r="B265" t="str">
            <v>IBD</v>
          </cell>
          <cell r="C265" t="str">
            <v>IBD G-10 Markaz, Islamabad</v>
          </cell>
          <cell r="D265">
            <v>175.83519999999999</v>
          </cell>
        </row>
        <row r="266">
          <cell r="A266" t="str">
            <v>531</v>
          </cell>
          <cell r="B266" t="str">
            <v>IBD</v>
          </cell>
          <cell r="C266" t="str">
            <v>IBD Satellite Town Rawalpindi</v>
          </cell>
          <cell r="D266">
            <v>55.4709</v>
          </cell>
        </row>
        <row r="267">
          <cell r="A267" t="str">
            <v>532</v>
          </cell>
          <cell r="B267" t="str">
            <v>IBD</v>
          </cell>
          <cell r="C267" t="str">
            <v>IBD D I Khan Branch</v>
          </cell>
          <cell r="D267">
            <v>88.9773</v>
          </cell>
        </row>
        <row r="268">
          <cell r="A268" t="str">
            <v>533</v>
          </cell>
          <cell r="B268" t="str">
            <v>IBD</v>
          </cell>
          <cell r="C268" t="str">
            <v>IBD Satyana Rd Faisalabad</v>
          </cell>
          <cell r="D268">
            <v>54.234000000000002</v>
          </cell>
        </row>
        <row r="269">
          <cell r="A269" t="str">
            <v>534</v>
          </cell>
          <cell r="B269" t="str">
            <v>IBD</v>
          </cell>
          <cell r="C269" t="str">
            <v>IBD Sargodha Branch</v>
          </cell>
          <cell r="D269">
            <v>42.439700000000002</v>
          </cell>
        </row>
        <row r="270">
          <cell r="A270" t="str">
            <v>535</v>
          </cell>
          <cell r="B270" t="str">
            <v>IBD</v>
          </cell>
          <cell r="C270" t="str">
            <v>IBD Pindi GhebBranch</v>
          </cell>
          <cell r="D270">
            <v>55.832000000000001</v>
          </cell>
        </row>
        <row r="271">
          <cell r="A271" t="str">
            <v>536</v>
          </cell>
          <cell r="B271" t="str">
            <v>IBD</v>
          </cell>
          <cell r="C271" t="str">
            <v>IBD Chuhng Br.</v>
          </cell>
          <cell r="D271">
            <v>64.368499999999997</v>
          </cell>
        </row>
        <row r="272">
          <cell r="A272" t="str">
            <v>537</v>
          </cell>
          <cell r="B272" t="str">
            <v>IBD</v>
          </cell>
          <cell r="C272" t="str">
            <v>IBD Hyderabad Branch</v>
          </cell>
          <cell r="D272">
            <v>56.448599999999999</v>
          </cell>
        </row>
        <row r="273">
          <cell r="A273" t="str">
            <v>538</v>
          </cell>
          <cell r="B273" t="str">
            <v>IBD</v>
          </cell>
          <cell r="C273" t="str">
            <v>IBD Quetta Branch</v>
          </cell>
          <cell r="D273">
            <v>193.4297</v>
          </cell>
        </row>
        <row r="274">
          <cell r="A274" t="str">
            <v>539</v>
          </cell>
          <cell r="B274" t="str">
            <v>IBD</v>
          </cell>
          <cell r="C274" t="str">
            <v>IBD SITE-2 Branch</v>
          </cell>
          <cell r="D274">
            <v>68.591999999999999</v>
          </cell>
        </row>
        <row r="275">
          <cell r="A275" t="str">
            <v>540</v>
          </cell>
          <cell r="B275" t="str">
            <v>IBD</v>
          </cell>
          <cell r="C275" t="str">
            <v>IBD FB AREA Karachi</v>
          </cell>
          <cell r="D275">
            <v>58.269599999999997</v>
          </cell>
        </row>
        <row r="276">
          <cell r="A276" t="str">
            <v>541</v>
          </cell>
          <cell r="B276" t="str">
            <v>IBD</v>
          </cell>
          <cell r="C276" t="str">
            <v>IBD Port Qasim Khi.</v>
          </cell>
          <cell r="D276">
            <v>39.2866</v>
          </cell>
        </row>
        <row r="277">
          <cell r="A277" t="str">
            <v>542</v>
          </cell>
          <cell r="B277" t="str">
            <v>IBD</v>
          </cell>
          <cell r="C277" t="str">
            <v>IBD Shah Alam Mkt</v>
          </cell>
          <cell r="D277">
            <v>149.27539999999999</v>
          </cell>
        </row>
        <row r="278">
          <cell r="A278" t="str">
            <v>543</v>
          </cell>
          <cell r="B278" t="str">
            <v>IBD</v>
          </cell>
          <cell r="C278" t="str">
            <v>IBD Kot Abdul Malik Br</v>
          </cell>
          <cell r="D278">
            <v>53.361699999999999</v>
          </cell>
        </row>
        <row r="279">
          <cell r="A279" t="str">
            <v>544</v>
          </cell>
          <cell r="B279" t="str">
            <v>IBD</v>
          </cell>
          <cell r="C279" t="str">
            <v>IBD Canal Road Faisalabad</v>
          </cell>
          <cell r="D279">
            <v>14.14</v>
          </cell>
        </row>
        <row r="280">
          <cell r="A280" t="str">
            <v>545</v>
          </cell>
          <cell r="B280" t="str">
            <v>IBD</v>
          </cell>
          <cell r="C280" t="str">
            <v>IBD Gujrat Br</v>
          </cell>
          <cell r="D280">
            <v>63.713999999999999</v>
          </cell>
        </row>
        <row r="281">
          <cell r="A281" t="str">
            <v>546</v>
          </cell>
          <cell r="B281" t="str">
            <v>IBD</v>
          </cell>
          <cell r="C281" t="str">
            <v>IBD I-9 Islamabad</v>
          </cell>
          <cell r="D281">
            <v>47.942999999999998</v>
          </cell>
        </row>
        <row r="282">
          <cell r="A282" t="str">
            <v>547</v>
          </cell>
          <cell r="B282" t="str">
            <v>IBD</v>
          </cell>
          <cell r="C282" t="str">
            <v>IBD Abbotabad Br</v>
          </cell>
          <cell r="D282">
            <v>72.001199999999997</v>
          </cell>
        </row>
        <row r="283">
          <cell r="A283" t="str">
            <v>548</v>
          </cell>
          <cell r="B283" t="str">
            <v>IBD</v>
          </cell>
          <cell r="C283" t="str">
            <v>IBD Dudhyal Branch</v>
          </cell>
          <cell r="D283">
            <v>15.225099999999999</v>
          </cell>
        </row>
      </sheetData>
      <sheetData sheetId="14" refreshError="1">
        <row r="1">
          <cell r="A1" t="str">
            <v>BranchID</v>
          </cell>
          <cell r="B1" t="str">
            <v>CurFCY</v>
          </cell>
        </row>
        <row r="2">
          <cell r="A2" t="str">
            <v>0002</v>
          </cell>
          <cell r="B2">
            <v>0</v>
          </cell>
        </row>
        <row r="3">
          <cell r="A3" t="str">
            <v>0003</v>
          </cell>
          <cell r="B3">
            <v>17971853.25</v>
          </cell>
        </row>
        <row r="4">
          <cell r="A4" t="str">
            <v>0004</v>
          </cell>
          <cell r="B4">
            <v>10028385.189999999</v>
          </cell>
        </row>
        <row r="5">
          <cell r="A5" t="str">
            <v>0005</v>
          </cell>
          <cell r="B5">
            <v>56231325.001000002</v>
          </cell>
        </row>
        <row r="6">
          <cell r="A6" t="str">
            <v>0006</v>
          </cell>
          <cell r="B6">
            <v>35042670.409999996</v>
          </cell>
        </row>
        <row r="7">
          <cell r="A7" t="str">
            <v>0007</v>
          </cell>
          <cell r="B7">
            <v>39436027.020000003</v>
          </cell>
        </row>
        <row r="8">
          <cell r="A8" t="str">
            <v>0008</v>
          </cell>
          <cell r="B8">
            <v>61418649.530000001</v>
          </cell>
        </row>
        <row r="9">
          <cell r="A9" t="str">
            <v>0009</v>
          </cell>
          <cell r="B9">
            <v>5860070.1699999999</v>
          </cell>
        </row>
        <row r="10">
          <cell r="A10" t="str">
            <v>0010</v>
          </cell>
          <cell r="B10">
            <v>0</v>
          </cell>
        </row>
        <row r="11">
          <cell r="A11" t="str">
            <v>0011</v>
          </cell>
          <cell r="B11">
            <v>43417635.539999999</v>
          </cell>
        </row>
        <row r="12">
          <cell r="A12" t="str">
            <v>0012</v>
          </cell>
          <cell r="B12">
            <v>16891185.260000002</v>
          </cell>
        </row>
        <row r="13">
          <cell r="A13" t="str">
            <v>0013</v>
          </cell>
          <cell r="B13">
            <v>6846552.2999999998</v>
          </cell>
        </row>
        <row r="14">
          <cell r="A14" t="str">
            <v>0014</v>
          </cell>
          <cell r="B14">
            <v>60757851.407200001</v>
          </cell>
        </row>
        <row r="15">
          <cell r="A15" t="str">
            <v>0015</v>
          </cell>
          <cell r="B15">
            <v>16892488.809999999</v>
          </cell>
        </row>
        <row r="16">
          <cell r="A16" t="str">
            <v>0016</v>
          </cell>
          <cell r="B16">
            <v>5628617.4699999997</v>
          </cell>
        </row>
        <row r="17">
          <cell r="A17" t="str">
            <v>0017</v>
          </cell>
          <cell r="B17">
            <v>1753100.51</v>
          </cell>
        </row>
        <row r="18">
          <cell r="A18" t="str">
            <v>0018</v>
          </cell>
          <cell r="B18">
            <v>4819144.38</v>
          </cell>
        </row>
        <row r="19">
          <cell r="A19" t="str">
            <v>0019</v>
          </cell>
          <cell r="B19">
            <v>20546464.91</v>
          </cell>
        </row>
        <row r="20">
          <cell r="A20" t="str">
            <v>0020</v>
          </cell>
          <cell r="B20">
            <v>126143685.73</v>
          </cell>
        </row>
        <row r="21">
          <cell r="A21" t="str">
            <v>0021</v>
          </cell>
          <cell r="B21">
            <v>5466.16</v>
          </cell>
        </row>
        <row r="22">
          <cell r="A22" t="str">
            <v>0022</v>
          </cell>
          <cell r="B22">
            <v>0</v>
          </cell>
        </row>
        <row r="23">
          <cell r="A23" t="str">
            <v>0023</v>
          </cell>
          <cell r="B23">
            <v>1356498.21</v>
          </cell>
        </row>
        <row r="24">
          <cell r="A24" t="str">
            <v>0024</v>
          </cell>
          <cell r="B24">
            <v>18162056.09</v>
          </cell>
        </row>
        <row r="25">
          <cell r="A25" t="str">
            <v>0025</v>
          </cell>
          <cell r="B25">
            <v>464257.18</v>
          </cell>
        </row>
        <row r="26">
          <cell r="A26" t="str">
            <v>0026</v>
          </cell>
          <cell r="B26">
            <v>2558250.7400000002</v>
          </cell>
        </row>
        <row r="27">
          <cell r="A27" t="str">
            <v>0027</v>
          </cell>
          <cell r="B27">
            <v>20270600.43</v>
          </cell>
        </row>
        <row r="28">
          <cell r="A28" t="str">
            <v>0028</v>
          </cell>
          <cell r="B28">
            <v>213501974.56709999</v>
          </cell>
        </row>
        <row r="29">
          <cell r="A29" t="str">
            <v>0029</v>
          </cell>
          <cell r="B29">
            <v>54609766.740000002</v>
          </cell>
        </row>
        <row r="30">
          <cell r="A30" t="str">
            <v>0030</v>
          </cell>
          <cell r="B30">
            <v>18821434.84</v>
          </cell>
        </row>
        <row r="31">
          <cell r="A31" t="str">
            <v>0031</v>
          </cell>
          <cell r="B31">
            <v>366526170.25999999</v>
          </cell>
        </row>
        <row r="32">
          <cell r="A32" t="str">
            <v>0032</v>
          </cell>
          <cell r="B32">
            <v>168089792.22999999</v>
          </cell>
        </row>
        <row r="33">
          <cell r="A33" t="str">
            <v>0033</v>
          </cell>
          <cell r="B33">
            <v>53294764.93</v>
          </cell>
        </row>
        <row r="34">
          <cell r="A34" t="str">
            <v>0034</v>
          </cell>
          <cell r="B34">
            <v>8921537.5299999993</v>
          </cell>
        </row>
        <row r="35">
          <cell r="A35" t="str">
            <v>0035</v>
          </cell>
          <cell r="B35">
            <v>357921477.33999997</v>
          </cell>
        </row>
        <row r="36">
          <cell r="A36" t="str">
            <v>0036</v>
          </cell>
          <cell r="B36">
            <v>36462091.719999999</v>
          </cell>
        </row>
        <row r="37">
          <cell r="A37" t="str">
            <v>0037</v>
          </cell>
          <cell r="B37">
            <v>28814977.300000001</v>
          </cell>
        </row>
        <row r="38">
          <cell r="A38" t="str">
            <v>0038</v>
          </cell>
          <cell r="B38">
            <v>187960.76209999999</v>
          </cell>
        </row>
        <row r="39">
          <cell r="A39" t="str">
            <v>0039</v>
          </cell>
          <cell r="B39">
            <v>74123305.569999993</v>
          </cell>
        </row>
        <row r="40">
          <cell r="A40" t="str">
            <v>0040</v>
          </cell>
          <cell r="B40">
            <v>0</v>
          </cell>
        </row>
        <row r="41">
          <cell r="A41" t="str">
            <v>0041</v>
          </cell>
          <cell r="B41">
            <v>23430398.379999999</v>
          </cell>
        </row>
        <row r="42">
          <cell r="A42" t="str">
            <v>0042</v>
          </cell>
          <cell r="B42">
            <v>54423247.219999999</v>
          </cell>
        </row>
        <row r="43">
          <cell r="A43" t="str">
            <v>0043</v>
          </cell>
          <cell r="B43">
            <v>24372319.010000002</v>
          </cell>
        </row>
        <row r="44">
          <cell r="A44" t="str">
            <v>0044</v>
          </cell>
          <cell r="B44">
            <v>54534105.68</v>
          </cell>
        </row>
        <row r="45">
          <cell r="A45" t="str">
            <v>0045</v>
          </cell>
          <cell r="B45">
            <v>21083382.109999999</v>
          </cell>
        </row>
        <row r="46">
          <cell r="A46" t="str">
            <v>0046</v>
          </cell>
          <cell r="B46">
            <v>2895516.19</v>
          </cell>
        </row>
        <row r="47">
          <cell r="A47" t="str">
            <v>0047</v>
          </cell>
          <cell r="B47">
            <v>156058645.71000001</v>
          </cell>
        </row>
        <row r="48">
          <cell r="A48" t="str">
            <v>0048</v>
          </cell>
          <cell r="B48">
            <v>14709221.130000001</v>
          </cell>
        </row>
        <row r="49">
          <cell r="A49" t="str">
            <v>0052</v>
          </cell>
          <cell r="B49">
            <v>2998697.51</v>
          </cell>
        </row>
        <row r="50">
          <cell r="A50" t="str">
            <v>0053</v>
          </cell>
          <cell r="B50">
            <v>19200275.59</v>
          </cell>
        </row>
        <row r="51">
          <cell r="A51" t="str">
            <v>0054</v>
          </cell>
          <cell r="B51">
            <v>19037315.91</v>
          </cell>
        </row>
        <row r="52">
          <cell r="A52" t="str">
            <v>0055</v>
          </cell>
          <cell r="B52">
            <v>12148375.98</v>
          </cell>
        </row>
        <row r="53">
          <cell r="A53" t="str">
            <v>0056</v>
          </cell>
          <cell r="B53">
            <v>45373515.869999997</v>
          </cell>
        </row>
        <row r="54">
          <cell r="A54" t="str">
            <v>0057</v>
          </cell>
          <cell r="B54">
            <v>0</v>
          </cell>
        </row>
        <row r="55">
          <cell r="A55" t="str">
            <v>0058</v>
          </cell>
          <cell r="B55">
            <v>297355.93</v>
          </cell>
        </row>
        <row r="56">
          <cell r="A56" t="str">
            <v>0059</v>
          </cell>
          <cell r="B56">
            <v>0</v>
          </cell>
        </row>
        <row r="57">
          <cell r="A57" t="str">
            <v>0060</v>
          </cell>
          <cell r="B57">
            <v>6113897.0899999999</v>
          </cell>
        </row>
        <row r="58">
          <cell r="A58" t="str">
            <v>0061</v>
          </cell>
          <cell r="B58">
            <v>14329415.91</v>
          </cell>
        </row>
        <row r="59">
          <cell r="A59" t="str">
            <v>0062</v>
          </cell>
          <cell r="B59">
            <v>7461687.1900000004</v>
          </cell>
        </row>
        <row r="60">
          <cell r="A60" t="str">
            <v>0063</v>
          </cell>
          <cell r="B60">
            <v>13456383.890000001</v>
          </cell>
        </row>
        <row r="61">
          <cell r="A61" t="str">
            <v>0064</v>
          </cell>
          <cell r="B61">
            <v>155909298.71000001</v>
          </cell>
        </row>
        <row r="62">
          <cell r="A62" t="str">
            <v>0065</v>
          </cell>
          <cell r="B62">
            <v>20134383.190000001</v>
          </cell>
        </row>
        <row r="63">
          <cell r="A63" t="str">
            <v>0066</v>
          </cell>
          <cell r="B63">
            <v>47547284.780000001</v>
          </cell>
        </row>
        <row r="64">
          <cell r="A64" t="str">
            <v>0067</v>
          </cell>
          <cell r="B64">
            <v>18577667.52</v>
          </cell>
        </row>
        <row r="65">
          <cell r="A65" t="str">
            <v>0068</v>
          </cell>
          <cell r="B65">
            <v>57944720.240000002</v>
          </cell>
        </row>
        <row r="66">
          <cell r="A66" t="str">
            <v>0069</v>
          </cell>
          <cell r="B66">
            <v>3293758.51</v>
          </cell>
        </row>
        <row r="67">
          <cell r="A67" t="str">
            <v>0070</v>
          </cell>
          <cell r="B67">
            <v>23343425.109999999</v>
          </cell>
        </row>
        <row r="68">
          <cell r="A68" t="str">
            <v>0071</v>
          </cell>
          <cell r="B68">
            <v>30235257.77</v>
          </cell>
        </row>
        <row r="69">
          <cell r="A69" t="str">
            <v>0072</v>
          </cell>
          <cell r="B69">
            <v>3965780.31</v>
          </cell>
        </row>
        <row r="70">
          <cell r="A70" t="str">
            <v>0073</v>
          </cell>
          <cell r="B70">
            <v>87183838.810000002</v>
          </cell>
        </row>
        <row r="71">
          <cell r="A71" t="str">
            <v>0074</v>
          </cell>
          <cell r="B71">
            <v>69068661.840000004</v>
          </cell>
        </row>
        <row r="72">
          <cell r="A72" t="str">
            <v>0075</v>
          </cell>
          <cell r="B72">
            <v>9315293.8499999996</v>
          </cell>
        </row>
        <row r="73">
          <cell r="A73" t="str">
            <v>0076</v>
          </cell>
          <cell r="B73">
            <v>18692315.43</v>
          </cell>
        </row>
        <row r="74">
          <cell r="A74" t="str">
            <v>0077</v>
          </cell>
          <cell r="B74">
            <v>18700907.07</v>
          </cell>
        </row>
        <row r="75">
          <cell r="A75" t="str">
            <v>0078</v>
          </cell>
          <cell r="B75">
            <v>29323391.129999999</v>
          </cell>
        </row>
        <row r="76">
          <cell r="A76" t="str">
            <v>0079</v>
          </cell>
          <cell r="B76">
            <v>865308.25</v>
          </cell>
        </row>
        <row r="77">
          <cell r="A77" t="str">
            <v>0080</v>
          </cell>
          <cell r="B77">
            <v>741625</v>
          </cell>
        </row>
        <row r="78">
          <cell r="A78" t="str">
            <v>0081</v>
          </cell>
          <cell r="B78">
            <v>72458623.859999999</v>
          </cell>
        </row>
        <row r="79">
          <cell r="A79" t="str">
            <v>0082</v>
          </cell>
          <cell r="B79">
            <v>134348596.27000001</v>
          </cell>
        </row>
        <row r="80">
          <cell r="A80" t="str">
            <v>0083</v>
          </cell>
          <cell r="B80">
            <v>36901470.039999999</v>
          </cell>
        </row>
        <row r="81">
          <cell r="A81" t="str">
            <v>0085</v>
          </cell>
          <cell r="B81">
            <v>7910105.6200000001</v>
          </cell>
        </row>
        <row r="82">
          <cell r="A82" t="str">
            <v>0086</v>
          </cell>
          <cell r="B82">
            <v>12331947.75</v>
          </cell>
        </row>
        <row r="83">
          <cell r="A83" t="str">
            <v>0088</v>
          </cell>
          <cell r="B83">
            <v>0</v>
          </cell>
        </row>
        <row r="84">
          <cell r="A84" t="str">
            <v>0089</v>
          </cell>
          <cell r="B84">
            <v>18221238.890000001</v>
          </cell>
        </row>
        <row r="85">
          <cell r="A85" t="str">
            <v>0091</v>
          </cell>
          <cell r="B85">
            <v>0</v>
          </cell>
        </row>
        <row r="86">
          <cell r="A86" t="str">
            <v>0092</v>
          </cell>
          <cell r="B86">
            <v>24115124.079999998</v>
          </cell>
        </row>
        <row r="87">
          <cell r="A87" t="str">
            <v>0093</v>
          </cell>
          <cell r="B87">
            <v>16705093.9</v>
          </cell>
        </row>
        <row r="88">
          <cell r="A88" t="str">
            <v>0094</v>
          </cell>
          <cell r="B88">
            <v>4756469.7773000002</v>
          </cell>
        </row>
        <row r="89">
          <cell r="A89" t="str">
            <v>0095</v>
          </cell>
          <cell r="B89">
            <v>15776627.4</v>
          </cell>
        </row>
        <row r="90">
          <cell r="A90" t="str">
            <v>0096</v>
          </cell>
          <cell r="B90">
            <v>18855814.73</v>
          </cell>
        </row>
        <row r="91">
          <cell r="A91" t="str">
            <v>0097</v>
          </cell>
          <cell r="B91">
            <v>12263.99</v>
          </cell>
        </row>
        <row r="92">
          <cell r="A92" t="str">
            <v>0098</v>
          </cell>
          <cell r="B92">
            <v>7289839.5700000003</v>
          </cell>
        </row>
        <row r="93">
          <cell r="A93" t="str">
            <v>0100</v>
          </cell>
          <cell r="B93">
            <v>56163034.740000002</v>
          </cell>
        </row>
        <row r="94">
          <cell r="A94" t="str">
            <v>0101</v>
          </cell>
          <cell r="B94">
            <v>1730036.09</v>
          </cell>
        </row>
        <row r="95">
          <cell r="A95" t="str">
            <v>0102</v>
          </cell>
          <cell r="B95">
            <v>45213310.530000001</v>
          </cell>
        </row>
        <row r="96">
          <cell r="A96" t="str">
            <v>0103</v>
          </cell>
          <cell r="B96">
            <v>69537011.099999994</v>
          </cell>
        </row>
        <row r="97">
          <cell r="A97" t="str">
            <v>0104</v>
          </cell>
          <cell r="B97">
            <v>26530993.829999998</v>
          </cell>
        </row>
        <row r="98">
          <cell r="A98" t="str">
            <v>0105</v>
          </cell>
          <cell r="B98">
            <v>5831988.0199999996</v>
          </cell>
        </row>
        <row r="99">
          <cell r="A99" t="str">
            <v>0106</v>
          </cell>
          <cell r="B99">
            <v>9315548</v>
          </cell>
        </row>
        <row r="100">
          <cell r="A100" t="str">
            <v>0107</v>
          </cell>
          <cell r="B100">
            <v>3114574.37</v>
          </cell>
        </row>
        <row r="101">
          <cell r="A101" t="str">
            <v>0108</v>
          </cell>
          <cell r="B101">
            <v>67279019.280000001</v>
          </cell>
        </row>
        <row r="102">
          <cell r="A102" t="str">
            <v>0109</v>
          </cell>
          <cell r="B102">
            <v>253727.69</v>
          </cell>
        </row>
        <row r="103">
          <cell r="A103" t="str">
            <v>0110</v>
          </cell>
          <cell r="B103">
            <v>40058.589999999997</v>
          </cell>
        </row>
        <row r="104">
          <cell r="A104" t="str">
            <v>0111</v>
          </cell>
          <cell r="B104">
            <v>23004672.91</v>
          </cell>
        </row>
        <row r="105">
          <cell r="A105" t="str">
            <v>0112</v>
          </cell>
          <cell r="B105">
            <v>11596683.793500001</v>
          </cell>
        </row>
        <row r="106">
          <cell r="A106" t="str">
            <v>0113</v>
          </cell>
          <cell r="B106">
            <v>24049065.84</v>
          </cell>
        </row>
        <row r="107">
          <cell r="A107" t="str">
            <v>0114</v>
          </cell>
          <cell r="B107">
            <v>16968823.760000002</v>
          </cell>
        </row>
        <row r="108">
          <cell r="A108" t="str">
            <v>0115</v>
          </cell>
          <cell r="B108">
            <v>5233053.0197000001</v>
          </cell>
        </row>
        <row r="109">
          <cell r="A109" t="str">
            <v>0116</v>
          </cell>
          <cell r="B109">
            <v>7677196.6966000004</v>
          </cell>
        </row>
        <row r="110">
          <cell r="A110" t="str">
            <v>0117</v>
          </cell>
          <cell r="B110">
            <v>2170177.46</v>
          </cell>
        </row>
        <row r="111">
          <cell r="A111" t="str">
            <v>0118</v>
          </cell>
          <cell r="B111">
            <v>2158889.73</v>
          </cell>
        </row>
        <row r="112">
          <cell r="A112" t="str">
            <v>0119</v>
          </cell>
          <cell r="B112">
            <v>1274490.71</v>
          </cell>
        </row>
        <row r="113">
          <cell r="A113" t="str">
            <v>0120</v>
          </cell>
          <cell r="B113">
            <v>27210297.629999999</v>
          </cell>
        </row>
        <row r="114">
          <cell r="A114" t="str">
            <v>0121</v>
          </cell>
          <cell r="B114">
            <v>0</v>
          </cell>
        </row>
        <row r="115">
          <cell r="A115" t="str">
            <v>0122</v>
          </cell>
          <cell r="B115">
            <v>0</v>
          </cell>
        </row>
        <row r="116">
          <cell r="A116" t="str">
            <v>0123</v>
          </cell>
          <cell r="B116">
            <v>4154302.98</v>
          </cell>
        </row>
        <row r="117">
          <cell r="A117" t="str">
            <v>0124</v>
          </cell>
          <cell r="B117">
            <v>0</v>
          </cell>
        </row>
        <row r="118">
          <cell r="A118" t="str">
            <v>0125</v>
          </cell>
          <cell r="B118">
            <v>5132932.16</v>
          </cell>
        </row>
        <row r="119">
          <cell r="A119" t="str">
            <v>0126</v>
          </cell>
          <cell r="B119">
            <v>676576.54</v>
          </cell>
        </row>
        <row r="120">
          <cell r="A120" t="str">
            <v>0127</v>
          </cell>
          <cell r="B120">
            <v>0</v>
          </cell>
        </row>
        <row r="121">
          <cell r="A121" t="str">
            <v>0128</v>
          </cell>
          <cell r="B121">
            <v>0</v>
          </cell>
        </row>
        <row r="122">
          <cell r="A122" t="str">
            <v>0129</v>
          </cell>
          <cell r="B122">
            <v>7642875.8909</v>
          </cell>
        </row>
        <row r="123">
          <cell r="A123" t="str">
            <v>0131</v>
          </cell>
          <cell r="B123">
            <v>80700662.969999999</v>
          </cell>
        </row>
        <row r="124">
          <cell r="A124" t="str">
            <v>0132</v>
          </cell>
          <cell r="B124">
            <v>0</v>
          </cell>
        </row>
        <row r="125">
          <cell r="A125" t="str">
            <v>0133</v>
          </cell>
          <cell r="B125">
            <v>51151802.950000003</v>
          </cell>
        </row>
        <row r="126">
          <cell r="A126" t="str">
            <v>0134</v>
          </cell>
          <cell r="B126">
            <v>51037975.460000001</v>
          </cell>
        </row>
        <row r="127">
          <cell r="A127" t="str">
            <v>0135</v>
          </cell>
          <cell r="B127">
            <v>0</v>
          </cell>
        </row>
        <row r="128">
          <cell r="A128" t="str">
            <v>0136</v>
          </cell>
          <cell r="B128">
            <v>7635377.9400000004</v>
          </cell>
        </row>
        <row r="129">
          <cell r="A129" t="str">
            <v>0137</v>
          </cell>
          <cell r="B129">
            <v>57213099.189999998</v>
          </cell>
        </row>
        <row r="130">
          <cell r="A130" t="str">
            <v>0138</v>
          </cell>
          <cell r="B130">
            <v>11096301.32</v>
          </cell>
        </row>
        <row r="131">
          <cell r="A131" t="str">
            <v>0139</v>
          </cell>
          <cell r="B131">
            <v>774289.26</v>
          </cell>
        </row>
        <row r="132">
          <cell r="A132" t="str">
            <v>0140</v>
          </cell>
          <cell r="B132">
            <v>10324874.52</v>
          </cell>
        </row>
        <row r="133">
          <cell r="A133" t="str">
            <v>0141</v>
          </cell>
          <cell r="B133">
            <v>47124370.399999999</v>
          </cell>
        </row>
        <row r="134">
          <cell r="A134" t="str">
            <v>0142</v>
          </cell>
          <cell r="B134">
            <v>0</v>
          </cell>
        </row>
        <row r="135">
          <cell r="A135" t="str">
            <v>0143</v>
          </cell>
          <cell r="B135">
            <v>50152680.759999998</v>
          </cell>
        </row>
        <row r="136">
          <cell r="A136" t="str">
            <v>0144</v>
          </cell>
          <cell r="B136">
            <v>31719769.859999999</v>
          </cell>
        </row>
        <row r="137">
          <cell r="A137" t="str">
            <v>0145</v>
          </cell>
          <cell r="B137">
            <v>102208.03</v>
          </cell>
        </row>
        <row r="138">
          <cell r="A138" t="str">
            <v>0146</v>
          </cell>
          <cell r="B138">
            <v>40856504.439999998</v>
          </cell>
        </row>
        <row r="139">
          <cell r="A139" t="str">
            <v>0147</v>
          </cell>
          <cell r="B139">
            <v>23973378.129999999</v>
          </cell>
        </row>
        <row r="140">
          <cell r="A140" t="str">
            <v>0148</v>
          </cell>
          <cell r="B140">
            <v>95162530.609999999</v>
          </cell>
        </row>
        <row r="141">
          <cell r="A141" t="str">
            <v>0149</v>
          </cell>
          <cell r="B141">
            <v>9620830.8599999994</v>
          </cell>
        </row>
        <row r="142">
          <cell r="A142" t="str">
            <v>0150</v>
          </cell>
          <cell r="B142">
            <v>16727222.18</v>
          </cell>
        </row>
        <row r="143">
          <cell r="A143" t="str">
            <v>0151</v>
          </cell>
          <cell r="B143">
            <v>328194.7</v>
          </cell>
        </row>
        <row r="144">
          <cell r="A144" t="str">
            <v>0152</v>
          </cell>
          <cell r="B144">
            <v>0</v>
          </cell>
        </row>
        <row r="145">
          <cell r="A145" t="str">
            <v>0153</v>
          </cell>
          <cell r="B145">
            <v>16890439.93</v>
          </cell>
        </row>
        <row r="146">
          <cell r="A146" t="str">
            <v>0154</v>
          </cell>
          <cell r="B146">
            <v>0</v>
          </cell>
        </row>
        <row r="147">
          <cell r="A147" t="str">
            <v>0155</v>
          </cell>
          <cell r="B147">
            <v>10760227.859999999</v>
          </cell>
        </row>
        <row r="148">
          <cell r="A148" t="str">
            <v>0156</v>
          </cell>
          <cell r="B148">
            <v>38066973.450000003</v>
          </cell>
        </row>
        <row r="149">
          <cell r="A149" t="str">
            <v>0157</v>
          </cell>
          <cell r="B149">
            <v>17900499.48</v>
          </cell>
        </row>
        <row r="150">
          <cell r="A150" t="str">
            <v>0158</v>
          </cell>
          <cell r="B150">
            <v>1645542.04</v>
          </cell>
        </row>
        <row r="151">
          <cell r="A151" t="str">
            <v>0159</v>
          </cell>
          <cell r="B151">
            <v>204655.48</v>
          </cell>
        </row>
        <row r="152">
          <cell r="A152" t="str">
            <v>0160</v>
          </cell>
          <cell r="B152">
            <v>6225710.2300000004</v>
          </cell>
        </row>
        <row r="153">
          <cell r="A153" t="str">
            <v>0161</v>
          </cell>
          <cell r="B153">
            <v>10798070.460000001</v>
          </cell>
        </row>
        <row r="154">
          <cell r="A154" t="str">
            <v>0162</v>
          </cell>
          <cell r="B154">
            <v>360976602.29000002</v>
          </cell>
        </row>
        <row r="155">
          <cell r="A155" t="str">
            <v>0163</v>
          </cell>
          <cell r="B155">
            <v>360976602.29000002</v>
          </cell>
        </row>
        <row r="156">
          <cell r="A156" t="str">
            <v>0164</v>
          </cell>
          <cell r="B156">
            <v>0</v>
          </cell>
        </row>
        <row r="157">
          <cell r="A157" t="str">
            <v>0165</v>
          </cell>
          <cell r="B157">
            <v>65985.149999999994</v>
          </cell>
        </row>
        <row r="158">
          <cell r="A158" t="str">
            <v>0166</v>
          </cell>
          <cell r="B158">
            <v>0</v>
          </cell>
        </row>
        <row r="159">
          <cell r="A159" t="str">
            <v>0167</v>
          </cell>
          <cell r="B159">
            <v>177145.39</v>
          </cell>
        </row>
        <row r="160">
          <cell r="A160" t="str">
            <v>0168</v>
          </cell>
          <cell r="B160">
            <v>13677261.529999999</v>
          </cell>
        </row>
        <row r="161">
          <cell r="A161" t="str">
            <v>0169</v>
          </cell>
          <cell r="B161">
            <v>27358068.449999999</v>
          </cell>
        </row>
        <row r="162">
          <cell r="A162" t="str">
            <v>0170</v>
          </cell>
          <cell r="B162">
            <v>0</v>
          </cell>
        </row>
        <row r="163">
          <cell r="A163" t="str">
            <v>0171</v>
          </cell>
          <cell r="B163">
            <v>343029.28</v>
          </cell>
        </row>
        <row r="164">
          <cell r="A164" t="str">
            <v>0172</v>
          </cell>
          <cell r="B164">
            <v>0</v>
          </cell>
        </row>
        <row r="165">
          <cell r="A165" t="str">
            <v>0173</v>
          </cell>
          <cell r="B165">
            <v>7926475.2699999996</v>
          </cell>
        </row>
        <row r="166">
          <cell r="A166" t="str">
            <v>0174</v>
          </cell>
          <cell r="B166">
            <v>0</v>
          </cell>
        </row>
        <row r="167">
          <cell r="A167" t="str">
            <v>0175</v>
          </cell>
          <cell r="B167">
            <v>30782212.440000001</v>
          </cell>
        </row>
        <row r="168">
          <cell r="A168" t="str">
            <v>0176</v>
          </cell>
          <cell r="B168">
            <v>0</v>
          </cell>
        </row>
        <row r="169">
          <cell r="A169" t="str">
            <v>0177</v>
          </cell>
          <cell r="B169">
            <v>15533899.390000001</v>
          </cell>
        </row>
        <row r="170">
          <cell r="A170" t="str">
            <v>0178</v>
          </cell>
          <cell r="B170">
            <v>8152390.8300000001</v>
          </cell>
        </row>
        <row r="171">
          <cell r="A171" t="str">
            <v>0179</v>
          </cell>
          <cell r="B171">
            <v>4908168.45</v>
          </cell>
        </row>
        <row r="172">
          <cell r="A172" t="str">
            <v>0180</v>
          </cell>
          <cell r="B172">
            <v>0</v>
          </cell>
        </row>
        <row r="173">
          <cell r="A173" t="str">
            <v>0181</v>
          </cell>
          <cell r="B173">
            <v>0</v>
          </cell>
        </row>
        <row r="174">
          <cell r="A174" t="str">
            <v>0182</v>
          </cell>
          <cell r="B174">
            <v>2371011.1800000002</v>
          </cell>
        </row>
        <row r="175">
          <cell r="A175" t="str">
            <v>0183</v>
          </cell>
          <cell r="B175">
            <v>100047.19</v>
          </cell>
        </row>
        <row r="176">
          <cell r="A176" t="str">
            <v>0184</v>
          </cell>
          <cell r="B176">
            <v>0</v>
          </cell>
        </row>
        <row r="177">
          <cell r="A177" t="str">
            <v>0185</v>
          </cell>
          <cell r="B177">
            <v>1032267.03</v>
          </cell>
        </row>
        <row r="178">
          <cell r="A178" t="str">
            <v>0186</v>
          </cell>
          <cell r="B178">
            <v>36933.18</v>
          </cell>
        </row>
        <row r="179">
          <cell r="A179" t="str">
            <v>0187</v>
          </cell>
          <cell r="B179">
            <v>2135249.1</v>
          </cell>
        </row>
        <row r="180">
          <cell r="A180" t="str">
            <v>0188</v>
          </cell>
          <cell r="B180">
            <v>163178.76999999999</v>
          </cell>
        </row>
        <row r="181">
          <cell r="A181" t="str">
            <v>0189</v>
          </cell>
          <cell r="B181">
            <v>0</v>
          </cell>
        </row>
        <row r="182">
          <cell r="A182" t="str">
            <v>0190</v>
          </cell>
          <cell r="B182">
            <v>10701612.51</v>
          </cell>
        </row>
        <row r="183">
          <cell r="A183" t="str">
            <v>0191</v>
          </cell>
          <cell r="B183">
            <v>4666093.05</v>
          </cell>
        </row>
        <row r="184">
          <cell r="A184" t="str">
            <v>0192</v>
          </cell>
          <cell r="B184">
            <v>0</v>
          </cell>
        </row>
        <row r="185">
          <cell r="A185" t="str">
            <v>0193</v>
          </cell>
          <cell r="B185">
            <v>5344127.33</v>
          </cell>
        </row>
        <row r="186">
          <cell r="A186" t="str">
            <v>0194</v>
          </cell>
          <cell r="B186">
            <v>0</v>
          </cell>
        </row>
        <row r="187">
          <cell r="A187" t="str">
            <v>0195</v>
          </cell>
          <cell r="B187">
            <v>11574826.1</v>
          </cell>
        </row>
        <row r="188">
          <cell r="A188" t="str">
            <v>0196</v>
          </cell>
          <cell r="B188">
            <v>0</v>
          </cell>
        </row>
        <row r="189">
          <cell r="A189" t="str">
            <v>0197</v>
          </cell>
          <cell r="B189">
            <v>0</v>
          </cell>
        </row>
        <row r="190">
          <cell r="A190" t="str">
            <v>0198</v>
          </cell>
          <cell r="B190">
            <v>0</v>
          </cell>
        </row>
        <row r="191">
          <cell r="A191" t="str">
            <v>0199</v>
          </cell>
          <cell r="B191">
            <v>0</v>
          </cell>
        </row>
        <row r="192">
          <cell r="A192" t="str">
            <v>0200</v>
          </cell>
          <cell r="B192">
            <v>18332241.690000001</v>
          </cell>
        </row>
        <row r="193">
          <cell r="A193" t="str">
            <v>0201</v>
          </cell>
          <cell r="B193">
            <v>0</v>
          </cell>
        </row>
        <row r="194">
          <cell r="A194" t="str">
            <v>0202</v>
          </cell>
          <cell r="B194">
            <v>0</v>
          </cell>
        </row>
        <row r="195">
          <cell r="A195" t="str">
            <v>0203</v>
          </cell>
          <cell r="B195">
            <v>4940591.22</v>
          </cell>
        </row>
        <row r="196">
          <cell r="A196" t="str">
            <v>0204</v>
          </cell>
          <cell r="B196">
            <v>0</v>
          </cell>
        </row>
        <row r="197">
          <cell r="A197" t="str">
            <v>0205</v>
          </cell>
          <cell r="B197">
            <v>1483919.44</v>
          </cell>
        </row>
        <row r="198">
          <cell r="A198" t="str">
            <v>0206</v>
          </cell>
          <cell r="B198">
            <v>0</v>
          </cell>
        </row>
        <row r="199">
          <cell r="A199" t="str">
            <v>0207</v>
          </cell>
          <cell r="B199">
            <v>4693498.7</v>
          </cell>
        </row>
        <row r="200">
          <cell r="A200" t="str">
            <v>0208</v>
          </cell>
          <cell r="B200">
            <v>0</v>
          </cell>
        </row>
        <row r="201">
          <cell r="A201" t="str">
            <v>0209</v>
          </cell>
          <cell r="B201">
            <v>0</v>
          </cell>
        </row>
        <row r="202">
          <cell r="A202" t="str">
            <v>0210</v>
          </cell>
          <cell r="B202">
            <v>0</v>
          </cell>
        </row>
        <row r="203">
          <cell r="A203" t="str">
            <v>0211</v>
          </cell>
          <cell r="B203">
            <v>0</v>
          </cell>
        </row>
        <row r="204">
          <cell r="A204" t="str">
            <v>0212</v>
          </cell>
          <cell r="B204">
            <v>9718742.3900000006</v>
          </cell>
        </row>
        <row r="205">
          <cell r="A205" t="str">
            <v>0213</v>
          </cell>
          <cell r="B205">
            <v>5325815.25</v>
          </cell>
        </row>
        <row r="206">
          <cell r="A206" t="str">
            <v>0214</v>
          </cell>
          <cell r="B206">
            <v>0</v>
          </cell>
        </row>
        <row r="207">
          <cell r="A207" t="str">
            <v>0215</v>
          </cell>
          <cell r="B207">
            <v>0</v>
          </cell>
        </row>
        <row r="208">
          <cell r="A208" t="str">
            <v>0216</v>
          </cell>
          <cell r="B208">
            <v>0</v>
          </cell>
        </row>
        <row r="209">
          <cell r="A209" t="str">
            <v>0217</v>
          </cell>
          <cell r="B209">
            <v>0</v>
          </cell>
        </row>
        <row r="210">
          <cell r="A210" t="str">
            <v>0218</v>
          </cell>
          <cell r="B210">
            <v>0</v>
          </cell>
        </row>
        <row r="211">
          <cell r="A211" t="str">
            <v>0219</v>
          </cell>
          <cell r="B211">
            <v>0</v>
          </cell>
        </row>
        <row r="212">
          <cell r="A212" t="str">
            <v>0220</v>
          </cell>
          <cell r="B212">
            <v>412869.52970000001</v>
          </cell>
        </row>
        <row r="213">
          <cell r="A213" t="str">
            <v>0221</v>
          </cell>
          <cell r="B213">
            <v>8041443.0673000002</v>
          </cell>
        </row>
        <row r="214">
          <cell r="A214" t="str">
            <v>0222</v>
          </cell>
          <cell r="B214">
            <v>7338292.5999999996</v>
          </cell>
        </row>
        <row r="215">
          <cell r="A215" t="str">
            <v>0223</v>
          </cell>
          <cell r="B215">
            <v>8899961.8148999996</v>
          </cell>
        </row>
        <row r="216">
          <cell r="A216" t="str">
            <v>0224</v>
          </cell>
          <cell r="B216">
            <v>0</v>
          </cell>
        </row>
        <row r="217">
          <cell r="A217" t="str">
            <v>0225</v>
          </cell>
          <cell r="B217">
            <v>1412109.86</v>
          </cell>
        </row>
        <row r="218">
          <cell r="A218" t="str">
            <v>0226</v>
          </cell>
          <cell r="B218">
            <v>0</v>
          </cell>
        </row>
        <row r="219">
          <cell r="A219" t="str">
            <v>0227</v>
          </cell>
          <cell r="B219">
            <v>0</v>
          </cell>
        </row>
        <row r="220">
          <cell r="A220" t="str">
            <v>0228</v>
          </cell>
          <cell r="B220">
            <v>0</v>
          </cell>
        </row>
        <row r="221">
          <cell r="A221" t="str">
            <v>0229</v>
          </cell>
          <cell r="B221">
            <v>0</v>
          </cell>
        </row>
        <row r="222">
          <cell r="A222" t="str">
            <v>0230</v>
          </cell>
          <cell r="B222">
            <v>0</v>
          </cell>
        </row>
        <row r="223">
          <cell r="A223" t="str">
            <v>0231</v>
          </cell>
          <cell r="B223">
            <v>13695585.109999999</v>
          </cell>
        </row>
        <row r="224">
          <cell r="A224" t="str">
            <v>0233</v>
          </cell>
          <cell r="B224">
            <v>0</v>
          </cell>
        </row>
        <row r="225">
          <cell r="A225" t="str">
            <v>0234</v>
          </cell>
          <cell r="B225">
            <v>42272.35</v>
          </cell>
        </row>
        <row r="226">
          <cell r="A226" t="str">
            <v>0235</v>
          </cell>
          <cell r="B226">
            <v>0</v>
          </cell>
        </row>
        <row r="227">
          <cell r="A227" t="str">
            <v>0236</v>
          </cell>
          <cell r="B227">
            <v>0</v>
          </cell>
        </row>
        <row r="228">
          <cell r="A228" t="str">
            <v>0237</v>
          </cell>
          <cell r="B228">
            <v>0</v>
          </cell>
        </row>
        <row r="229">
          <cell r="A229" t="str">
            <v>0240</v>
          </cell>
          <cell r="B229">
            <v>0</v>
          </cell>
        </row>
        <row r="230">
          <cell r="A230" t="str">
            <v>0241</v>
          </cell>
          <cell r="B230">
            <v>0</v>
          </cell>
        </row>
        <row r="231">
          <cell r="A231" t="str">
            <v>0242</v>
          </cell>
          <cell r="B231">
            <v>0</v>
          </cell>
        </row>
        <row r="232">
          <cell r="A232" t="str">
            <v>0245</v>
          </cell>
          <cell r="B232">
            <v>0</v>
          </cell>
        </row>
        <row r="233">
          <cell r="A233" t="str">
            <v>0404</v>
          </cell>
          <cell r="B233">
            <v>93876895.312000006</v>
          </cell>
        </row>
        <row r="234">
          <cell r="A234" t="str">
            <v>0407</v>
          </cell>
          <cell r="B234">
            <v>17278010.440000001</v>
          </cell>
        </row>
      </sheetData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Data"/>
      <sheetName val="Bank"/>
      <sheetName val="Sheet1"/>
      <sheetName val="Sheet2"/>
      <sheetName val="FCY"/>
      <sheetName val="ProdDataDec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ote 7 (2)"/>
      <sheetName val="Currency-expo"/>
      <sheetName val="Income"/>
      <sheetName val="Expenses"/>
      <sheetName val="A"/>
      <sheetName val="Assets 2002"/>
      <sheetName val="Liabiliteis 2002"/>
      <sheetName val="Sheet1 "/>
      <sheetName val="Sheet2 (3)"/>
      <sheetName val="Notes1-5"/>
      <sheetName val="Note 9.7-9.8 (2)"/>
      <sheetName val="Note 12(3)"/>
      <sheetName val="Chart2"/>
      <sheetName val="TaxWDVJul-Dec02"/>
      <sheetName val="AUDITADJUST (2)"/>
      <sheetName val="AUDITADJUST"/>
      <sheetName val="EFFECT"/>
      <sheetName val="P&amp;L 2002"/>
      <sheetName val="Sheet1 (3)"/>
      <sheetName val="NEWAD"/>
      <sheetName val="SBP-Staggering"/>
      <sheetName val="Assets (3)"/>
      <sheetName val="Liabiliteis (2)"/>
      <sheetName val="Computa.Tax"/>
      <sheetName val="Balance Sheet"/>
      <sheetName val="p&amp;l"/>
      <sheetName val="CashFlow"/>
      <sheetName val="Statement of Ch"/>
      <sheetName val="Notes1-5 OLD"/>
      <sheetName val="Note 3-6"/>
      <sheetName val="Note6"/>
      <sheetName val="Note 7"/>
      <sheetName val="Sheet10"/>
      <sheetName val="Sheet9"/>
      <sheetName val="Note"/>
      <sheetName val="Note6-8.2"/>
      <sheetName val="Note 9.6-9.9"/>
      <sheetName val="Notes10-10.4.2"/>
      <sheetName val="10.5-11.3"/>
      <sheetName val="Note 12 "/>
      <sheetName val="Note16-21.1"/>
      <sheetName val="Note22-23"/>
      <sheetName val="Notes24-26.1"/>
      <sheetName val="Computa.Tax (2)"/>
      <sheetName val="Notes33-34"/>
      <sheetName val="Notes35-36"/>
      <sheetName val="Notes37"/>
      <sheetName val="Notes38-42.1 (2)"/>
      <sheetName val="Com.TaxJul-Dec01"/>
      <sheetName val="Sheet8"/>
      <sheetName val="D Tax2002"/>
      <sheetName val="WKGJul-Dec01"/>
      <sheetName val="Guarantee"/>
      <sheetName val="reginal"/>
      <sheetName val="pinex"/>
      <sheetName val="Annexure (3)"/>
      <sheetName val="Notes42.2-44"/>
      <sheetName val="Note 45"/>
      <sheetName val="Annexure"/>
      <sheetName val="affair"/>
      <sheetName val="inc-exp"/>
      <sheetName val="YieldAd"/>
      <sheetName val="YieldAd-net"/>
      <sheetName val="MaturLiabili"/>
      <sheetName val="MaturiAssets"/>
      <sheetName val="Sheet1 (4)"/>
      <sheetName val="YielDeposit"/>
      <sheetName val="Sheet1"/>
      <sheetName val="summary (3)"/>
      <sheetName val="Sheet2"/>
      <sheetName val="Sheet3"/>
      <sheetName val="Notes(New)39-40"/>
      <sheetName val="Sheet6"/>
      <sheetName val="pinex (2)"/>
      <sheetName val="Annexure (2)"/>
      <sheetName val="Guarteee"/>
      <sheetName val="Sheet7"/>
      <sheetName val="Assets (2)"/>
      <sheetName val="summary (2)"/>
      <sheetName val="Deferred (2)"/>
      <sheetName val="Taxrelief"/>
      <sheetName val="OLD"/>
      <sheetName val="Assets"/>
      <sheetName val="Sheet4"/>
      <sheetName val="Sheet5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ote 12 (2)"/>
      <sheetName val="Defeered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Wise (2)"/>
      <sheetName val="ProductWisW-2007"/>
      <sheetName val="ProductWise"/>
      <sheetName val="DataProductWise"/>
      <sheetName val="acct"/>
      <sheetName val="Exc-Smy (Mn)"/>
      <sheetName val="summary"/>
      <sheetName val="plan"/>
      <sheetName val="Sheet1"/>
      <sheetName val="Currency"/>
      <sheetName val="Non-Statistical Sampling"/>
      <sheetName val="AR Drop Downs"/>
      <sheetName val="DropDown"/>
      <sheetName val="fg"/>
      <sheetName val="NORMAL"/>
      <sheetName val="last qrt2001"/>
    </sheetNames>
    <sheetDataSet>
      <sheetData sheetId="0"/>
      <sheetData sheetId="1"/>
      <sheetData sheetId="2"/>
      <sheetData sheetId="3" refreshError="1">
        <row r="2">
          <cell r="A2" t="str">
            <v>0002</v>
          </cell>
          <cell r="B2">
            <v>83.415400000000005</v>
          </cell>
          <cell r="C2">
            <v>5.4930000000000003</v>
          </cell>
          <cell r="D2">
            <v>35.921500000000002</v>
          </cell>
          <cell r="E2">
            <v>0</v>
          </cell>
          <cell r="F2">
            <v>2.9000000000000004</v>
          </cell>
          <cell r="G2">
            <v>0</v>
          </cell>
          <cell r="H2">
            <v>0</v>
          </cell>
          <cell r="I2">
            <v>11.032200000000001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8.8500000000000009E-2</v>
          </cell>
        </row>
        <row r="3">
          <cell r="A3" t="str">
            <v>0003</v>
          </cell>
          <cell r="B3">
            <v>521.17849999999999</v>
          </cell>
          <cell r="C3">
            <v>7.7332000000000001</v>
          </cell>
          <cell r="D3">
            <v>114.02760000000001</v>
          </cell>
          <cell r="E3">
            <v>15.4</v>
          </cell>
          <cell r="F3">
            <v>1.2</v>
          </cell>
          <cell r="G3">
            <v>2.0245000000000002</v>
          </cell>
          <cell r="H3">
            <v>0</v>
          </cell>
          <cell r="I3">
            <v>59.2</v>
          </cell>
          <cell r="J3">
            <v>1.895</v>
          </cell>
          <cell r="K3">
            <v>17.966200000000001</v>
          </cell>
          <cell r="L3">
            <v>0.89070000000000005</v>
          </cell>
          <cell r="M3">
            <v>1.9546000000000001</v>
          </cell>
          <cell r="N3">
            <v>0</v>
          </cell>
          <cell r="O3">
            <v>4.8487</v>
          </cell>
        </row>
        <row r="4">
          <cell r="A4" t="str">
            <v>0004</v>
          </cell>
          <cell r="B4">
            <v>153.6884</v>
          </cell>
          <cell r="C4">
            <v>62.035299999999999</v>
          </cell>
          <cell r="D4">
            <v>18.0931</v>
          </cell>
          <cell r="E4">
            <v>21.3</v>
          </cell>
          <cell r="F4">
            <v>3.4000000000000004</v>
          </cell>
          <cell r="G4">
            <v>2.1764000000000001</v>
          </cell>
          <cell r="H4">
            <v>0</v>
          </cell>
          <cell r="I4">
            <v>0</v>
          </cell>
          <cell r="J4">
            <v>0.38</v>
          </cell>
          <cell r="K4">
            <v>11.3736</v>
          </cell>
          <cell r="L4">
            <v>35.029699999999998</v>
          </cell>
          <cell r="M4">
            <v>0</v>
          </cell>
          <cell r="N4">
            <v>0</v>
          </cell>
          <cell r="O4">
            <v>4.6874000000000002</v>
          </cell>
        </row>
        <row r="5">
          <cell r="A5" t="str">
            <v>0005</v>
          </cell>
          <cell r="B5">
            <v>5888.4736000000003</v>
          </cell>
          <cell r="C5">
            <v>508.09340000000003</v>
          </cell>
          <cell r="D5">
            <v>1736.5753</v>
          </cell>
          <cell r="E5">
            <v>51.6</v>
          </cell>
          <cell r="F5">
            <v>26.633500000000002</v>
          </cell>
          <cell r="G5">
            <v>4.6772999999999998</v>
          </cell>
          <cell r="H5">
            <v>0</v>
          </cell>
          <cell r="I5">
            <v>21458.570500000002</v>
          </cell>
          <cell r="J5">
            <v>201.81750000000002</v>
          </cell>
          <cell r="K5">
            <v>61.998900000000006</v>
          </cell>
          <cell r="L5">
            <v>994.46730000000002</v>
          </cell>
          <cell r="M5">
            <v>8303.2653000000009</v>
          </cell>
          <cell r="N5">
            <v>0</v>
          </cell>
          <cell r="O5">
            <v>3.3250999999999999</v>
          </cell>
        </row>
        <row r="6">
          <cell r="A6" t="str">
            <v>0006</v>
          </cell>
          <cell r="B6">
            <v>437.05780000000004</v>
          </cell>
          <cell r="C6">
            <v>241.18210000000002</v>
          </cell>
          <cell r="D6">
            <v>1369.5895</v>
          </cell>
          <cell r="E6">
            <v>19.350000000000001</v>
          </cell>
          <cell r="F6">
            <v>47.870000000000005</v>
          </cell>
          <cell r="G6">
            <v>17.9651</v>
          </cell>
          <cell r="H6">
            <v>0.3</v>
          </cell>
          <cell r="I6">
            <v>6109.6285000000007</v>
          </cell>
          <cell r="J6">
            <v>43.986499999999999</v>
          </cell>
          <cell r="K6">
            <v>28.964100000000002</v>
          </cell>
          <cell r="L6">
            <v>777.81119999999999</v>
          </cell>
          <cell r="M6">
            <v>729.54309999999998</v>
          </cell>
          <cell r="N6">
            <v>0</v>
          </cell>
          <cell r="O6">
            <v>0.70510000000000006</v>
          </cell>
        </row>
        <row r="7">
          <cell r="A7" t="str">
            <v>0007</v>
          </cell>
          <cell r="B7">
            <v>510.97620000000001</v>
          </cell>
          <cell r="C7">
            <v>321.68180000000001</v>
          </cell>
          <cell r="D7">
            <v>3065.0909000000001</v>
          </cell>
          <cell r="E7">
            <v>57.604500000000002</v>
          </cell>
          <cell r="F7">
            <v>57.798999999999999</v>
          </cell>
          <cell r="G7">
            <v>7.4715000000000007</v>
          </cell>
          <cell r="H7">
            <v>0</v>
          </cell>
          <cell r="I7">
            <v>7496.4538000000002</v>
          </cell>
          <cell r="J7">
            <v>16.5731</v>
          </cell>
          <cell r="K7">
            <v>44.599900000000005</v>
          </cell>
          <cell r="L7">
            <v>1229.9213</v>
          </cell>
          <cell r="M7">
            <v>1762.1016000000002</v>
          </cell>
          <cell r="N7">
            <v>0</v>
          </cell>
          <cell r="O7">
            <v>1.1042000000000001</v>
          </cell>
        </row>
        <row r="8">
          <cell r="A8" t="str">
            <v>0008</v>
          </cell>
          <cell r="B8">
            <v>449.05040000000002</v>
          </cell>
          <cell r="C8">
            <v>117.06450000000001</v>
          </cell>
          <cell r="D8">
            <v>128.81829999999999</v>
          </cell>
          <cell r="E8">
            <v>13.255000000000001</v>
          </cell>
          <cell r="F8">
            <v>34.8825</v>
          </cell>
          <cell r="G8">
            <v>7.8258000000000001</v>
          </cell>
          <cell r="H8">
            <v>0</v>
          </cell>
          <cell r="I8">
            <v>627.31119999999999</v>
          </cell>
          <cell r="J8">
            <v>7.2140000000000004</v>
          </cell>
          <cell r="K8">
            <v>71.772800000000004</v>
          </cell>
          <cell r="L8">
            <v>68.683300000000003</v>
          </cell>
          <cell r="M8">
            <v>599.85610000000008</v>
          </cell>
          <cell r="N8">
            <v>0</v>
          </cell>
          <cell r="O8">
            <v>9.9263000000000012</v>
          </cell>
        </row>
        <row r="9">
          <cell r="A9" t="str">
            <v>0009</v>
          </cell>
          <cell r="B9">
            <v>330.21010000000001</v>
          </cell>
          <cell r="C9">
            <v>24.522000000000002</v>
          </cell>
          <cell r="D9">
            <v>40.174800000000005</v>
          </cell>
          <cell r="E9">
            <v>8.0500000000000007</v>
          </cell>
          <cell r="F9">
            <v>6</v>
          </cell>
          <cell r="G9">
            <v>0.216</v>
          </cell>
          <cell r="H9">
            <v>0</v>
          </cell>
          <cell r="I9">
            <v>0.05</v>
          </cell>
          <cell r="J9">
            <v>6.0476999999999999</v>
          </cell>
          <cell r="K9">
            <v>4.6592000000000002</v>
          </cell>
          <cell r="L9">
            <v>5.5289999999999999</v>
          </cell>
          <cell r="M9">
            <v>0</v>
          </cell>
          <cell r="N9">
            <v>0</v>
          </cell>
          <cell r="O9">
            <v>1.6363000000000001</v>
          </cell>
        </row>
        <row r="10">
          <cell r="A10" t="str">
            <v>0010</v>
          </cell>
          <cell r="B10">
            <v>222.89850000000001</v>
          </cell>
          <cell r="C10">
            <v>66.816299999999998</v>
          </cell>
          <cell r="D10">
            <v>35.611899999999999</v>
          </cell>
          <cell r="E10">
            <v>14.855</v>
          </cell>
          <cell r="F10">
            <v>4.05</v>
          </cell>
          <cell r="G10">
            <v>13.873600000000001</v>
          </cell>
          <cell r="H10">
            <v>0</v>
          </cell>
          <cell r="I10">
            <v>200</v>
          </cell>
          <cell r="J10">
            <v>2.1932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2.4374000000000002</v>
          </cell>
        </row>
        <row r="11">
          <cell r="A11" t="str">
            <v>0011</v>
          </cell>
          <cell r="B11">
            <v>302.06950000000001</v>
          </cell>
          <cell r="C11">
            <v>134.42699999999999</v>
          </cell>
          <cell r="D11">
            <v>60.481500000000004</v>
          </cell>
          <cell r="E11">
            <v>23.57</v>
          </cell>
          <cell r="F11">
            <v>17.956</v>
          </cell>
          <cell r="G11">
            <v>2.1934</v>
          </cell>
          <cell r="H11">
            <v>0</v>
          </cell>
          <cell r="I11">
            <v>206.727</v>
          </cell>
          <cell r="J11">
            <v>15.793700000000001</v>
          </cell>
          <cell r="K11">
            <v>43.564100000000003</v>
          </cell>
          <cell r="L11">
            <v>48.602700000000006</v>
          </cell>
          <cell r="M11">
            <v>0</v>
          </cell>
          <cell r="N11">
            <v>0</v>
          </cell>
          <cell r="O11">
            <v>7.060000000000001E-2</v>
          </cell>
        </row>
        <row r="12">
          <cell r="A12" t="str">
            <v>0012</v>
          </cell>
          <cell r="B12">
            <v>239.6156</v>
          </cell>
          <cell r="C12">
            <v>51.267000000000003</v>
          </cell>
          <cell r="D12">
            <v>5923.3278</v>
          </cell>
          <cell r="E12">
            <v>0</v>
          </cell>
          <cell r="F12">
            <v>0</v>
          </cell>
          <cell r="G12">
            <v>0.9214</v>
          </cell>
          <cell r="H12">
            <v>0</v>
          </cell>
          <cell r="I12">
            <v>2548.9419000000003</v>
          </cell>
          <cell r="J12">
            <v>5.3693</v>
          </cell>
          <cell r="K12">
            <v>19.7226</v>
          </cell>
          <cell r="L12">
            <v>81.051900000000003</v>
          </cell>
          <cell r="M12">
            <v>0</v>
          </cell>
          <cell r="N12">
            <v>0</v>
          </cell>
          <cell r="O12">
            <v>1.6707000000000001</v>
          </cell>
        </row>
        <row r="13">
          <cell r="A13" t="str">
            <v>0013</v>
          </cell>
          <cell r="B13">
            <v>340.23330000000004</v>
          </cell>
          <cell r="C13">
            <v>1.9405000000000001</v>
          </cell>
          <cell r="D13">
            <v>16.295200000000001</v>
          </cell>
          <cell r="E13">
            <v>0</v>
          </cell>
          <cell r="F13">
            <v>0</v>
          </cell>
          <cell r="G13">
            <v>6.0000000000000006E-4</v>
          </cell>
          <cell r="H13">
            <v>0</v>
          </cell>
          <cell r="I13">
            <v>0</v>
          </cell>
          <cell r="J13">
            <v>0.57030000000000003</v>
          </cell>
          <cell r="K13">
            <v>8.4337999999999997</v>
          </cell>
          <cell r="L13">
            <v>2.1000000000000003E-3</v>
          </cell>
          <cell r="M13">
            <v>0</v>
          </cell>
          <cell r="N13">
            <v>0</v>
          </cell>
          <cell r="O13">
            <v>38.9024</v>
          </cell>
        </row>
        <row r="14">
          <cell r="A14" t="str">
            <v>0014</v>
          </cell>
          <cell r="B14">
            <v>277.7903</v>
          </cell>
          <cell r="C14">
            <v>92.320599999999999</v>
          </cell>
          <cell r="D14">
            <v>1234.2285000000002</v>
          </cell>
          <cell r="E14">
            <v>14.25</v>
          </cell>
          <cell r="F14">
            <v>5.3</v>
          </cell>
          <cell r="G14">
            <v>5.0951000000000004</v>
          </cell>
          <cell r="H14">
            <v>0</v>
          </cell>
          <cell r="I14">
            <v>103.91600000000001</v>
          </cell>
          <cell r="J14">
            <v>1.4904000000000002</v>
          </cell>
          <cell r="K14">
            <v>57.795200000000001</v>
          </cell>
          <cell r="L14">
            <v>41.203500000000005</v>
          </cell>
          <cell r="M14">
            <v>115.6224</v>
          </cell>
          <cell r="N14">
            <v>0</v>
          </cell>
          <cell r="O14">
            <v>0.71479999999999999</v>
          </cell>
        </row>
        <row r="15">
          <cell r="A15" t="str">
            <v>0015</v>
          </cell>
          <cell r="B15">
            <v>416.47880000000004</v>
          </cell>
          <cell r="C15">
            <v>34.212600000000002</v>
          </cell>
          <cell r="D15">
            <v>115.29040000000001</v>
          </cell>
          <cell r="E15">
            <v>0.25</v>
          </cell>
          <cell r="F15">
            <v>1</v>
          </cell>
          <cell r="G15">
            <v>0</v>
          </cell>
          <cell r="H15">
            <v>0.5</v>
          </cell>
          <cell r="I15">
            <v>593.20699999999999</v>
          </cell>
          <cell r="J15">
            <v>73.927000000000007</v>
          </cell>
          <cell r="K15">
            <v>14.972800000000001</v>
          </cell>
          <cell r="L15">
            <v>5.3772000000000002</v>
          </cell>
          <cell r="M15">
            <v>0</v>
          </cell>
          <cell r="N15">
            <v>0</v>
          </cell>
          <cell r="O15">
            <v>25.296500000000002</v>
          </cell>
        </row>
        <row r="16">
          <cell r="A16" t="str">
            <v>0016</v>
          </cell>
          <cell r="B16">
            <v>297.14320000000004</v>
          </cell>
          <cell r="C16">
            <v>68.444100000000006</v>
          </cell>
          <cell r="D16">
            <v>27.9619</v>
          </cell>
          <cell r="E16">
            <v>3.95</v>
          </cell>
          <cell r="F16">
            <v>7.8500000000000005</v>
          </cell>
          <cell r="G16">
            <v>0.81830000000000003</v>
          </cell>
          <cell r="H16">
            <v>0</v>
          </cell>
          <cell r="I16">
            <v>10.9961</v>
          </cell>
          <cell r="J16">
            <v>2.5374000000000003</v>
          </cell>
          <cell r="K16">
            <v>5.6227</v>
          </cell>
          <cell r="L16">
            <v>3.5974000000000004</v>
          </cell>
          <cell r="M16">
            <v>0</v>
          </cell>
          <cell r="N16">
            <v>0</v>
          </cell>
          <cell r="O16">
            <v>4.9000000000000004</v>
          </cell>
        </row>
        <row r="17">
          <cell r="A17" t="str">
            <v>0017</v>
          </cell>
          <cell r="B17">
            <v>152.3527</v>
          </cell>
          <cell r="C17">
            <v>42.396700000000003</v>
          </cell>
          <cell r="D17">
            <v>6.8879999999999999</v>
          </cell>
          <cell r="E17">
            <v>6.2250000000000005</v>
          </cell>
          <cell r="F17">
            <v>14.3</v>
          </cell>
          <cell r="G17">
            <v>11.1348</v>
          </cell>
          <cell r="H17">
            <v>0</v>
          </cell>
          <cell r="I17">
            <v>6.8000000000000007</v>
          </cell>
          <cell r="J17">
            <v>0.82500000000000007</v>
          </cell>
          <cell r="K17">
            <v>1.1336000000000002</v>
          </cell>
          <cell r="L17">
            <v>4.3666999999999998</v>
          </cell>
          <cell r="M17">
            <v>0</v>
          </cell>
          <cell r="N17">
            <v>0</v>
          </cell>
          <cell r="O17">
            <v>4.4876000000000005</v>
          </cell>
        </row>
        <row r="18">
          <cell r="A18" t="str">
            <v>0018</v>
          </cell>
          <cell r="B18">
            <v>439.86799999999999</v>
          </cell>
          <cell r="C18">
            <v>24.228200000000001</v>
          </cell>
          <cell r="D18">
            <v>913.09300000000007</v>
          </cell>
          <cell r="E18">
            <v>14.155000000000001</v>
          </cell>
          <cell r="F18">
            <v>5.25</v>
          </cell>
          <cell r="G18">
            <v>1.4882</v>
          </cell>
          <cell r="H18">
            <v>0</v>
          </cell>
          <cell r="I18">
            <v>389.39800000000002</v>
          </cell>
          <cell r="J18">
            <v>5.3226000000000004</v>
          </cell>
          <cell r="K18">
            <v>5.6745000000000001</v>
          </cell>
          <cell r="L18">
            <v>0.45020000000000004</v>
          </cell>
          <cell r="M18">
            <v>0</v>
          </cell>
          <cell r="N18">
            <v>0</v>
          </cell>
          <cell r="O18">
            <v>34.818400000000004</v>
          </cell>
        </row>
        <row r="19">
          <cell r="A19" t="str">
            <v>0019</v>
          </cell>
          <cell r="B19">
            <v>336.7482</v>
          </cell>
          <cell r="C19">
            <v>49.945</v>
          </cell>
          <cell r="D19">
            <v>151.90270000000001</v>
          </cell>
          <cell r="E19">
            <v>7.8000000000000007</v>
          </cell>
          <cell r="F19">
            <v>7.9</v>
          </cell>
          <cell r="G19">
            <v>3.5834000000000001</v>
          </cell>
          <cell r="H19">
            <v>0</v>
          </cell>
          <cell r="I19">
            <v>621.06870000000004</v>
          </cell>
          <cell r="J19">
            <v>15.627600000000001</v>
          </cell>
          <cell r="K19">
            <v>16.3735</v>
          </cell>
          <cell r="L19">
            <v>6.5596000000000005</v>
          </cell>
          <cell r="M19">
            <v>0</v>
          </cell>
          <cell r="N19">
            <v>0</v>
          </cell>
          <cell r="O19">
            <v>5.2545000000000002</v>
          </cell>
        </row>
        <row r="20">
          <cell r="A20" t="str">
            <v>0020</v>
          </cell>
          <cell r="B20">
            <v>253.0171</v>
          </cell>
          <cell r="C20">
            <v>34.418300000000002</v>
          </cell>
          <cell r="D20">
            <v>207.23670000000001</v>
          </cell>
          <cell r="E20">
            <v>0.9</v>
          </cell>
          <cell r="F20">
            <v>0</v>
          </cell>
          <cell r="G20">
            <v>0.37340000000000001</v>
          </cell>
          <cell r="H20">
            <v>0</v>
          </cell>
          <cell r="I20">
            <v>28.788900000000002</v>
          </cell>
          <cell r="J20">
            <v>3.0082</v>
          </cell>
          <cell r="K20">
            <v>119.69670000000001</v>
          </cell>
          <cell r="L20">
            <v>12.1242</v>
          </cell>
          <cell r="M20">
            <v>0</v>
          </cell>
          <cell r="N20">
            <v>0</v>
          </cell>
          <cell r="O20">
            <v>43.936</v>
          </cell>
        </row>
        <row r="21">
          <cell r="A21" t="str">
            <v>0021</v>
          </cell>
          <cell r="B21">
            <v>690.19720000000007</v>
          </cell>
          <cell r="C21">
            <v>20.971600000000002</v>
          </cell>
          <cell r="D21">
            <v>69.193700000000007</v>
          </cell>
          <cell r="E21">
            <v>0</v>
          </cell>
          <cell r="F21">
            <v>2.15</v>
          </cell>
          <cell r="G21">
            <v>0.54570000000000007</v>
          </cell>
          <cell r="H21">
            <v>0</v>
          </cell>
          <cell r="I21">
            <v>499.40690000000001</v>
          </cell>
          <cell r="J21">
            <v>7.3192000000000004</v>
          </cell>
          <cell r="K21">
            <v>5.5000000000000005E-3</v>
          </cell>
          <cell r="L21">
            <v>0</v>
          </cell>
          <cell r="M21">
            <v>0</v>
          </cell>
          <cell r="N21">
            <v>0</v>
          </cell>
          <cell r="O21">
            <v>15.7759</v>
          </cell>
        </row>
        <row r="22">
          <cell r="A22" t="str">
            <v>0022</v>
          </cell>
          <cell r="B22">
            <v>75.536200000000008</v>
          </cell>
          <cell r="C22">
            <v>21.6389</v>
          </cell>
          <cell r="D22">
            <v>256.18299999999999</v>
          </cell>
          <cell r="E22">
            <v>0</v>
          </cell>
          <cell r="F22">
            <v>0</v>
          </cell>
          <cell r="G22">
            <v>4.0196000000000005</v>
          </cell>
          <cell r="H22">
            <v>0</v>
          </cell>
          <cell r="I22">
            <v>42.768000000000001</v>
          </cell>
          <cell r="J22">
            <v>1.4739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2.2141999999999999</v>
          </cell>
        </row>
        <row r="23">
          <cell r="A23" t="str">
            <v>0023</v>
          </cell>
          <cell r="B23">
            <v>236.86510000000001</v>
          </cell>
          <cell r="C23">
            <v>35.528199999999998</v>
          </cell>
          <cell r="D23">
            <v>56.791800000000002</v>
          </cell>
          <cell r="E23">
            <v>2.484</v>
          </cell>
          <cell r="F23">
            <v>0</v>
          </cell>
          <cell r="G23">
            <v>0.1646</v>
          </cell>
          <cell r="H23">
            <v>0</v>
          </cell>
          <cell r="I23">
            <v>527.44320000000005</v>
          </cell>
          <cell r="J23">
            <v>7.7089000000000008</v>
          </cell>
          <cell r="K23">
            <v>1.4400000000000002</v>
          </cell>
          <cell r="L23">
            <v>4.0324999999999998</v>
          </cell>
          <cell r="M23">
            <v>2.2556000000000003</v>
          </cell>
          <cell r="N23">
            <v>0</v>
          </cell>
          <cell r="O23">
            <v>9.1752000000000002</v>
          </cell>
        </row>
        <row r="24">
          <cell r="A24" t="str">
            <v>0024</v>
          </cell>
          <cell r="B24">
            <v>259.88240000000002</v>
          </cell>
          <cell r="C24">
            <v>14.597900000000001</v>
          </cell>
          <cell r="D24">
            <v>28.156600000000001</v>
          </cell>
          <cell r="E24">
            <v>17.8</v>
          </cell>
          <cell r="F24">
            <v>2.7</v>
          </cell>
          <cell r="G24">
            <v>0.24070000000000003</v>
          </cell>
          <cell r="H24">
            <v>0</v>
          </cell>
          <cell r="I24">
            <v>60.201300000000003</v>
          </cell>
          <cell r="J24">
            <v>6.1373000000000006</v>
          </cell>
          <cell r="K24">
            <v>18.651199999999999</v>
          </cell>
          <cell r="L24">
            <v>4.7579000000000002</v>
          </cell>
          <cell r="M24">
            <v>0</v>
          </cell>
          <cell r="N24">
            <v>0</v>
          </cell>
          <cell r="O24">
            <v>154.31059999999999</v>
          </cell>
        </row>
        <row r="25">
          <cell r="A25" t="str">
            <v>0025</v>
          </cell>
          <cell r="B25">
            <v>222.63480000000001</v>
          </cell>
          <cell r="C25">
            <v>30.96</v>
          </cell>
          <cell r="D25">
            <v>45.3369</v>
          </cell>
          <cell r="E25">
            <v>5.9</v>
          </cell>
          <cell r="F25">
            <v>1.1000000000000001</v>
          </cell>
          <cell r="G25">
            <v>1.7579</v>
          </cell>
          <cell r="H25">
            <v>0</v>
          </cell>
          <cell r="I25">
            <v>71.600000000000009</v>
          </cell>
          <cell r="J25">
            <v>0</v>
          </cell>
          <cell r="K25">
            <v>0.46430000000000005</v>
          </cell>
          <cell r="L25">
            <v>11.305900000000001</v>
          </cell>
          <cell r="M25">
            <v>0</v>
          </cell>
          <cell r="N25">
            <v>0</v>
          </cell>
          <cell r="O25">
            <v>63.001800000000003</v>
          </cell>
        </row>
        <row r="26">
          <cell r="A26" t="str">
            <v>0026</v>
          </cell>
          <cell r="B26">
            <v>744.17200000000003</v>
          </cell>
          <cell r="C26">
            <v>20.084200000000003</v>
          </cell>
          <cell r="D26">
            <v>75.5304</v>
          </cell>
          <cell r="E26">
            <v>0</v>
          </cell>
          <cell r="F26">
            <v>0</v>
          </cell>
          <cell r="G26">
            <v>3.2600000000000004E-2</v>
          </cell>
          <cell r="H26">
            <v>0</v>
          </cell>
          <cell r="I26">
            <v>582.27319999999997</v>
          </cell>
          <cell r="J26">
            <v>86.145899999999997</v>
          </cell>
          <cell r="K26">
            <v>2.5582000000000003</v>
          </cell>
          <cell r="L26">
            <v>2.1128</v>
          </cell>
          <cell r="M26">
            <v>0</v>
          </cell>
          <cell r="N26">
            <v>0</v>
          </cell>
          <cell r="O26">
            <v>0.10690000000000001</v>
          </cell>
        </row>
        <row r="27">
          <cell r="A27" t="str">
            <v>0027</v>
          </cell>
          <cell r="B27">
            <v>761.73860000000002</v>
          </cell>
          <cell r="C27">
            <v>22.743300000000001</v>
          </cell>
          <cell r="D27">
            <v>96.259399999999999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459.52500000000003</v>
          </cell>
          <cell r="J27">
            <v>23.116700000000002</v>
          </cell>
          <cell r="K27">
            <v>20.546500000000002</v>
          </cell>
          <cell r="L27">
            <v>15.761800000000001</v>
          </cell>
          <cell r="M27">
            <v>0</v>
          </cell>
          <cell r="N27">
            <v>0</v>
          </cell>
          <cell r="O27">
            <v>22.191500000000001</v>
          </cell>
        </row>
        <row r="28">
          <cell r="A28" t="str">
            <v>0028</v>
          </cell>
          <cell r="B28">
            <v>1361.0667000000001</v>
          </cell>
          <cell r="C28">
            <v>310.36400000000003</v>
          </cell>
          <cell r="D28">
            <v>2668.4624000000003</v>
          </cell>
          <cell r="E28">
            <v>161.78660000000002</v>
          </cell>
          <cell r="F28">
            <v>59.02</v>
          </cell>
          <cell r="G28">
            <v>19.3247</v>
          </cell>
          <cell r="H28">
            <v>0</v>
          </cell>
          <cell r="I28">
            <v>2526.3658</v>
          </cell>
          <cell r="J28">
            <v>45.007000000000005</v>
          </cell>
          <cell r="K28">
            <v>264.0881</v>
          </cell>
          <cell r="L28">
            <v>327.69060000000002</v>
          </cell>
          <cell r="M28">
            <v>1298.0263</v>
          </cell>
          <cell r="N28">
            <v>0</v>
          </cell>
          <cell r="O28">
            <v>48.7517</v>
          </cell>
        </row>
        <row r="29">
          <cell r="A29" t="str">
            <v>0029</v>
          </cell>
          <cell r="B29">
            <v>417.75920000000002</v>
          </cell>
          <cell r="C29">
            <v>103.989</v>
          </cell>
          <cell r="D29">
            <v>669.41790000000003</v>
          </cell>
          <cell r="E29">
            <v>13.485000000000001</v>
          </cell>
          <cell r="F29">
            <v>19.790000000000003</v>
          </cell>
          <cell r="G29">
            <v>4.5350000000000001</v>
          </cell>
          <cell r="H29">
            <v>0</v>
          </cell>
          <cell r="I29">
            <v>206.18610000000001</v>
          </cell>
          <cell r="J29">
            <v>3.6903000000000001</v>
          </cell>
          <cell r="K29">
            <v>51.953600000000002</v>
          </cell>
          <cell r="L29">
            <v>148.76260000000002</v>
          </cell>
          <cell r="M29">
            <v>0</v>
          </cell>
          <cell r="N29">
            <v>0</v>
          </cell>
          <cell r="O29">
            <v>5.1400000000000006</v>
          </cell>
        </row>
        <row r="30">
          <cell r="A30" t="str">
            <v>0030</v>
          </cell>
          <cell r="B30">
            <v>260.47090000000003</v>
          </cell>
          <cell r="C30">
            <v>163.42070000000001</v>
          </cell>
          <cell r="D30">
            <v>412.00960000000003</v>
          </cell>
          <cell r="E30">
            <v>16.3</v>
          </cell>
          <cell r="F30">
            <v>3</v>
          </cell>
          <cell r="G30">
            <v>1.7644000000000002</v>
          </cell>
          <cell r="H30">
            <v>0</v>
          </cell>
          <cell r="I30">
            <v>126.0673</v>
          </cell>
          <cell r="J30">
            <v>7.8942000000000005</v>
          </cell>
          <cell r="K30">
            <v>21.1816</v>
          </cell>
          <cell r="L30">
            <v>125.0959</v>
          </cell>
          <cell r="M30">
            <v>13.714300000000001</v>
          </cell>
          <cell r="N30">
            <v>0</v>
          </cell>
          <cell r="O30">
            <v>15.377800000000001</v>
          </cell>
        </row>
        <row r="31">
          <cell r="A31" t="str">
            <v>0031</v>
          </cell>
          <cell r="B31">
            <v>584.10680000000002</v>
          </cell>
          <cell r="C31">
            <v>125.34</v>
          </cell>
          <cell r="D31">
            <v>2059.1257000000001</v>
          </cell>
          <cell r="E31">
            <v>74.485100000000003</v>
          </cell>
          <cell r="F31">
            <v>25.380000000000003</v>
          </cell>
          <cell r="G31">
            <v>3.4825000000000004</v>
          </cell>
          <cell r="H31">
            <v>0</v>
          </cell>
          <cell r="I31">
            <v>8860.0596000000005</v>
          </cell>
          <cell r="J31">
            <v>272.31049999999999</v>
          </cell>
          <cell r="K31">
            <v>326.2337</v>
          </cell>
          <cell r="L31">
            <v>97.501000000000005</v>
          </cell>
          <cell r="M31">
            <v>155.6799</v>
          </cell>
          <cell r="N31">
            <v>0</v>
          </cell>
          <cell r="O31">
            <v>0</v>
          </cell>
        </row>
        <row r="32">
          <cell r="A32" t="str">
            <v>0032</v>
          </cell>
          <cell r="B32">
            <v>593.36260000000004</v>
          </cell>
          <cell r="C32">
            <v>137.3794</v>
          </cell>
          <cell r="D32">
            <v>890.85660000000007</v>
          </cell>
          <cell r="E32">
            <v>14.175000000000001</v>
          </cell>
          <cell r="F32">
            <v>5.32</v>
          </cell>
          <cell r="G32">
            <v>5.2171000000000003</v>
          </cell>
          <cell r="H32">
            <v>0.2</v>
          </cell>
          <cell r="I32">
            <v>2217.8607999999999</v>
          </cell>
          <cell r="J32">
            <v>33.940100000000001</v>
          </cell>
          <cell r="K32">
            <v>144.28919999999999</v>
          </cell>
          <cell r="L32">
            <v>296.37130000000002</v>
          </cell>
          <cell r="M32">
            <v>0</v>
          </cell>
          <cell r="N32">
            <v>162.66230000000002</v>
          </cell>
          <cell r="O32">
            <v>31.1371</v>
          </cell>
        </row>
        <row r="33">
          <cell r="A33" t="str">
            <v>0033</v>
          </cell>
          <cell r="B33">
            <v>316.108</v>
          </cell>
          <cell r="C33">
            <v>256.19819999999999</v>
          </cell>
          <cell r="D33">
            <v>849.94069999999999</v>
          </cell>
          <cell r="E33">
            <v>19.25</v>
          </cell>
          <cell r="F33">
            <v>4.6560000000000006</v>
          </cell>
          <cell r="G33">
            <v>5.6663000000000006</v>
          </cell>
          <cell r="H33">
            <v>0</v>
          </cell>
          <cell r="I33">
            <v>321.86160000000001</v>
          </cell>
          <cell r="J33">
            <v>8.9126000000000012</v>
          </cell>
          <cell r="K33">
            <v>54.213900000000002</v>
          </cell>
          <cell r="L33">
            <v>384.28470000000004</v>
          </cell>
          <cell r="M33">
            <v>117.05000000000001</v>
          </cell>
          <cell r="N33">
            <v>0</v>
          </cell>
          <cell r="O33">
            <v>0.23880000000000001</v>
          </cell>
        </row>
        <row r="34">
          <cell r="A34" t="str">
            <v>0034</v>
          </cell>
          <cell r="B34">
            <v>292.0994</v>
          </cell>
          <cell r="C34">
            <v>88.2072</v>
          </cell>
          <cell r="D34">
            <v>960.10860000000002</v>
          </cell>
          <cell r="E34">
            <v>6.8500000000000005</v>
          </cell>
          <cell r="F34">
            <v>3.9600000000000004</v>
          </cell>
          <cell r="G34">
            <v>8.6193000000000008</v>
          </cell>
          <cell r="H34">
            <v>0</v>
          </cell>
          <cell r="I34">
            <v>453.64390000000003</v>
          </cell>
          <cell r="J34">
            <v>8.0000999999999998</v>
          </cell>
          <cell r="K34">
            <v>10.414200000000001</v>
          </cell>
          <cell r="L34">
            <v>54.633100000000006</v>
          </cell>
          <cell r="M34">
            <v>0</v>
          </cell>
          <cell r="N34">
            <v>0</v>
          </cell>
          <cell r="O34">
            <v>17.6999</v>
          </cell>
        </row>
        <row r="35">
          <cell r="A35" t="str">
            <v>0035</v>
          </cell>
          <cell r="B35">
            <v>1034.6401000000001</v>
          </cell>
          <cell r="C35">
            <v>229.95790000000002</v>
          </cell>
          <cell r="D35">
            <v>5492.3958000000002</v>
          </cell>
          <cell r="E35">
            <v>27.14</v>
          </cell>
          <cell r="F35">
            <v>25.3</v>
          </cell>
          <cell r="G35">
            <v>10.968</v>
          </cell>
          <cell r="H35">
            <v>0</v>
          </cell>
          <cell r="I35">
            <v>18244.629300000001</v>
          </cell>
          <cell r="J35">
            <v>36.828600000000002</v>
          </cell>
          <cell r="K35">
            <v>279.51730000000003</v>
          </cell>
          <cell r="L35">
            <v>639.33440000000007</v>
          </cell>
          <cell r="M35">
            <v>477.35790000000003</v>
          </cell>
          <cell r="N35">
            <v>0</v>
          </cell>
          <cell r="O35">
            <v>1.5445</v>
          </cell>
        </row>
        <row r="36">
          <cell r="A36" t="str">
            <v>0036</v>
          </cell>
          <cell r="B36">
            <v>747.02010000000007</v>
          </cell>
          <cell r="C36">
            <v>111.4367</v>
          </cell>
          <cell r="D36">
            <v>2084.3020000000001</v>
          </cell>
          <cell r="E36">
            <v>38.344999999999999</v>
          </cell>
          <cell r="F36">
            <v>3.95</v>
          </cell>
          <cell r="G36">
            <v>1.1617</v>
          </cell>
          <cell r="H36">
            <v>0</v>
          </cell>
          <cell r="I36">
            <v>1440.393</v>
          </cell>
          <cell r="J36">
            <v>36.9559</v>
          </cell>
          <cell r="K36">
            <v>37.345300000000002</v>
          </cell>
          <cell r="L36">
            <v>106.1598</v>
          </cell>
          <cell r="M36">
            <v>8.1593999999999998</v>
          </cell>
          <cell r="N36">
            <v>0</v>
          </cell>
          <cell r="O36">
            <v>18.9573</v>
          </cell>
        </row>
        <row r="37">
          <cell r="A37" t="str">
            <v>0037</v>
          </cell>
          <cell r="B37">
            <v>580.44140000000004</v>
          </cell>
          <cell r="C37">
            <v>39.072900000000004</v>
          </cell>
          <cell r="D37">
            <v>755.73090000000002</v>
          </cell>
          <cell r="E37">
            <v>10.700000000000001</v>
          </cell>
          <cell r="F37">
            <v>0.1</v>
          </cell>
          <cell r="G37">
            <v>1.4652000000000001</v>
          </cell>
          <cell r="H37">
            <v>0</v>
          </cell>
          <cell r="I37">
            <v>471.79</v>
          </cell>
          <cell r="J37">
            <v>59.109300000000005</v>
          </cell>
          <cell r="K37">
            <v>14.9846</v>
          </cell>
          <cell r="L37">
            <v>12.458400000000001</v>
          </cell>
          <cell r="M37">
            <v>0</v>
          </cell>
          <cell r="N37">
            <v>0</v>
          </cell>
          <cell r="O37">
            <v>66.237099999999998</v>
          </cell>
        </row>
        <row r="38">
          <cell r="A38" t="str">
            <v>0038</v>
          </cell>
          <cell r="B38">
            <v>247.82730000000001</v>
          </cell>
          <cell r="C38">
            <v>11.6053</v>
          </cell>
          <cell r="D38">
            <v>657.07029999999997</v>
          </cell>
          <cell r="E38">
            <v>22.167000000000002</v>
          </cell>
          <cell r="F38">
            <v>0.85000000000000009</v>
          </cell>
          <cell r="G38">
            <v>1.4904000000000002</v>
          </cell>
          <cell r="H38">
            <v>0</v>
          </cell>
          <cell r="I38">
            <v>353.7679</v>
          </cell>
          <cell r="J38">
            <v>52.911200000000001</v>
          </cell>
          <cell r="K38">
            <v>0.28889999999999999</v>
          </cell>
          <cell r="L38">
            <v>13.6737</v>
          </cell>
          <cell r="M38">
            <v>0</v>
          </cell>
          <cell r="N38">
            <v>0</v>
          </cell>
          <cell r="O38">
            <v>8.8385999999999996</v>
          </cell>
        </row>
        <row r="39">
          <cell r="A39" t="str">
            <v>0039</v>
          </cell>
          <cell r="B39">
            <v>468.68690000000004</v>
          </cell>
          <cell r="C39">
            <v>123.21430000000001</v>
          </cell>
          <cell r="D39">
            <v>968.92470000000003</v>
          </cell>
          <cell r="E39">
            <v>44.175000000000004</v>
          </cell>
          <cell r="F39">
            <v>49.54</v>
          </cell>
          <cell r="G39">
            <v>32.198100000000004</v>
          </cell>
          <cell r="H39">
            <v>0</v>
          </cell>
          <cell r="I39">
            <v>28.427600000000002</v>
          </cell>
          <cell r="J39">
            <v>2.7904</v>
          </cell>
          <cell r="K39">
            <v>57.349600000000002</v>
          </cell>
          <cell r="L39">
            <v>179.32089999999999</v>
          </cell>
          <cell r="M39">
            <v>47.869600000000005</v>
          </cell>
          <cell r="N39">
            <v>0</v>
          </cell>
          <cell r="O39">
            <v>6.1396000000000006</v>
          </cell>
        </row>
        <row r="40">
          <cell r="A40" t="str">
            <v>0040</v>
          </cell>
          <cell r="B40">
            <v>137.69400000000002</v>
          </cell>
          <cell r="C40">
            <v>20.704900000000002</v>
          </cell>
          <cell r="D40">
            <v>66.619</v>
          </cell>
          <cell r="E40">
            <v>5.25</v>
          </cell>
          <cell r="F40">
            <v>18.045000000000002</v>
          </cell>
          <cell r="G40">
            <v>3.7827000000000002</v>
          </cell>
          <cell r="H40">
            <v>0</v>
          </cell>
          <cell r="I40">
            <v>106.7735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1E-3</v>
          </cell>
        </row>
        <row r="41">
          <cell r="A41" t="str">
            <v>0041</v>
          </cell>
          <cell r="B41">
            <v>522.0059</v>
          </cell>
          <cell r="C41">
            <v>8.4942000000000011</v>
          </cell>
          <cell r="D41">
            <v>234.30080000000001</v>
          </cell>
          <cell r="E41">
            <v>24</v>
          </cell>
          <cell r="F41">
            <v>3.31</v>
          </cell>
          <cell r="G41">
            <v>0.65570000000000006</v>
          </cell>
          <cell r="H41">
            <v>0</v>
          </cell>
          <cell r="I41">
            <v>102.723</v>
          </cell>
          <cell r="J41">
            <v>3.3785000000000003</v>
          </cell>
          <cell r="K41">
            <v>3.1990000000000003</v>
          </cell>
          <cell r="L41">
            <v>4.1795999999999998</v>
          </cell>
          <cell r="M41">
            <v>0</v>
          </cell>
          <cell r="N41">
            <v>0</v>
          </cell>
          <cell r="O41">
            <v>37.765900000000002</v>
          </cell>
        </row>
        <row r="42">
          <cell r="A42" t="str">
            <v>0042</v>
          </cell>
          <cell r="B42">
            <v>368.74760000000003</v>
          </cell>
          <cell r="C42">
            <v>96.224900000000005</v>
          </cell>
          <cell r="D42">
            <v>140.9547</v>
          </cell>
          <cell r="E42">
            <v>46.85</v>
          </cell>
          <cell r="F42">
            <v>8.4874000000000009</v>
          </cell>
          <cell r="G42">
            <v>13.696400000000001</v>
          </cell>
          <cell r="H42">
            <v>0</v>
          </cell>
          <cell r="I42">
            <v>121.9487</v>
          </cell>
          <cell r="J42">
            <v>0</v>
          </cell>
          <cell r="K42">
            <v>51.325300000000006</v>
          </cell>
          <cell r="L42">
            <v>54.430300000000003</v>
          </cell>
          <cell r="M42">
            <v>3.4448000000000003</v>
          </cell>
          <cell r="N42">
            <v>0</v>
          </cell>
          <cell r="O42">
            <v>12.271700000000001</v>
          </cell>
        </row>
        <row r="43">
          <cell r="A43" t="str">
            <v>0043</v>
          </cell>
          <cell r="B43">
            <v>235.51680000000002</v>
          </cell>
          <cell r="C43">
            <v>43.264500000000005</v>
          </cell>
          <cell r="D43">
            <v>382.69210000000004</v>
          </cell>
          <cell r="E43">
            <v>35.314</v>
          </cell>
          <cell r="F43">
            <v>21.3078</v>
          </cell>
          <cell r="G43">
            <v>18.2837</v>
          </cell>
          <cell r="H43">
            <v>0</v>
          </cell>
          <cell r="I43">
            <v>72.574600000000004</v>
          </cell>
          <cell r="J43">
            <v>6.8277000000000001</v>
          </cell>
          <cell r="K43">
            <v>20.658799999999999</v>
          </cell>
          <cell r="L43">
            <v>28.165800000000001</v>
          </cell>
          <cell r="M43">
            <v>0</v>
          </cell>
          <cell r="N43">
            <v>0</v>
          </cell>
          <cell r="O43">
            <v>7.9175000000000004</v>
          </cell>
        </row>
        <row r="44">
          <cell r="A44" t="str">
            <v>0044</v>
          </cell>
          <cell r="B44">
            <v>727.11329999999998</v>
          </cell>
          <cell r="C44">
            <v>104.2414</v>
          </cell>
          <cell r="D44">
            <v>946.79150000000004</v>
          </cell>
          <cell r="E44">
            <v>14.873000000000001</v>
          </cell>
          <cell r="F44">
            <v>17.935000000000002</v>
          </cell>
          <cell r="G44">
            <v>8.7957999999999998</v>
          </cell>
          <cell r="H44">
            <v>0</v>
          </cell>
          <cell r="I44">
            <v>216.00500000000002</v>
          </cell>
          <cell r="J44">
            <v>10.369400000000001</v>
          </cell>
          <cell r="K44">
            <v>54.776600000000002</v>
          </cell>
          <cell r="L44">
            <v>15.5168</v>
          </cell>
          <cell r="M44">
            <v>8.3542000000000005</v>
          </cell>
          <cell r="N44">
            <v>0</v>
          </cell>
          <cell r="O44">
            <v>12.208500000000001</v>
          </cell>
        </row>
        <row r="45">
          <cell r="A45" t="str">
            <v>0045</v>
          </cell>
          <cell r="B45">
            <v>246.18630000000002</v>
          </cell>
          <cell r="C45">
            <v>84.711200000000005</v>
          </cell>
          <cell r="D45">
            <v>317.0806</v>
          </cell>
          <cell r="E45">
            <v>44.81</v>
          </cell>
          <cell r="F45">
            <v>35.050000000000004</v>
          </cell>
          <cell r="G45">
            <v>4.2435999999999998</v>
          </cell>
          <cell r="H45">
            <v>0.2</v>
          </cell>
          <cell r="I45">
            <v>136.16300000000001</v>
          </cell>
          <cell r="J45">
            <v>27.2178</v>
          </cell>
          <cell r="K45">
            <v>21.7286</v>
          </cell>
          <cell r="L45">
            <v>121.23110000000001</v>
          </cell>
          <cell r="M45">
            <v>0</v>
          </cell>
          <cell r="N45">
            <v>0</v>
          </cell>
          <cell r="O45">
            <v>3.1029</v>
          </cell>
        </row>
        <row r="46">
          <cell r="A46" t="str">
            <v>0046</v>
          </cell>
          <cell r="B46">
            <v>558.87450000000001</v>
          </cell>
          <cell r="C46">
            <v>7.5195000000000007</v>
          </cell>
          <cell r="D46">
            <v>140.3571</v>
          </cell>
          <cell r="E46">
            <v>1</v>
          </cell>
          <cell r="F46">
            <v>2</v>
          </cell>
          <cell r="G46">
            <v>1.7464000000000002</v>
          </cell>
          <cell r="H46">
            <v>0</v>
          </cell>
          <cell r="I46">
            <v>36.666499999999999</v>
          </cell>
          <cell r="J46">
            <v>3.91</v>
          </cell>
          <cell r="K46">
            <v>10.257900000000001</v>
          </cell>
          <cell r="L46">
            <v>0.1729</v>
          </cell>
          <cell r="M46">
            <v>68.504599999999996</v>
          </cell>
          <cell r="N46">
            <v>0</v>
          </cell>
          <cell r="O46">
            <v>54.2804</v>
          </cell>
        </row>
        <row r="47">
          <cell r="A47" t="str">
            <v>0047</v>
          </cell>
          <cell r="B47">
            <v>255.34050000000002</v>
          </cell>
          <cell r="C47">
            <v>179.41490000000002</v>
          </cell>
          <cell r="D47">
            <v>1033.8156000000001</v>
          </cell>
          <cell r="E47">
            <v>35.722999999999999</v>
          </cell>
          <cell r="F47">
            <v>21.900000000000002</v>
          </cell>
          <cell r="G47">
            <v>5.7076000000000002</v>
          </cell>
          <cell r="H47">
            <v>0</v>
          </cell>
          <cell r="I47">
            <v>765.93709999999999</v>
          </cell>
          <cell r="J47">
            <v>1.4302000000000001</v>
          </cell>
          <cell r="K47">
            <v>178.23930000000001</v>
          </cell>
          <cell r="L47">
            <v>120.20740000000001</v>
          </cell>
          <cell r="M47">
            <v>432.7183</v>
          </cell>
          <cell r="N47">
            <v>0</v>
          </cell>
          <cell r="O47">
            <v>3.8201000000000001</v>
          </cell>
        </row>
        <row r="48">
          <cell r="A48" t="str">
            <v>0048</v>
          </cell>
          <cell r="B48">
            <v>197.81220000000002</v>
          </cell>
          <cell r="C48">
            <v>49.709000000000003</v>
          </cell>
          <cell r="D48">
            <v>227.80460000000002</v>
          </cell>
          <cell r="E48">
            <v>3.5</v>
          </cell>
          <cell r="F48">
            <v>4</v>
          </cell>
          <cell r="G48">
            <v>2.1337000000000002</v>
          </cell>
          <cell r="H48">
            <v>0</v>
          </cell>
          <cell r="I48">
            <v>371.8467</v>
          </cell>
          <cell r="J48">
            <v>0</v>
          </cell>
          <cell r="K48">
            <v>12.783900000000001</v>
          </cell>
          <cell r="L48">
            <v>36.766600000000004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0052</v>
          </cell>
          <cell r="B49">
            <v>186.69280000000001</v>
          </cell>
          <cell r="C49">
            <v>38.929600000000001</v>
          </cell>
          <cell r="D49">
            <v>139.0239</v>
          </cell>
          <cell r="E49">
            <v>4.6500000000000004</v>
          </cell>
          <cell r="F49">
            <v>9.4500000000000011</v>
          </cell>
          <cell r="G49">
            <v>5.4453000000000005</v>
          </cell>
          <cell r="H49">
            <v>0</v>
          </cell>
          <cell r="I49">
            <v>47.222100000000005</v>
          </cell>
          <cell r="J49">
            <v>1.8250000000000002</v>
          </cell>
          <cell r="K49">
            <v>3.6747000000000001</v>
          </cell>
          <cell r="L49">
            <v>5.6093999999999999</v>
          </cell>
          <cell r="M49">
            <v>0</v>
          </cell>
          <cell r="N49">
            <v>0</v>
          </cell>
          <cell r="O49">
            <v>27.178000000000001</v>
          </cell>
        </row>
        <row r="50">
          <cell r="A50" t="str">
            <v>0053</v>
          </cell>
          <cell r="B50">
            <v>702.13470000000007</v>
          </cell>
          <cell r="C50">
            <v>53.661200000000001</v>
          </cell>
          <cell r="D50">
            <v>428.32470000000001</v>
          </cell>
          <cell r="E50">
            <v>20.7</v>
          </cell>
          <cell r="F50">
            <v>16.425000000000001</v>
          </cell>
          <cell r="G50">
            <v>0.4209</v>
          </cell>
          <cell r="H50">
            <v>0</v>
          </cell>
          <cell r="I50">
            <v>18.0458</v>
          </cell>
          <cell r="J50">
            <v>24.610500000000002</v>
          </cell>
          <cell r="K50">
            <v>19.6648</v>
          </cell>
          <cell r="L50">
            <v>40.180399999999999</v>
          </cell>
          <cell r="M50">
            <v>0</v>
          </cell>
          <cell r="N50">
            <v>0</v>
          </cell>
          <cell r="O50">
            <v>20.7637</v>
          </cell>
        </row>
        <row r="51">
          <cell r="A51" t="str">
            <v>0054</v>
          </cell>
          <cell r="B51">
            <v>213.04400000000001</v>
          </cell>
          <cell r="C51">
            <v>62.557500000000005</v>
          </cell>
          <cell r="D51">
            <v>159.17680000000001</v>
          </cell>
          <cell r="E51">
            <v>24</v>
          </cell>
          <cell r="F51">
            <v>2.3000000000000003</v>
          </cell>
          <cell r="G51">
            <v>3.4289000000000001</v>
          </cell>
          <cell r="H51">
            <v>0</v>
          </cell>
          <cell r="I51">
            <v>15.581000000000001</v>
          </cell>
          <cell r="J51">
            <v>14.947900000000001</v>
          </cell>
          <cell r="K51">
            <v>18.6859</v>
          </cell>
          <cell r="L51">
            <v>32.542200000000001</v>
          </cell>
          <cell r="M51">
            <v>34.078000000000003</v>
          </cell>
          <cell r="N51">
            <v>0</v>
          </cell>
          <cell r="O51">
            <v>1.3686</v>
          </cell>
        </row>
        <row r="52">
          <cell r="A52" t="str">
            <v>0055</v>
          </cell>
          <cell r="B52">
            <v>136.11440000000002</v>
          </cell>
          <cell r="C52">
            <v>42.249700000000004</v>
          </cell>
          <cell r="D52">
            <v>36.567799999999998</v>
          </cell>
          <cell r="E52">
            <v>1.9000000000000001</v>
          </cell>
          <cell r="F52">
            <v>25.809000000000001</v>
          </cell>
          <cell r="G52">
            <v>8.6772000000000009</v>
          </cell>
          <cell r="H52">
            <v>0</v>
          </cell>
          <cell r="I52">
            <v>42.451000000000001</v>
          </cell>
          <cell r="J52">
            <v>16.996500000000001</v>
          </cell>
          <cell r="K52">
            <v>11.2995</v>
          </cell>
          <cell r="L52">
            <v>28.666900000000002</v>
          </cell>
          <cell r="M52">
            <v>0</v>
          </cell>
          <cell r="N52">
            <v>0</v>
          </cell>
          <cell r="O52">
            <v>4.7437000000000005</v>
          </cell>
        </row>
        <row r="53">
          <cell r="A53" t="str">
            <v>0056</v>
          </cell>
          <cell r="B53">
            <v>408.3279</v>
          </cell>
          <cell r="C53">
            <v>238.48930000000001</v>
          </cell>
          <cell r="D53">
            <v>326.78559999999999</v>
          </cell>
          <cell r="E53">
            <v>14.985000000000001</v>
          </cell>
          <cell r="F53">
            <v>12.33</v>
          </cell>
          <cell r="G53">
            <v>20.116300000000003</v>
          </cell>
          <cell r="H53">
            <v>0</v>
          </cell>
          <cell r="I53">
            <v>83.390600000000006</v>
          </cell>
          <cell r="J53">
            <v>87.373199999999997</v>
          </cell>
          <cell r="K53">
            <v>49.917900000000003</v>
          </cell>
          <cell r="L53">
            <v>67.780299999999997</v>
          </cell>
          <cell r="M53">
            <v>313.82620000000003</v>
          </cell>
          <cell r="N53">
            <v>0</v>
          </cell>
          <cell r="O53">
            <v>1.6277000000000001</v>
          </cell>
        </row>
        <row r="54">
          <cell r="A54" t="str">
            <v>0057</v>
          </cell>
          <cell r="B54">
            <v>322.0829</v>
          </cell>
          <cell r="C54">
            <v>55.366600000000005</v>
          </cell>
          <cell r="D54">
            <v>146.6507</v>
          </cell>
          <cell r="E54">
            <v>28.575000000000003</v>
          </cell>
          <cell r="F54">
            <v>8.85</v>
          </cell>
          <cell r="G54">
            <v>1.4729000000000001</v>
          </cell>
          <cell r="H54">
            <v>0</v>
          </cell>
          <cell r="I54">
            <v>63.413600000000002</v>
          </cell>
          <cell r="J54">
            <v>0.18000000000000002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28.037200000000002</v>
          </cell>
        </row>
        <row r="55">
          <cell r="A55" t="str">
            <v>0058</v>
          </cell>
          <cell r="B55">
            <v>158.64750000000001</v>
          </cell>
          <cell r="C55">
            <v>32.552</v>
          </cell>
          <cell r="D55">
            <v>147.07570000000001</v>
          </cell>
          <cell r="E55">
            <v>18.696999999999999</v>
          </cell>
          <cell r="F55">
            <v>16.350000000000001</v>
          </cell>
          <cell r="G55">
            <v>11.289300000000001</v>
          </cell>
          <cell r="H55">
            <v>0</v>
          </cell>
          <cell r="I55">
            <v>29.549000000000003</v>
          </cell>
          <cell r="J55">
            <v>8.9785000000000004</v>
          </cell>
          <cell r="K55">
            <v>0.29730000000000001</v>
          </cell>
          <cell r="L55">
            <v>18.719900000000003</v>
          </cell>
          <cell r="M55">
            <v>0</v>
          </cell>
          <cell r="N55">
            <v>0</v>
          </cell>
          <cell r="O55">
            <v>9.0446000000000009</v>
          </cell>
        </row>
        <row r="56">
          <cell r="A56" t="str">
            <v>0059</v>
          </cell>
          <cell r="B56">
            <v>164.47400000000002</v>
          </cell>
          <cell r="C56">
            <v>3.6299999999999999E-2</v>
          </cell>
          <cell r="D56">
            <v>0.80790000000000006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0.127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7.4580000000000002</v>
          </cell>
        </row>
        <row r="57">
          <cell r="A57" t="str">
            <v>0060</v>
          </cell>
          <cell r="B57">
            <v>621.24060000000009</v>
          </cell>
          <cell r="C57">
            <v>72.761499999999998</v>
          </cell>
          <cell r="D57">
            <v>309.96680000000003</v>
          </cell>
          <cell r="E57">
            <v>17.54</v>
          </cell>
          <cell r="F57">
            <v>2</v>
          </cell>
          <cell r="G57">
            <v>8.7878000000000007</v>
          </cell>
          <cell r="H57">
            <v>0.2</v>
          </cell>
          <cell r="I57">
            <v>1000.9986</v>
          </cell>
          <cell r="J57">
            <v>68.757900000000006</v>
          </cell>
          <cell r="K57">
            <v>7.3661000000000003</v>
          </cell>
          <cell r="L57">
            <v>14.6295</v>
          </cell>
          <cell r="M57">
            <v>0</v>
          </cell>
          <cell r="N57">
            <v>0</v>
          </cell>
          <cell r="O57">
            <v>26.296200000000002</v>
          </cell>
        </row>
        <row r="58">
          <cell r="A58" t="str">
            <v>0061</v>
          </cell>
          <cell r="B58">
            <v>321.0881</v>
          </cell>
          <cell r="C58">
            <v>24.185500000000001</v>
          </cell>
          <cell r="D58">
            <v>54.898200000000003</v>
          </cell>
          <cell r="E58">
            <v>2.5500000000000003</v>
          </cell>
          <cell r="F58">
            <v>15.5</v>
          </cell>
          <cell r="G58">
            <v>3.2202999999999999</v>
          </cell>
          <cell r="H58">
            <v>0</v>
          </cell>
          <cell r="I58">
            <v>0.29460000000000003</v>
          </cell>
          <cell r="J58">
            <v>4.4304000000000006</v>
          </cell>
          <cell r="K58">
            <v>13.580300000000001</v>
          </cell>
          <cell r="L58">
            <v>7.2700000000000001E-2</v>
          </cell>
          <cell r="M58">
            <v>0</v>
          </cell>
          <cell r="N58">
            <v>0</v>
          </cell>
          <cell r="O58">
            <v>6.1049000000000007</v>
          </cell>
        </row>
        <row r="59">
          <cell r="A59" t="str">
            <v>0062</v>
          </cell>
          <cell r="B59">
            <v>151.5873</v>
          </cell>
          <cell r="C59">
            <v>44.455000000000005</v>
          </cell>
          <cell r="D59">
            <v>23.429500000000001</v>
          </cell>
          <cell r="E59">
            <v>2.4250000000000003</v>
          </cell>
          <cell r="F59">
            <v>3.1</v>
          </cell>
          <cell r="G59">
            <v>21.882899999999999</v>
          </cell>
          <cell r="H59">
            <v>0</v>
          </cell>
          <cell r="I59">
            <v>0.21880000000000002</v>
          </cell>
          <cell r="J59">
            <v>4.6991000000000005</v>
          </cell>
          <cell r="K59">
            <v>7.4005000000000001</v>
          </cell>
          <cell r="L59">
            <v>3.5616000000000003</v>
          </cell>
          <cell r="M59">
            <v>0</v>
          </cell>
          <cell r="N59">
            <v>0</v>
          </cell>
          <cell r="O59">
            <v>2.8289</v>
          </cell>
        </row>
        <row r="60">
          <cell r="A60" t="str">
            <v>0063</v>
          </cell>
          <cell r="B60">
            <v>360.93540000000002</v>
          </cell>
          <cell r="C60">
            <v>70.925200000000004</v>
          </cell>
          <cell r="D60">
            <v>38.329599999999999</v>
          </cell>
          <cell r="E60">
            <v>15</v>
          </cell>
          <cell r="F60">
            <v>0.6</v>
          </cell>
          <cell r="G60">
            <v>5.2177000000000007</v>
          </cell>
          <cell r="H60">
            <v>0</v>
          </cell>
          <cell r="I60">
            <v>82.293700000000001</v>
          </cell>
          <cell r="J60">
            <v>6.1696</v>
          </cell>
          <cell r="K60">
            <v>14.6174</v>
          </cell>
          <cell r="L60">
            <v>1.7788000000000002</v>
          </cell>
          <cell r="M60">
            <v>0</v>
          </cell>
          <cell r="N60">
            <v>0</v>
          </cell>
          <cell r="O60">
            <v>4.5182000000000002</v>
          </cell>
        </row>
        <row r="61">
          <cell r="A61" t="str">
            <v>0064</v>
          </cell>
          <cell r="B61">
            <v>485.17880000000002</v>
          </cell>
          <cell r="C61">
            <v>40.584600000000002</v>
          </cell>
          <cell r="D61">
            <v>141.7501</v>
          </cell>
          <cell r="E61">
            <v>1</v>
          </cell>
          <cell r="F61">
            <v>8</v>
          </cell>
          <cell r="G61">
            <v>1.2656000000000001</v>
          </cell>
          <cell r="H61">
            <v>0</v>
          </cell>
          <cell r="I61">
            <v>522.5068</v>
          </cell>
          <cell r="J61">
            <v>7.6619000000000002</v>
          </cell>
          <cell r="K61">
            <v>210.17140000000001</v>
          </cell>
          <cell r="L61">
            <v>47.191700000000004</v>
          </cell>
          <cell r="M61">
            <v>0</v>
          </cell>
          <cell r="N61">
            <v>0</v>
          </cell>
          <cell r="O61">
            <v>17.718299999999999</v>
          </cell>
        </row>
        <row r="62">
          <cell r="A62" t="str">
            <v>0065</v>
          </cell>
          <cell r="B62">
            <v>213.6369</v>
          </cell>
          <cell r="C62">
            <v>9.1875999999999998</v>
          </cell>
          <cell r="D62">
            <v>395.98610000000002</v>
          </cell>
          <cell r="E62">
            <v>0</v>
          </cell>
          <cell r="F62">
            <v>0</v>
          </cell>
          <cell r="G62">
            <v>1.1005</v>
          </cell>
          <cell r="H62">
            <v>0</v>
          </cell>
          <cell r="I62">
            <v>24.3538</v>
          </cell>
          <cell r="J62">
            <v>2.1375999999999999</v>
          </cell>
          <cell r="K62">
            <v>18.264400000000002</v>
          </cell>
          <cell r="L62">
            <v>30.408100000000001</v>
          </cell>
          <cell r="M62">
            <v>0</v>
          </cell>
          <cell r="N62">
            <v>0</v>
          </cell>
          <cell r="O62">
            <v>25.164300000000001</v>
          </cell>
        </row>
        <row r="63">
          <cell r="A63" t="str">
            <v>0066</v>
          </cell>
          <cell r="B63">
            <v>384.80250000000001</v>
          </cell>
          <cell r="C63">
            <v>44.3688</v>
          </cell>
          <cell r="D63">
            <v>2608.0065</v>
          </cell>
          <cell r="E63">
            <v>35.255299999999998</v>
          </cell>
          <cell r="F63">
            <v>59.872800000000005</v>
          </cell>
          <cell r="G63">
            <v>16.6999</v>
          </cell>
          <cell r="H63">
            <v>0</v>
          </cell>
          <cell r="I63">
            <v>3619.0492000000004</v>
          </cell>
          <cell r="J63">
            <v>38.568300000000001</v>
          </cell>
          <cell r="K63">
            <v>54.6813</v>
          </cell>
          <cell r="L63">
            <v>108.7196</v>
          </cell>
          <cell r="M63">
            <v>74.127899999999997</v>
          </cell>
          <cell r="N63">
            <v>2.9780000000000002</v>
          </cell>
          <cell r="O63">
            <v>39.096600000000002</v>
          </cell>
        </row>
        <row r="64">
          <cell r="A64" t="str">
            <v>0067</v>
          </cell>
          <cell r="B64">
            <v>259.5394</v>
          </cell>
          <cell r="C64">
            <v>15.162700000000001</v>
          </cell>
          <cell r="D64">
            <v>61.012500000000003</v>
          </cell>
          <cell r="E64">
            <v>0</v>
          </cell>
          <cell r="F64">
            <v>2</v>
          </cell>
          <cell r="G64">
            <v>3.1640000000000001</v>
          </cell>
          <cell r="H64">
            <v>0</v>
          </cell>
          <cell r="I64">
            <v>151.5307</v>
          </cell>
          <cell r="J64">
            <v>1.35</v>
          </cell>
          <cell r="K64">
            <v>17.207900000000002</v>
          </cell>
          <cell r="L64">
            <v>16.368300000000001</v>
          </cell>
          <cell r="M64">
            <v>0</v>
          </cell>
          <cell r="N64">
            <v>0</v>
          </cell>
          <cell r="O64">
            <v>40.968600000000002</v>
          </cell>
        </row>
        <row r="65">
          <cell r="A65" t="str">
            <v>0068</v>
          </cell>
          <cell r="B65">
            <v>322.71129999999999</v>
          </cell>
          <cell r="C65">
            <v>33.861499999999999</v>
          </cell>
          <cell r="D65">
            <v>215.05350000000001</v>
          </cell>
          <cell r="E65">
            <v>89.39</v>
          </cell>
          <cell r="F65">
            <v>63.325300000000006</v>
          </cell>
          <cell r="G65">
            <v>6.0986000000000002</v>
          </cell>
          <cell r="H65">
            <v>0</v>
          </cell>
          <cell r="I65">
            <v>100.10170000000001</v>
          </cell>
          <cell r="J65">
            <v>4.3730000000000002</v>
          </cell>
          <cell r="K65">
            <v>57.865500000000004</v>
          </cell>
          <cell r="L65">
            <v>233.61440000000002</v>
          </cell>
          <cell r="M65">
            <v>65.9589</v>
          </cell>
          <cell r="N65">
            <v>0</v>
          </cell>
          <cell r="O65">
            <v>7.2575000000000003</v>
          </cell>
        </row>
        <row r="66">
          <cell r="A66" t="str">
            <v>0069</v>
          </cell>
          <cell r="B66">
            <v>186.02380000000002</v>
          </cell>
          <cell r="C66">
            <v>26.579000000000001</v>
          </cell>
          <cell r="D66">
            <v>71.658900000000003</v>
          </cell>
          <cell r="E66">
            <v>0.4</v>
          </cell>
          <cell r="F66">
            <v>5.9</v>
          </cell>
          <cell r="G66">
            <v>1.1083000000000001</v>
          </cell>
          <cell r="H66">
            <v>0</v>
          </cell>
          <cell r="I66">
            <v>5.5748000000000006</v>
          </cell>
          <cell r="J66">
            <v>8.1407000000000007</v>
          </cell>
          <cell r="K66">
            <v>3.2530000000000001</v>
          </cell>
          <cell r="L66">
            <v>12.6914</v>
          </cell>
          <cell r="M66">
            <v>0</v>
          </cell>
          <cell r="N66">
            <v>0</v>
          </cell>
          <cell r="O66">
            <v>36.429400000000001</v>
          </cell>
        </row>
        <row r="67">
          <cell r="A67" t="str">
            <v>0070</v>
          </cell>
          <cell r="B67">
            <v>193.768</v>
          </cell>
          <cell r="C67">
            <v>92.375</v>
          </cell>
          <cell r="D67">
            <v>371.0471</v>
          </cell>
          <cell r="E67">
            <v>66.25</v>
          </cell>
          <cell r="F67">
            <v>30.5</v>
          </cell>
          <cell r="G67">
            <v>11.319800000000001</v>
          </cell>
          <cell r="H67">
            <v>0</v>
          </cell>
          <cell r="I67">
            <v>53.252900000000004</v>
          </cell>
          <cell r="J67">
            <v>0.82000000000000006</v>
          </cell>
          <cell r="K67">
            <v>13.311900000000001</v>
          </cell>
          <cell r="L67">
            <v>204.84950000000001</v>
          </cell>
          <cell r="M67">
            <v>64.884600000000006</v>
          </cell>
          <cell r="N67">
            <v>0</v>
          </cell>
          <cell r="O67">
            <v>5.2328000000000001</v>
          </cell>
        </row>
        <row r="68">
          <cell r="A68" t="str">
            <v>0071</v>
          </cell>
          <cell r="B68">
            <v>147.75110000000001</v>
          </cell>
          <cell r="C68">
            <v>12.443200000000001</v>
          </cell>
          <cell r="D68">
            <v>52.627300000000005</v>
          </cell>
          <cell r="E68">
            <v>27.700000000000003</v>
          </cell>
          <cell r="F68">
            <v>10.15</v>
          </cell>
          <cell r="G68">
            <v>62.017900000000004</v>
          </cell>
          <cell r="H68">
            <v>0</v>
          </cell>
          <cell r="I68">
            <v>3.4250000000000003</v>
          </cell>
          <cell r="J68">
            <v>0.36000000000000004</v>
          </cell>
          <cell r="K68">
            <v>30.3063</v>
          </cell>
          <cell r="L68">
            <v>32.498600000000003</v>
          </cell>
          <cell r="M68">
            <v>0</v>
          </cell>
          <cell r="N68">
            <v>0</v>
          </cell>
          <cell r="O68">
            <v>8.7216000000000005</v>
          </cell>
        </row>
        <row r="69">
          <cell r="A69" t="str">
            <v>0072</v>
          </cell>
          <cell r="B69">
            <v>248.79310000000001</v>
          </cell>
          <cell r="C69">
            <v>90.166899999999998</v>
          </cell>
          <cell r="D69">
            <v>529.04460000000006</v>
          </cell>
          <cell r="E69">
            <v>9.7000000000000011</v>
          </cell>
          <cell r="F69">
            <v>17.55</v>
          </cell>
          <cell r="G69">
            <v>16.028100000000002</v>
          </cell>
          <cell r="H69">
            <v>0</v>
          </cell>
          <cell r="I69">
            <v>121.533</v>
          </cell>
          <cell r="J69">
            <v>8.696200000000001</v>
          </cell>
          <cell r="K69">
            <v>3.9808000000000003</v>
          </cell>
          <cell r="L69">
            <v>77.233100000000007</v>
          </cell>
          <cell r="M69">
            <v>92.842600000000004</v>
          </cell>
          <cell r="N69">
            <v>0</v>
          </cell>
          <cell r="O69">
            <v>8.8926999999999996</v>
          </cell>
        </row>
        <row r="70">
          <cell r="A70" t="str">
            <v>0073</v>
          </cell>
          <cell r="B70">
            <v>184.52710000000002</v>
          </cell>
          <cell r="C70">
            <v>61.510300000000001</v>
          </cell>
          <cell r="D70">
            <v>114.60680000000001</v>
          </cell>
          <cell r="E70">
            <v>5.75</v>
          </cell>
          <cell r="F70">
            <v>22.59</v>
          </cell>
          <cell r="G70">
            <v>13.4382</v>
          </cell>
          <cell r="H70">
            <v>0</v>
          </cell>
          <cell r="I70">
            <v>51.898900000000005</v>
          </cell>
          <cell r="J70">
            <v>13.079600000000001</v>
          </cell>
          <cell r="K70">
            <v>86.51400000000001</v>
          </cell>
          <cell r="L70">
            <v>61.153600000000004</v>
          </cell>
          <cell r="M70">
            <v>857.61240000000009</v>
          </cell>
          <cell r="N70">
            <v>0</v>
          </cell>
          <cell r="O70">
            <v>3.4879000000000002</v>
          </cell>
        </row>
        <row r="71">
          <cell r="A71" t="str">
            <v>0074</v>
          </cell>
          <cell r="B71">
            <v>155.839</v>
          </cell>
          <cell r="C71">
            <v>19.1022</v>
          </cell>
          <cell r="D71">
            <v>80.170500000000004</v>
          </cell>
          <cell r="E71">
            <v>47.984999999999999</v>
          </cell>
          <cell r="F71">
            <v>0.3</v>
          </cell>
          <cell r="G71">
            <v>6.4889999999999999</v>
          </cell>
          <cell r="H71">
            <v>0</v>
          </cell>
          <cell r="I71">
            <v>1.8981000000000001</v>
          </cell>
          <cell r="J71">
            <v>2.5718000000000001</v>
          </cell>
          <cell r="K71">
            <v>67.186999999999998</v>
          </cell>
          <cell r="L71">
            <v>44.762700000000002</v>
          </cell>
          <cell r="M71">
            <v>0</v>
          </cell>
          <cell r="N71">
            <v>0</v>
          </cell>
          <cell r="O71">
            <v>2.6908000000000003</v>
          </cell>
        </row>
        <row r="72">
          <cell r="A72" t="str">
            <v>0075</v>
          </cell>
          <cell r="B72">
            <v>171.1036</v>
          </cell>
          <cell r="C72">
            <v>61.907900000000005</v>
          </cell>
          <cell r="D72">
            <v>37.674199999999999</v>
          </cell>
          <cell r="E72">
            <v>7.42</v>
          </cell>
          <cell r="F72">
            <v>9.8849999999999998</v>
          </cell>
          <cell r="G72">
            <v>11.491300000000001</v>
          </cell>
          <cell r="H72">
            <v>0</v>
          </cell>
          <cell r="I72">
            <v>113.4302</v>
          </cell>
          <cell r="J72">
            <v>28.5579</v>
          </cell>
          <cell r="K72">
            <v>8.4115000000000002</v>
          </cell>
          <cell r="L72">
            <v>6.8630000000000004</v>
          </cell>
          <cell r="M72">
            <v>0</v>
          </cell>
          <cell r="N72">
            <v>0</v>
          </cell>
          <cell r="O72">
            <v>12.805800000000001</v>
          </cell>
        </row>
        <row r="73">
          <cell r="A73" t="str">
            <v>0076</v>
          </cell>
          <cell r="B73">
            <v>303.22300000000001</v>
          </cell>
          <cell r="C73">
            <v>70.188600000000008</v>
          </cell>
          <cell r="D73">
            <v>72.350400000000008</v>
          </cell>
          <cell r="E73">
            <v>22.148</v>
          </cell>
          <cell r="F73">
            <v>27.595000000000002</v>
          </cell>
          <cell r="G73">
            <v>3.8823000000000003</v>
          </cell>
          <cell r="H73">
            <v>0</v>
          </cell>
          <cell r="I73">
            <v>159.66419999999999</v>
          </cell>
          <cell r="J73">
            <v>18.554000000000002</v>
          </cell>
          <cell r="K73">
            <v>18.592000000000002</v>
          </cell>
          <cell r="L73">
            <v>38.661900000000003</v>
          </cell>
          <cell r="M73">
            <v>0</v>
          </cell>
          <cell r="N73">
            <v>0</v>
          </cell>
          <cell r="O73">
            <v>6.8093000000000004</v>
          </cell>
        </row>
        <row r="74">
          <cell r="A74" t="str">
            <v>0077</v>
          </cell>
          <cell r="B74">
            <v>193.3603</v>
          </cell>
          <cell r="C74">
            <v>59.661200000000001</v>
          </cell>
          <cell r="D74">
            <v>178.85080000000002</v>
          </cell>
          <cell r="E74">
            <v>23.8</v>
          </cell>
          <cell r="F74">
            <v>0</v>
          </cell>
          <cell r="G74">
            <v>4.2368000000000006</v>
          </cell>
          <cell r="H74">
            <v>0</v>
          </cell>
          <cell r="I74">
            <v>9.230500000000001</v>
          </cell>
          <cell r="J74">
            <v>6.8895</v>
          </cell>
          <cell r="K74">
            <v>18.270900000000001</v>
          </cell>
          <cell r="L74">
            <v>15.2561</v>
          </cell>
          <cell r="M74">
            <v>0</v>
          </cell>
          <cell r="N74">
            <v>0</v>
          </cell>
          <cell r="O74">
            <v>2.9826000000000001</v>
          </cell>
        </row>
        <row r="75">
          <cell r="A75" t="str">
            <v>0078</v>
          </cell>
          <cell r="B75">
            <v>224.5967</v>
          </cell>
          <cell r="C75">
            <v>43.5015</v>
          </cell>
          <cell r="D75">
            <v>115.95070000000001</v>
          </cell>
          <cell r="E75">
            <v>28.700000000000003</v>
          </cell>
          <cell r="F75">
            <v>1.35</v>
          </cell>
          <cell r="G75">
            <v>2.5903</v>
          </cell>
          <cell r="H75">
            <v>0</v>
          </cell>
          <cell r="I75">
            <v>193.41420000000002</v>
          </cell>
          <cell r="J75">
            <v>10.450000000000001</v>
          </cell>
          <cell r="K75">
            <v>39.020800000000001</v>
          </cell>
          <cell r="L75">
            <v>36.178600000000003</v>
          </cell>
          <cell r="M75">
            <v>0</v>
          </cell>
          <cell r="N75">
            <v>0</v>
          </cell>
          <cell r="O75">
            <v>10.184700000000001</v>
          </cell>
        </row>
        <row r="76">
          <cell r="A76" t="str">
            <v>0079</v>
          </cell>
          <cell r="B76">
            <v>121.07650000000001</v>
          </cell>
          <cell r="C76">
            <v>40.258099999999999</v>
          </cell>
          <cell r="D76">
            <v>165.54840000000002</v>
          </cell>
          <cell r="E76">
            <v>16.813000000000002</v>
          </cell>
          <cell r="F76">
            <v>20.795000000000002</v>
          </cell>
          <cell r="G76">
            <v>4.4297000000000004</v>
          </cell>
          <cell r="H76">
            <v>0</v>
          </cell>
          <cell r="I76">
            <v>5.6417000000000002</v>
          </cell>
          <cell r="J76">
            <v>6.2872000000000003</v>
          </cell>
          <cell r="K76">
            <v>0.94880000000000009</v>
          </cell>
          <cell r="L76">
            <v>151.62270000000001</v>
          </cell>
          <cell r="M76">
            <v>0</v>
          </cell>
          <cell r="N76">
            <v>0</v>
          </cell>
          <cell r="O76">
            <v>5.6609000000000007</v>
          </cell>
        </row>
        <row r="77">
          <cell r="A77" t="str">
            <v>0080</v>
          </cell>
          <cell r="B77">
            <v>105.41260000000001</v>
          </cell>
          <cell r="C77">
            <v>15.219900000000001</v>
          </cell>
          <cell r="D77">
            <v>34.105600000000003</v>
          </cell>
          <cell r="E77">
            <v>2.5</v>
          </cell>
          <cell r="F77">
            <v>3.8320000000000003</v>
          </cell>
          <cell r="G77">
            <v>35.168600000000005</v>
          </cell>
          <cell r="H77">
            <v>0</v>
          </cell>
          <cell r="I77">
            <v>6.4283000000000001</v>
          </cell>
          <cell r="J77">
            <v>0</v>
          </cell>
          <cell r="K77">
            <v>0.77929999999999999</v>
          </cell>
          <cell r="L77">
            <v>5.7215000000000007</v>
          </cell>
          <cell r="M77">
            <v>0</v>
          </cell>
          <cell r="N77">
            <v>0</v>
          </cell>
          <cell r="O77">
            <v>2.1992000000000003</v>
          </cell>
        </row>
        <row r="78">
          <cell r="A78" t="str">
            <v>0081</v>
          </cell>
          <cell r="B78">
            <v>289.2998</v>
          </cell>
          <cell r="C78">
            <v>125.32530000000001</v>
          </cell>
          <cell r="D78">
            <v>199.6765</v>
          </cell>
          <cell r="E78">
            <v>36.9</v>
          </cell>
          <cell r="F78">
            <v>39.800000000000004</v>
          </cell>
          <cell r="G78">
            <v>17.672900000000002</v>
          </cell>
          <cell r="H78">
            <v>0</v>
          </cell>
          <cell r="I78">
            <v>12.466800000000001</v>
          </cell>
          <cell r="J78">
            <v>4.5478000000000005</v>
          </cell>
          <cell r="K78">
            <v>55.045700000000004</v>
          </cell>
          <cell r="L78">
            <v>105.27590000000001</v>
          </cell>
          <cell r="M78">
            <v>136.20050000000001</v>
          </cell>
          <cell r="N78">
            <v>0</v>
          </cell>
          <cell r="O78">
            <v>12.756500000000001</v>
          </cell>
        </row>
        <row r="79">
          <cell r="A79" t="str">
            <v>0082</v>
          </cell>
          <cell r="B79">
            <v>495.78150000000005</v>
          </cell>
          <cell r="C79">
            <v>110.97510000000001</v>
          </cell>
          <cell r="D79">
            <v>174.17320000000001</v>
          </cell>
          <cell r="E79">
            <v>12.450000000000001</v>
          </cell>
          <cell r="F79">
            <v>5.6400000000000006</v>
          </cell>
          <cell r="G79">
            <v>5.9519000000000002</v>
          </cell>
          <cell r="H79">
            <v>0</v>
          </cell>
          <cell r="I79">
            <v>1461.0934</v>
          </cell>
          <cell r="J79">
            <v>6.62</v>
          </cell>
          <cell r="K79">
            <v>132.44410000000002</v>
          </cell>
          <cell r="L79">
            <v>64.9358</v>
          </cell>
          <cell r="M79">
            <v>108.3763</v>
          </cell>
          <cell r="N79">
            <v>0</v>
          </cell>
          <cell r="O79">
            <v>0.69800000000000006</v>
          </cell>
        </row>
        <row r="80">
          <cell r="A80" t="str">
            <v>0083</v>
          </cell>
          <cell r="B80">
            <v>526.05930000000001</v>
          </cell>
          <cell r="C80">
            <v>8.5479000000000003</v>
          </cell>
          <cell r="D80">
            <v>30.728200000000001</v>
          </cell>
          <cell r="E80">
            <v>0</v>
          </cell>
          <cell r="F80">
            <v>0</v>
          </cell>
          <cell r="G80">
            <v>0.1419</v>
          </cell>
          <cell r="H80">
            <v>0</v>
          </cell>
          <cell r="I80">
            <v>34.357500000000002</v>
          </cell>
          <cell r="J80">
            <v>0</v>
          </cell>
          <cell r="K80">
            <v>36.7117</v>
          </cell>
          <cell r="L80">
            <v>32.435600000000001</v>
          </cell>
          <cell r="M80">
            <v>0</v>
          </cell>
          <cell r="N80">
            <v>0</v>
          </cell>
          <cell r="O80">
            <v>29.025400000000001</v>
          </cell>
        </row>
        <row r="81">
          <cell r="A81" t="str">
            <v>0085</v>
          </cell>
          <cell r="B81">
            <v>105.64630000000001</v>
          </cell>
          <cell r="C81">
            <v>40.050699999999999</v>
          </cell>
          <cell r="D81">
            <v>109.34840000000001</v>
          </cell>
          <cell r="E81">
            <v>8.8000000000000007</v>
          </cell>
          <cell r="F81">
            <v>13.5</v>
          </cell>
          <cell r="G81">
            <v>6.4176000000000002</v>
          </cell>
          <cell r="H81">
            <v>2.35E-2</v>
          </cell>
          <cell r="I81">
            <v>175.3586</v>
          </cell>
          <cell r="J81">
            <v>5.0731999999999999</v>
          </cell>
          <cell r="K81">
            <v>9.1950000000000003</v>
          </cell>
          <cell r="L81">
            <v>277.7901</v>
          </cell>
          <cell r="M81">
            <v>0</v>
          </cell>
          <cell r="N81">
            <v>0</v>
          </cell>
          <cell r="O81">
            <v>11.5989</v>
          </cell>
        </row>
        <row r="82">
          <cell r="A82" t="str">
            <v>0086</v>
          </cell>
          <cell r="B82">
            <v>253.7604</v>
          </cell>
          <cell r="C82">
            <v>57.787500000000001</v>
          </cell>
          <cell r="D82">
            <v>56.421300000000002</v>
          </cell>
          <cell r="E82">
            <v>9.85</v>
          </cell>
          <cell r="F82">
            <v>3.2240000000000002</v>
          </cell>
          <cell r="G82">
            <v>3.0707</v>
          </cell>
          <cell r="H82">
            <v>0</v>
          </cell>
          <cell r="I82">
            <v>89.222999999999999</v>
          </cell>
          <cell r="J82">
            <v>2.0792999999999999</v>
          </cell>
          <cell r="K82">
            <v>10.331900000000001</v>
          </cell>
          <cell r="L82">
            <v>5.8025000000000002</v>
          </cell>
          <cell r="M82">
            <v>0</v>
          </cell>
          <cell r="N82">
            <v>0</v>
          </cell>
          <cell r="O82">
            <v>4.5906000000000002</v>
          </cell>
        </row>
        <row r="83">
          <cell r="A83" t="str">
            <v>0088</v>
          </cell>
          <cell r="B83">
            <v>190.1071</v>
          </cell>
          <cell r="C83">
            <v>43.599699999999999</v>
          </cell>
          <cell r="D83">
            <v>8.0227000000000004</v>
          </cell>
          <cell r="E83">
            <v>4.7</v>
          </cell>
          <cell r="F83">
            <v>1.2</v>
          </cell>
          <cell r="G83">
            <v>10.435600000000001</v>
          </cell>
          <cell r="H83">
            <v>0</v>
          </cell>
          <cell r="I83">
            <v>0</v>
          </cell>
          <cell r="J83">
            <v>0.18000000000000002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3.3452999999999999</v>
          </cell>
        </row>
        <row r="84">
          <cell r="A84" t="str">
            <v>0089</v>
          </cell>
          <cell r="B84">
            <v>160.28550000000001</v>
          </cell>
          <cell r="C84">
            <v>37.275100000000002</v>
          </cell>
          <cell r="D84">
            <v>104.3069</v>
          </cell>
          <cell r="E84">
            <v>8.5500000000000007</v>
          </cell>
          <cell r="F84">
            <v>2.4</v>
          </cell>
          <cell r="G84">
            <v>5.0738000000000003</v>
          </cell>
          <cell r="H84">
            <v>0</v>
          </cell>
          <cell r="I84">
            <v>25.758000000000003</v>
          </cell>
          <cell r="J84">
            <v>44.648600000000002</v>
          </cell>
          <cell r="K84">
            <v>17.2761</v>
          </cell>
          <cell r="L84">
            <v>4.7294999999999998</v>
          </cell>
          <cell r="M84">
            <v>4.1771000000000003</v>
          </cell>
          <cell r="N84">
            <v>0</v>
          </cell>
          <cell r="O84">
            <v>24.0106</v>
          </cell>
        </row>
        <row r="85">
          <cell r="A85" t="str">
            <v>0091</v>
          </cell>
          <cell r="B85">
            <v>617.76710000000003</v>
          </cell>
          <cell r="C85">
            <v>2.7136</v>
          </cell>
          <cell r="D85">
            <v>97.308400000000006</v>
          </cell>
          <cell r="E85">
            <v>0</v>
          </cell>
          <cell r="F85">
            <v>1</v>
          </cell>
          <cell r="G85">
            <v>1.9507000000000001</v>
          </cell>
          <cell r="H85">
            <v>0</v>
          </cell>
          <cell r="I85">
            <v>0</v>
          </cell>
          <cell r="J85">
            <v>3.8989000000000003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39.434200000000004</v>
          </cell>
        </row>
        <row r="86">
          <cell r="A86" t="str">
            <v>0092</v>
          </cell>
          <cell r="B86">
            <v>162.44570000000002</v>
          </cell>
          <cell r="C86">
            <v>96.47760000000001</v>
          </cell>
          <cell r="D86">
            <v>135.3203</v>
          </cell>
          <cell r="E86">
            <v>5.5819999999999999</v>
          </cell>
          <cell r="F86">
            <v>10.200000000000001</v>
          </cell>
          <cell r="G86">
            <v>1.0085</v>
          </cell>
          <cell r="H86">
            <v>0</v>
          </cell>
          <cell r="I86">
            <v>10</v>
          </cell>
          <cell r="J86">
            <v>0</v>
          </cell>
          <cell r="K86">
            <v>25.586100000000002</v>
          </cell>
          <cell r="L86">
            <v>24.043500000000002</v>
          </cell>
          <cell r="M86">
            <v>12.5313</v>
          </cell>
          <cell r="N86">
            <v>0</v>
          </cell>
          <cell r="O86">
            <v>0.2848</v>
          </cell>
        </row>
        <row r="87">
          <cell r="A87" t="str">
            <v>0093</v>
          </cell>
          <cell r="B87">
            <v>194.89250000000001</v>
          </cell>
          <cell r="C87">
            <v>10.0853</v>
          </cell>
          <cell r="D87">
            <v>123.77460000000001</v>
          </cell>
          <cell r="E87">
            <v>3.23</v>
          </cell>
          <cell r="F87">
            <v>0.1</v>
          </cell>
          <cell r="G87">
            <v>8.472900000000001</v>
          </cell>
          <cell r="H87">
            <v>0</v>
          </cell>
          <cell r="I87">
            <v>47.6736</v>
          </cell>
          <cell r="J87">
            <v>5.1924999999999999</v>
          </cell>
          <cell r="K87">
            <v>20.230399999999999</v>
          </cell>
          <cell r="L87">
            <v>5.4494000000000007</v>
          </cell>
          <cell r="M87">
            <v>0</v>
          </cell>
          <cell r="N87">
            <v>0</v>
          </cell>
          <cell r="O87">
            <v>20.0275</v>
          </cell>
        </row>
        <row r="88">
          <cell r="A88" t="str">
            <v>0094</v>
          </cell>
          <cell r="B88">
            <v>462.9271</v>
          </cell>
          <cell r="C88">
            <v>64.093299999999999</v>
          </cell>
          <cell r="D88">
            <v>70.985799999999998</v>
          </cell>
          <cell r="E88">
            <v>2.85</v>
          </cell>
          <cell r="F88">
            <v>0.1</v>
          </cell>
          <cell r="G88">
            <v>2.3382000000000001</v>
          </cell>
          <cell r="H88">
            <v>0</v>
          </cell>
          <cell r="I88">
            <v>1.0898000000000001</v>
          </cell>
          <cell r="J88">
            <v>0.1009</v>
          </cell>
          <cell r="K88">
            <v>4.5912000000000006</v>
          </cell>
          <cell r="L88">
            <v>1.9392</v>
          </cell>
          <cell r="M88">
            <v>0</v>
          </cell>
          <cell r="N88">
            <v>0</v>
          </cell>
          <cell r="O88">
            <v>0.98000000000000009</v>
          </cell>
        </row>
        <row r="89">
          <cell r="A89" t="str">
            <v>0095</v>
          </cell>
          <cell r="B89">
            <v>291.8725</v>
          </cell>
          <cell r="C89">
            <v>32.237300000000005</v>
          </cell>
          <cell r="D89">
            <v>28.133000000000003</v>
          </cell>
          <cell r="E89">
            <v>17.756</v>
          </cell>
          <cell r="F89">
            <v>10.65</v>
          </cell>
          <cell r="G89">
            <v>1.3030000000000002</v>
          </cell>
          <cell r="H89">
            <v>0</v>
          </cell>
          <cell r="I89">
            <v>4.9706999999999999</v>
          </cell>
          <cell r="J89">
            <v>17.029600000000002</v>
          </cell>
          <cell r="K89">
            <v>13.802300000000001</v>
          </cell>
          <cell r="L89">
            <v>1.8324</v>
          </cell>
          <cell r="M89">
            <v>0</v>
          </cell>
          <cell r="N89">
            <v>0</v>
          </cell>
          <cell r="O89">
            <v>11.1471</v>
          </cell>
        </row>
        <row r="90">
          <cell r="A90" t="str">
            <v>0096</v>
          </cell>
          <cell r="B90">
            <v>84.319299999999998</v>
          </cell>
          <cell r="C90">
            <v>67.179900000000004</v>
          </cell>
          <cell r="D90">
            <v>53.566300000000005</v>
          </cell>
          <cell r="E90">
            <v>6.2</v>
          </cell>
          <cell r="F90">
            <v>5.3</v>
          </cell>
          <cell r="G90">
            <v>1.3509</v>
          </cell>
          <cell r="H90">
            <v>0</v>
          </cell>
          <cell r="I90">
            <v>69.23190000000001</v>
          </cell>
          <cell r="J90">
            <v>1.4145000000000001</v>
          </cell>
          <cell r="K90">
            <v>19.202200000000001</v>
          </cell>
          <cell r="L90">
            <v>1.4854000000000001</v>
          </cell>
          <cell r="M90">
            <v>0</v>
          </cell>
          <cell r="N90">
            <v>0</v>
          </cell>
          <cell r="O90">
            <v>0.90710000000000002</v>
          </cell>
        </row>
        <row r="91">
          <cell r="A91" t="str">
            <v>0097</v>
          </cell>
          <cell r="B91">
            <v>329.90530000000001</v>
          </cell>
          <cell r="C91">
            <v>0.5222</v>
          </cell>
          <cell r="D91">
            <v>25.084400000000002</v>
          </cell>
          <cell r="E91">
            <v>0.27</v>
          </cell>
          <cell r="F91">
            <v>0</v>
          </cell>
          <cell r="G91">
            <v>1.8657000000000001</v>
          </cell>
          <cell r="H91">
            <v>0</v>
          </cell>
          <cell r="I91">
            <v>0.42570000000000002</v>
          </cell>
          <cell r="J91">
            <v>0</v>
          </cell>
          <cell r="K91">
            <v>1.2200000000000001E-2</v>
          </cell>
          <cell r="L91">
            <v>0</v>
          </cell>
          <cell r="M91">
            <v>0</v>
          </cell>
          <cell r="N91">
            <v>0</v>
          </cell>
          <cell r="O91">
            <v>60.57</v>
          </cell>
        </row>
        <row r="92">
          <cell r="A92" t="str">
            <v>0098</v>
          </cell>
          <cell r="B92">
            <v>145.33150000000001</v>
          </cell>
          <cell r="C92">
            <v>75.958500000000001</v>
          </cell>
          <cell r="D92">
            <v>355.61630000000002</v>
          </cell>
          <cell r="E92">
            <v>20.790000000000003</v>
          </cell>
          <cell r="F92">
            <v>3.25</v>
          </cell>
          <cell r="G92">
            <v>5.6665999999999999</v>
          </cell>
          <cell r="H92">
            <v>0</v>
          </cell>
          <cell r="I92">
            <v>232.06410000000002</v>
          </cell>
          <cell r="J92">
            <v>0</v>
          </cell>
          <cell r="K92">
            <v>5.9256000000000002</v>
          </cell>
          <cell r="L92">
            <v>2.0259</v>
          </cell>
          <cell r="M92">
            <v>0</v>
          </cell>
          <cell r="N92">
            <v>0</v>
          </cell>
          <cell r="O92">
            <v>2.0000000000000001E-4</v>
          </cell>
        </row>
        <row r="93">
          <cell r="A93" t="str">
            <v>0100</v>
          </cell>
          <cell r="B93">
            <v>342.47489999999999</v>
          </cell>
          <cell r="C93">
            <v>25.3033</v>
          </cell>
          <cell r="D93">
            <v>28.121300000000002</v>
          </cell>
          <cell r="E93">
            <v>4.5</v>
          </cell>
          <cell r="F93">
            <v>0</v>
          </cell>
          <cell r="G93">
            <v>1.7546000000000002</v>
          </cell>
          <cell r="H93">
            <v>0</v>
          </cell>
          <cell r="I93">
            <v>33.322400000000002</v>
          </cell>
          <cell r="J93">
            <v>1.3644000000000001</v>
          </cell>
          <cell r="K93">
            <v>52.987000000000002</v>
          </cell>
          <cell r="L93">
            <v>0.2412</v>
          </cell>
          <cell r="M93">
            <v>0</v>
          </cell>
          <cell r="N93">
            <v>0</v>
          </cell>
          <cell r="O93">
            <v>12.7874</v>
          </cell>
        </row>
        <row r="94">
          <cell r="A94" t="str">
            <v>0101</v>
          </cell>
          <cell r="B94">
            <v>157.20340000000002</v>
          </cell>
          <cell r="C94">
            <v>102.2004</v>
          </cell>
          <cell r="D94">
            <v>164.64700000000002</v>
          </cell>
          <cell r="E94">
            <v>17.381</v>
          </cell>
          <cell r="F94">
            <v>31.6</v>
          </cell>
          <cell r="G94">
            <v>17.086400000000001</v>
          </cell>
          <cell r="H94">
            <v>0</v>
          </cell>
          <cell r="I94">
            <v>26.721500000000002</v>
          </cell>
          <cell r="J94">
            <v>0.39200000000000002</v>
          </cell>
          <cell r="K94">
            <v>0.6018</v>
          </cell>
          <cell r="L94">
            <v>15.778400000000001</v>
          </cell>
          <cell r="M94">
            <v>8.7477999999999998</v>
          </cell>
          <cell r="N94">
            <v>0</v>
          </cell>
          <cell r="O94">
            <v>5.1820000000000004</v>
          </cell>
        </row>
        <row r="95">
          <cell r="A95" t="str">
            <v>0102</v>
          </cell>
          <cell r="B95">
            <v>277.79380000000003</v>
          </cell>
          <cell r="C95">
            <v>14.1715</v>
          </cell>
          <cell r="D95">
            <v>14.2645</v>
          </cell>
          <cell r="E95">
            <v>0</v>
          </cell>
          <cell r="F95">
            <v>0.2</v>
          </cell>
          <cell r="G95">
            <v>0.1119</v>
          </cell>
          <cell r="H95">
            <v>0</v>
          </cell>
          <cell r="I95">
            <v>81.407200000000003</v>
          </cell>
          <cell r="J95">
            <v>0.99770000000000003</v>
          </cell>
          <cell r="K95">
            <v>43.273600000000002</v>
          </cell>
          <cell r="L95">
            <v>2.7515000000000001</v>
          </cell>
          <cell r="M95">
            <v>0</v>
          </cell>
          <cell r="N95">
            <v>0</v>
          </cell>
          <cell r="O95">
            <v>28.289000000000001</v>
          </cell>
        </row>
        <row r="96">
          <cell r="A96" t="str">
            <v>0103</v>
          </cell>
          <cell r="B96">
            <v>274.36320000000001</v>
          </cell>
          <cell r="C96">
            <v>40.380000000000003</v>
          </cell>
          <cell r="D96">
            <v>53.351700000000001</v>
          </cell>
          <cell r="E96">
            <v>13</v>
          </cell>
          <cell r="F96">
            <v>1.3</v>
          </cell>
          <cell r="G96">
            <v>2.3419000000000003</v>
          </cell>
          <cell r="H96">
            <v>0</v>
          </cell>
          <cell r="I96">
            <v>23.4194</v>
          </cell>
          <cell r="J96">
            <v>5.4625000000000004</v>
          </cell>
          <cell r="K96">
            <v>62.358600000000003</v>
          </cell>
          <cell r="L96">
            <v>9.1746999999999996</v>
          </cell>
          <cell r="M96">
            <v>0</v>
          </cell>
          <cell r="N96">
            <v>0</v>
          </cell>
          <cell r="O96">
            <v>31.9818</v>
          </cell>
        </row>
        <row r="97">
          <cell r="A97" t="str">
            <v>0104</v>
          </cell>
          <cell r="B97">
            <v>264.91090000000003</v>
          </cell>
          <cell r="C97">
            <v>8.0018000000000011</v>
          </cell>
          <cell r="D97">
            <v>21.444200000000002</v>
          </cell>
          <cell r="E97">
            <v>0</v>
          </cell>
          <cell r="F97">
            <v>5.25</v>
          </cell>
          <cell r="G97">
            <v>5.4065000000000003</v>
          </cell>
          <cell r="H97">
            <v>0</v>
          </cell>
          <cell r="I97">
            <v>0</v>
          </cell>
          <cell r="J97">
            <v>17.691300000000002</v>
          </cell>
          <cell r="K97">
            <v>26.049500000000002</v>
          </cell>
          <cell r="L97">
            <v>10.1752</v>
          </cell>
          <cell r="M97">
            <v>0</v>
          </cell>
          <cell r="N97">
            <v>0</v>
          </cell>
          <cell r="O97">
            <v>10.658200000000001</v>
          </cell>
        </row>
        <row r="98">
          <cell r="A98" t="str">
            <v>0105</v>
          </cell>
          <cell r="B98">
            <v>48.343600000000002</v>
          </cell>
          <cell r="C98">
            <v>15.190800000000001</v>
          </cell>
          <cell r="D98">
            <v>31.758800000000001</v>
          </cell>
          <cell r="E98">
            <v>12.55</v>
          </cell>
          <cell r="F98">
            <v>1.85</v>
          </cell>
          <cell r="G98">
            <v>0.42030000000000001</v>
          </cell>
          <cell r="H98">
            <v>0</v>
          </cell>
          <cell r="I98">
            <v>3.1531000000000002</v>
          </cell>
          <cell r="J98">
            <v>11.549300000000001</v>
          </cell>
          <cell r="K98">
            <v>8.2948000000000004</v>
          </cell>
          <cell r="L98">
            <v>8.420300000000001</v>
          </cell>
          <cell r="M98">
            <v>0</v>
          </cell>
          <cell r="N98">
            <v>0</v>
          </cell>
          <cell r="O98">
            <v>11.3108</v>
          </cell>
        </row>
        <row r="99">
          <cell r="A99" t="str">
            <v>0106</v>
          </cell>
          <cell r="B99">
            <v>173.52030000000002</v>
          </cell>
          <cell r="C99">
            <v>36.444400000000002</v>
          </cell>
          <cell r="D99">
            <v>177.3014</v>
          </cell>
          <cell r="E99">
            <v>35.575000000000003</v>
          </cell>
          <cell r="F99">
            <v>20.2</v>
          </cell>
          <cell r="G99">
            <v>3.6702000000000004</v>
          </cell>
          <cell r="H99">
            <v>0</v>
          </cell>
          <cell r="I99">
            <v>109.0245</v>
          </cell>
          <cell r="J99">
            <v>4.8874000000000004</v>
          </cell>
          <cell r="K99">
            <v>8.9588000000000001</v>
          </cell>
          <cell r="L99">
            <v>32.718900000000005</v>
          </cell>
          <cell r="M99">
            <v>0</v>
          </cell>
          <cell r="N99">
            <v>0</v>
          </cell>
          <cell r="O99">
            <v>3.9194</v>
          </cell>
        </row>
        <row r="100">
          <cell r="A100" t="str">
            <v>0107</v>
          </cell>
          <cell r="B100">
            <v>359.76220000000001</v>
          </cell>
          <cell r="C100">
            <v>3.9798</v>
          </cell>
          <cell r="D100">
            <v>78.412599999999998</v>
          </cell>
          <cell r="E100">
            <v>2.5</v>
          </cell>
          <cell r="F100">
            <v>6</v>
          </cell>
          <cell r="G100">
            <v>1.2006000000000001</v>
          </cell>
          <cell r="H100">
            <v>0</v>
          </cell>
          <cell r="I100">
            <v>2E-3</v>
          </cell>
          <cell r="J100">
            <v>14.690300000000001</v>
          </cell>
          <cell r="K100">
            <v>1.5481</v>
          </cell>
          <cell r="L100">
            <v>6.2922000000000002</v>
          </cell>
          <cell r="M100">
            <v>0</v>
          </cell>
          <cell r="N100">
            <v>0</v>
          </cell>
          <cell r="O100">
            <v>28.953300000000002</v>
          </cell>
        </row>
        <row r="101">
          <cell r="A101" t="str">
            <v>0108</v>
          </cell>
          <cell r="B101">
            <v>232.7345</v>
          </cell>
          <cell r="C101">
            <v>9.7294</v>
          </cell>
          <cell r="D101">
            <v>160.02250000000001</v>
          </cell>
          <cell r="E101">
            <v>17.8</v>
          </cell>
          <cell r="F101">
            <v>0</v>
          </cell>
          <cell r="G101">
            <v>3.6000000000000003E-3</v>
          </cell>
          <cell r="H101">
            <v>0</v>
          </cell>
          <cell r="I101">
            <v>28.026200000000003</v>
          </cell>
          <cell r="J101">
            <v>3.8446000000000002</v>
          </cell>
          <cell r="K101">
            <v>75.633200000000002</v>
          </cell>
          <cell r="L101">
            <v>2.3907000000000003</v>
          </cell>
          <cell r="M101">
            <v>0</v>
          </cell>
          <cell r="N101">
            <v>0</v>
          </cell>
          <cell r="O101">
            <v>36.488700000000001</v>
          </cell>
        </row>
        <row r="102">
          <cell r="A102" t="str">
            <v>0109</v>
          </cell>
          <cell r="B102">
            <v>156.2612</v>
          </cell>
          <cell r="C102">
            <v>10.4252</v>
          </cell>
          <cell r="D102">
            <v>102.18900000000001</v>
          </cell>
          <cell r="E102">
            <v>5.6755000000000004</v>
          </cell>
          <cell r="F102">
            <v>0.4</v>
          </cell>
          <cell r="G102">
            <v>0.25059999999999999</v>
          </cell>
          <cell r="H102">
            <v>0</v>
          </cell>
          <cell r="I102">
            <v>35.204999999999998</v>
          </cell>
          <cell r="J102">
            <v>2.0752999999999999</v>
          </cell>
          <cell r="K102">
            <v>0.25370000000000004</v>
          </cell>
          <cell r="L102">
            <v>5.3850000000000007</v>
          </cell>
          <cell r="M102">
            <v>0</v>
          </cell>
          <cell r="N102">
            <v>0</v>
          </cell>
          <cell r="O102">
            <v>20.616900000000001</v>
          </cell>
        </row>
        <row r="103">
          <cell r="A103" t="str">
            <v>0110</v>
          </cell>
          <cell r="B103">
            <v>209.6148</v>
          </cell>
          <cell r="C103">
            <v>11.947700000000001</v>
          </cell>
          <cell r="D103">
            <v>65.576700000000002</v>
          </cell>
          <cell r="E103">
            <v>23.23</v>
          </cell>
          <cell r="F103">
            <v>3.5490000000000004</v>
          </cell>
          <cell r="G103">
            <v>2.5318000000000001</v>
          </cell>
          <cell r="H103">
            <v>0</v>
          </cell>
          <cell r="I103">
            <v>48.350100000000005</v>
          </cell>
          <cell r="J103">
            <v>2.3934000000000002</v>
          </cell>
          <cell r="K103">
            <v>0.20280000000000001</v>
          </cell>
          <cell r="L103">
            <v>14.240300000000001</v>
          </cell>
          <cell r="M103">
            <v>0</v>
          </cell>
          <cell r="N103">
            <v>0</v>
          </cell>
          <cell r="O103">
            <v>9.5228000000000002</v>
          </cell>
        </row>
        <row r="104">
          <cell r="A104" t="str">
            <v>0111</v>
          </cell>
          <cell r="B104">
            <v>124.92160000000001</v>
          </cell>
          <cell r="C104">
            <v>8.1988000000000003</v>
          </cell>
          <cell r="D104">
            <v>45.516100000000002</v>
          </cell>
          <cell r="E104">
            <v>0</v>
          </cell>
          <cell r="F104">
            <v>1.05</v>
          </cell>
          <cell r="G104">
            <v>1.9283000000000001</v>
          </cell>
          <cell r="H104">
            <v>0</v>
          </cell>
          <cell r="I104">
            <v>0.30470000000000003</v>
          </cell>
          <cell r="J104">
            <v>0</v>
          </cell>
          <cell r="K104">
            <v>23.346500000000002</v>
          </cell>
          <cell r="L104">
            <v>1.2255</v>
          </cell>
          <cell r="M104">
            <v>0</v>
          </cell>
          <cell r="N104">
            <v>0</v>
          </cell>
          <cell r="O104">
            <v>8.5641999999999996</v>
          </cell>
        </row>
        <row r="105">
          <cell r="A105" t="str">
            <v>0112</v>
          </cell>
          <cell r="B105">
            <v>141.2929</v>
          </cell>
          <cell r="C105">
            <v>63.829000000000001</v>
          </cell>
          <cell r="D105">
            <v>47.203200000000002</v>
          </cell>
          <cell r="E105">
            <v>11.17</v>
          </cell>
          <cell r="F105">
            <v>17.3</v>
          </cell>
          <cell r="G105">
            <v>5.8573000000000004</v>
          </cell>
          <cell r="H105">
            <v>0</v>
          </cell>
          <cell r="I105">
            <v>2.8827000000000003</v>
          </cell>
          <cell r="J105">
            <v>3.2355</v>
          </cell>
          <cell r="K105">
            <v>11.4101</v>
          </cell>
          <cell r="L105">
            <v>32.302</v>
          </cell>
          <cell r="M105">
            <v>0</v>
          </cell>
          <cell r="N105">
            <v>0</v>
          </cell>
          <cell r="O105">
            <v>6.2598000000000003</v>
          </cell>
        </row>
        <row r="106">
          <cell r="A106" t="str">
            <v>0113</v>
          </cell>
          <cell r="B106">
            <v>162.81440000000001</v>
          </cell>
          <cell r="C106">
            <v>10.1051</v>
          </cell>
          <cell r="D106">
            <v>72.244</v>
          </cell>
          <cell r="E106">
            <v>6.7</v>
          </cell>
          <cell r="F106">
            <v>1.22</v>
          </cell>
          <cell r="G106">
            <v>6.8905000000000003</v>
          </cell>
          <cell r="H106">
            <v>0</v>
          </cell>
          <cell r="I106">
            <v>2.7888000000000002</v>
          </cell>
          <cell r="J106">
            <v>1.385</v>
          </cell>
          <cell r="K106">
            <v>23.313800000000001</v>
          </cell>
          <cell r="L106">
            <v>1.9214</v>
          </cell>
          <cell r="M106">
            <v>0</v>
          </cell>
          <cell r="N106">
            <v>0</v>
          </cell>
          <cell r="O106">
            <v>12.41</v>
          </cell>
        </row>
        <row r="107">
          <cell r="A107" t="str">
            <v>0114</v>
          </cell>
          <cell r="B107">
            <v>157.96680000000001</v>
          </cell>
          <cell r="C107">
            <v>22.862100000000002</v>
          </cell>
          <cell r="D107">
            <v>54.1569</v>
          </cell>
          <cell r="E107">
            <v>11</v>
          </cell>
          <cell r="F107">
            <v>0</v>
          </cell>
          <cell r="G107">
            <v>7.556</v>
          </cell>
          <cell r="H107">
            <v>0</v>
          </cell>
          <cell r="I107">
            <v>0.33630000000000004</v>
          </cell>
          <cell r="J107">
            <v>1.2250000000000001</v>
          </cell>
          <cell r="K107">
            <v>17.116900000000001</v>
          </cell>
          <cell r="L107">
            <v>105.90440000000001</v>
          </cell>
          <cell r="M107">
            <v>0</v>
          </cell>
          <cell r="N107">
            <v>0</v>
          </cell>
          <cell r="O107">
            <v>7.0186000000000002</v>
          </cell>
        </row>
        <row r="108">
          <cell r="A108" t="str">
            <v>0115</v>
          </cell>
          <cell r="B108">
            <v>180.9658</v>
          </cell>
          <cell r="C108">
            <v>23.024100000000001</v>
          </cell>
          <cell r="D108">
            <v>20.4237</v>
          </cell>
          <cell r="E108">
            <v>16.100000000000001</v>
          </cell>
          <cell r="F108">
            <v>2.5</v>
          </cell>
          <cell r="G108">
            <v>3.0968</v>
          </cell>
          <cell r="H108">
            <v>0</v>
          </cell>
          <cell r="I108">
            <v>9.1400000000000009E-2</v>
          </cell>
          <cell r="J108">
            <v>4.7E-2</v>
          </cell>
          <cell r="K108">
            <v>5.327</v>
          </cell>
          <cell r="L108">
            <v>2.1655000000000002</v>
          </cell>
          <cell r="M108">
            <v>0</v>
          </cell>
          <cell r="N108">
            <v>0</v>
          </cell>
          <cell r="O108">
            <v>22.129300000000001</v>
          </cell>
        </row>
        <row r="109">
          <cell r="A109" t="str">
            <v>0116</v>
          </cell>
          <cell r="B109">
            <v>218.50890000000001</v>
          </cell>
          <cell r="C109">
            <v>26.665900000000001</v>
          </cell>
          <cell r="D109">
            <v>51.162400000000005</v>
          </cell>
          <cell r="E109">
            <v>21.150000000000002</v>
          </cell>
          <cell r="F109">
            <v>1.1000000000000001</v>
          </cell>
          <cell r="G109">
            <v>13.1235</v>
          </cell>
          <cell r="H109">
            <v>0</v>
          </cell>
          <cell r="I109">
            <v>0.318</v>
          </cell>
          <cell r="J109">
            <v>1.4400000000000002</v>
          </cell>
          <cell r="K109">
            <v>7.0740000000000007</v>
          </cell>
          <cell r="L109">
            <v>6.8535000000000004</v>
          </cell>
          <cell r="M109">
            <v>0</v>
          </cell>
          <cell r="N109">
            <v>0</v>
          </cell>
          <cell r="O109">
            <v>8.6102000000000007</v>
          </cell>
        </row>
        <row r="110">
          <cell r="A110" t="str">
            <v>0117</v>
          </cell>
          <cell r="B110">
            <v>206.75960000000001</v>
          </cell>
          <cell r="C110">
            <v>13.1797</v>
          </cell>
          <cell r="D110">
            <v>145.31200000000001</v>
          </cell>
          <cell r="E110">
            <v>5</v>
          </cell>
          <cell r="F110">
            <v>3</v>
          </cell>
          <cell r="G110">
            <v>16.6248</v>
          </cell>
          <cell r="H110">
            <v>0</v>
          </cell>
          <cell r="I110">
            <v>20.3384</v>
          </cell>
          <cell r="J110">
            <v>0.74580000000000002</v>
          </cell>
          <cell r="K110">
            <v>2.1912000000000003</v>
          </cell>
          <cell r="L110">
            <v>0</v>
          </cell>
          <cell r="M110">
            <v>0</v>
          </cell>
          <cell r="N110">
            <v>0</v>
          </cell>
          <cell r="O110">
            <v>43.263100000000001</v>
          </cell>
        </row>
        <row r="111">
          <cell r="A111" t="str">
            <v>0118</v>
          </cell>
          <cell r="B111">
            <v>154.52680000000001</v>
          </cell>
          <cell r="C111">
            <v>14.4922</v>
          </cell>
          <cell r="D111">
            <v>33.8688</v>
          </cell>
          <cell r="E111">
            <v>1.05</v>
          </cell>
          <cell r="F111">
            <v>2.4</v>
          </cell>
          <cell r="G111">
            <v>3.3286000000000002</v>
          </cell>
          <cell r="H111">
            <v>0</v>
          </cell>
          <cell r="I111">
            <v>3.9511000000000003</v>
          </cell>
          <cell r="J111">
            <v>5.6850000000000005</v>
          </cell>
          <cell r="K111">
            <v>2.6611000000000002</v>
          </cell>
          <cell r="L111">
            <v>0.57179999999999997</v>
          </cell>
          <cell r="M111">
            <v>0</v>
          </cell>
          <cell r="N111">
            <v>0</v>
          </cell>
          <cell r="O111">
            <v>9.6272000000000002</v>
          </cell>
        </row>
        <row r="112">
          <cell r="A112" t="str">
            <v>0119</v>
          </cell>
          <cell r="B112">
            <v>137.41830000000002</v>
          </cell>
          <cell r="C112">
            <v>71.490700000000004</v>
          </cell>
          <cell r="D112">
            <v>152.1173</v>
          </cell>
          <cell r="E112">
            <v>25.21</v>
          </cell>
          <cell r="F112">
            <v>2.3000000000000003</v>
          </cell>
          <cell r="G112">
            <v>5.6913</v>
          </cell>
          <cell r="H112">
            <v>0</v>
          </cell>
          <cell r="I112">
            <v>13.8809</v>
          </cell>
          <cell r="J112">
            <v>3.4208000000000003</v>
          </cell>
          <cell r="K112">
            <v>4.1185999999999998</v>
          </cell>
          <cell r="L112">
            <v>26.613300000000002</v>
          </cell>
          <cell r="M112">
            <v>8.1635000000000009</v>
          </cell>
          <cell r="N112">
            <v>0</v>
          </cell>
          <cell r="O112">
            <v>0.42880000000000001</v>
          </cell>
        </row>
        <row r="113">
          <cell r="A113" t="str">
            <v>0120</v>
          </cell>
          <cell r="B113">
            <v>146.50820000000002</v>
          </cell>
          <cell r="C113">
            <v>82.1721</v>
          </cell>
          <cell r="D113">
            <v>13.734200000000001</v>
          </cell>
          <cell r="E113">
            <v>19.900000000000002</v>
          </cell>
          <cell r="F113">
            <v>12.700000000000001</v>
          </cell>
          <cell r="G113">
            <v>5.2747999999999999</v>
          </cell>
          <cell r="H113">
            <v>0</v>
          </cell>
          <cell r="I113">
            <v>128.52700000000002</v>
          </cell>
          <cell r="J113">
            <v>0</v>
          </cell>
          <cell r="K113">
            <v>27.665600000000001</v>
          </cell>
          <cell r="L113">
            <v>29.2057</v>
          </cell>
          <cell r="M113">
            <v>0</v>
          </cell>
          <cell r="N113">
            <v>0</v>
          </cell>
          <cell r="O113">
            <v>0.32440000000000002</v>
          </cell>
        </row>
        <row r="114">
          <cell r="A114" t="str">
            <v>0121</v>
          </cell>
          <cell r="B114">
            <v>261.1533</v>
          </cell>
          <cell r="C114">
            <v>3.0613000000000001</v>
          </cell>
          <cell r="D114">
            <v>0.56220000000000003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1.8500000000000003E-2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0.75190000000000001</v>
          </cell>
        </row>
        <row r="115">
          <cell r="A115" t="str">
            <v>0122</v>
          </cell>
          <cell r="B115">
            <v>146.5573</v>
          </cell>
          <cell r="C115">
            <v>36.508800000000001</v>
          </cell>
          <cell r="D115">
            <v>53.697900000000004</v>
          </cell>
          <cell r="E115">
            <v>1.6700000000000002</v>
          </cell>
          <cell r="F115">
            <v>1.8</v>
          </cell>
          <cell r="G115">
            <v>17.096600000000002</v>
          </cell>
          <cell r="H115">
            <v>0</v>
          </cell>
          <cell r="I115">
            <v>40.1404</v>
          </cell>
          <cell r="J115">
            <v>6.7549999999999999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5.7738000000000005</v>
          </cell>
        </row>
        <row r="116">
          <cell r="A116" t="str">
            <v>0123</v>
          </cell>
          <cell r="B116">
            <v>130.87219999999999</v>
          </cell>
          <cell r="C116">
            <v>50.664200000000001</v>
          </cell>
          <cell r="D116">
            <v>152.96370000000002</v>
          </cell>
          <cell r="E116">
            <v>5.5</v>
          </cell>
          <cell r="F116">
            <v>18.400000000000002</v>
          </cell>
          <cell r="G116">
            <v>3.1642000000000001</v>
          </cell>
          <cell r="H116">
            <v>0</v>
          </cell>
          <cell r="I116">
            <v>855.12260000000003</v>
          </cell>
          <cell r="J116">
            <v>3.1267</v>
          </cell>
          <cell r="K116">
            <v>3.3188</v>
          </cell>
          <cell r="L116">
            <v>8.710700000000001</v>
          </cell>
          <cell r="M116">
            <v>0</v>
          </cell>
          <cell r="N116">
            <v>0</v>
          </cell>
          <cell r="O116">
            <v>2.0274000000000001</v>
          </cell>
        </row>
        <row r="117">
          <cell r="A117" t="str">
            <v>0124</v>
          </cell>
          <cell r="B117">
            <v>127.777</v>
          </cell>
          <cell r="C117">
            <v>53.338900000000002</v>
          </cell>
          <cell r="D117">
            <v>83.560600000000008</v>
          </cell>
          <cell r="E117">
            <v>18.574999999999999</v>
          </cell>
          <cell r="F117">
            <v>14.8</v>
          </cell>
          <cell r="G117">
            <v>6.2679</v>
          </cell>
          <cell r="H117">
            <v>0</v>
          </cell>
          <cell r="I117">
            <v>304.32260000000002</v>
          </cell>
          <cell r="J117">
            <v>2.7121</v>
          </cell>
          <cell r="K117">
            <v>0</v>
          </cell>
          <cell r="L117">
            <v>0.49690000000000001</v>
          </cell>
          <cell r="M117">
            <v>0</v>
          </cell>
          <cell r="N117">
            <v>0</v>
          </cell>
          <cell r="O117">
            <v>7.740000000000001E-2</v>
          </cell>
        </row>
        <row r="118">
          <cell r="A118" t="str">
            <v>0125</v>
          </cell>
          <cell r="B118">
            <v>98.843299999999999</v>
          </cell>
          <cell r="C118">
            <v>25.323700000000002</v>
          </cell>
          <cell r="D118">
            <v>37.439700000000002</v>
          </cell>
          <cell r="E118">
            <v>0.4</v>
          </cell>
          <cell r="F118">
            <v>18.850000000000001</v>
          </cell>
          <cell r="G118">
            <v>13.607000000000001</v>
          </cell>
          <cell r="H118">
            <v>0</v>
          </cell>
          <cell r="I118">
            <v>1.4128000000000001</v>
          </cell>
          <cell r="J118">
            <v>0.36000000000000004</v>
          </cell>
          <cell r="K118">
            <v>4.0766999999999998</v>
          </cell>
          <cell r="L118">
            <v>19.7105</v>
          </cell>
          <cell r="M118">
            <v>0</v>
          </cell>
          <cell r="N118">
            <v>0</v>
          </cell>
          <cell r="O118">
            <v>12.1402</v>
          </cell>
        </row>
        <row r="119">
          <cell r="A119" t="str">
            <v>0126</v>
          </cell>
          <cell r="B119">
            <v>72.13600000000001</v>
          </cell>
          <cell r="C119">
            <v>25.858600000000003</v>
          </cell>
          <cell r="D119">
            <v>61.8795</v>
          </cell>
          <cell r="E119">
            <v>15.15</v>
          </cell>
          <cell r="F119">
            <v>14.600000000000001</v>
          </cell>
          <cell r="G119">
            <v>22.722200000000001</v>
          </cell>
          <cell r="H119">
            <v>0</v>
          </cell>
          <cell r="I119">
            <v>10.7166</v>
          </cell>
          <cell r="J119">
            <v>1.6</v>
          </cell>
          <cell r="K119">
            <v>0.66849999999999998</v>
          </cell>
          <cell r="L119">
            <v>12.464600000000001</v>
          </cell>
          <cell r="M119">
            <v>0</v>
          </cell>
          <cell r="N119">
            <v>0</v>
          </cell>
          <cell r="O119">
            <v>24.556800000000003</v>
          </cell>
        </row>
        <row r="120">
          <cell r="A120" t="str">
            <v>0127</v>
          </cell>
          <cell r="B120">
            <v>106.2608</v>
          </cell>
          <cell r="C120">
            <v>29.7027</v>
          </cell>
          <cell r="D120">
            <v>43.485100000000003</v>
          </cell>
          <cell r="E120">
            <v>10</v>
          </cell>
          <cell r="F120">
            <v>13.9</v>
          </cell>
          <cell r="G120">
            <v>9.3066000000000013</v>
          </cell>
          <cell r="H120">
            <v>0</v>
          </cell>
          <cell r="I120">
            <v>25.456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1.4189000000000001</v>
          </cell>
        </row>
        <row r="121">
          <cell r="A121" t="str">
            <v>0128</v>
          </cell>
          <cell r="B121">
            <v>405.24960000000004</v>
          </cell>
          <cell r="C121">
            <v>6.0103</v>
          </cell>
          <cell r="D121">
            <v>44.074000000000005</v>
          </cell>
          <cell r="E121">
            <v>0</v>
          </cell>
          <cell r="F121">
            <v>0</v>
          </cell>
          <cell r="G121">
            <v>3.2000000000000002E-3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2.7517</v>
          </cell>
        </row>
        <row r="122">
          <cell r="A122" t="str">
            <v>0129</v>
          </cell>
          <cell r="B122">
            <v>122.0171</v>
          </cell>
          <cell r="C122">
            <v>146.39330000000001</v>
          </cell>
          <cell r="D122">
            <v>21.2486</v>
          </cell>
          <cell r="E122">
            <v>31.1615</v>
          </cell>
          <cell r="F122">
            <v>74.180000000000007</v>
          </cell>
          <cell r="G122">
            <v>33.489899999999999</v>
          </cell>
          <cell r="H122">
            <v>0</v>
          </cell>
          <cell r="I122">
            <v>14.446000000000002</v>
          </cell>
          <cell r="J122">
            <v>0</v>
          </cell>
          <cell r="K122">
            <v>8.1810000000000009</v>
          </cell>
          <cell r="L122">
            <v>66.973399999999998</v>
          </cell>
          <cell r="M122">
            <v>0</v>
          </cell>
          <cell r="N122">
            <v>0</v>
          </cell>
          <cell r="O122">
            <v>2.0983000000000001</v>
          </cell>
        </row>
        <row r="123">
          <cell r="A123" t="str">
            <v>0131</v>
          </cell>
          <cell r="B123">
            <v>264.97000000000003</v>
          </cell>
          <cell r="C123">
            <v>74.578400000000002</v>
          </cell>
          <cell r="D123">
            <v>1028.7718</v>
          </cell>
          <cell r="E123">
            <v>18.095000000000002</v>
          </cell>
          <cell r="F123">
            <v>23.6</v>
          </cell>
          <cell r="G123">
            <v>16.538</v>
          </cell>
          <cell r="H123">
            <v>0</v>
          </cell>
          <cell r="I123">
            <v>132.4872</v>
          </cell>
          <cell r="J123">
            <v>22.820900000000002</v>
          </cell>
          <cell r="K123">
            <v>44.125</v>
          </cell>
          <cell r="L123">
            <v>107.01730000000001</v>
          </cell>
          <cell r="M123">
            <v>114.0351</v>
          </cell>
          <cell r="N123">
            <v>0</v>
          </cell>
          <cell r="O123">
            <v>19.383400000000002</v>
          </cell>
        </row>
        <row r="124">
          <cell r="A124" t="str">
            <v>0132</v>
          </cell>
          <cell r="B124">
            <v>96.724100000000007</v>
          </cell>
          <cell r="C124">
            <v>8.6576000000000004</v>
          </cell>
          <cell r="D124">
            <v>54.324300000000001</v>
          </cell>
          <cell r="E124">
            <v>0.2</v>
          </cell>
          <cell r="F124">
            <v>6.9</v>
          </cell>
          <cell r="G124">
            <v>5.9001000000000001</v>
          </cell>
          <cell r="H124">
            <v>0</v>
          </cell>
          <cell r="I124">
            <v>21.916800000000002</v>
          </cell>
          <cell r="J124">
            <v>1.08</v>
          </cell>
          <cell r="K124">
            <v>0</v>
          </cell>
          <cell r="L124">
            <v>2.4300000000000002E-2</v>
          </cell>
          <cell r="M124">
            <v>0</v>
          </cell>
          <cell r="N124">
            <v>0</v>
          </cell>
          <cell r="O124">
            <v>0</v>
          </cell>
        </row>
        <row r="125">
          <cell r="A125" t="str">
            <v>0133</v>
          </cell>
          <cell r="B125">
            <v>207.4838</v>
          </cell>
          <cell r="C125">
            <v>2.9124000000000003</v>
          </cell>
          <cell r="D125">
            <v>60.245800000000003</v>
          </cell>
          <cell r="E125">
            <v>4</v>
          </cell>
          <cell r="F125">
            <v>0</v>
          </cell>
          <cell r="G125">
            <v>0</v>
          </cell>
          <cell r="H125">
            <v>0</v>
          </cell>
          <cell r="I125">
            <v>108.70190000000001</v>
          </cell>
          <cell r="J125">
            <v>22.682400000000001</v>
          </cell>
          <cell r="K125">
            <v>53.240500000000004</v>
          </cell>
          <cell r="L125">
            <v>29.019300000000001</v>
          </cell>
          <cell r="M125">
            <v>0</v>
          </cell>
          <cell r="N125">
            <v>0</v>
          </cell>
          <cell r="O125">
            <v>24.017400000000002</v>
          </cell>
        </row>
        <row r="126">
          <cell r="A126" t="str">
            <v>0134</v>
          </cell>
          <cell r="B126">
            <v>175.44200000000001</v>
          </cell>
          <cell r="C126">
            <v>37.115500000000004</v>
          </cell>
          <cell r="D126">
            <v>86.988900000000001</v>
          </cell>
          <cell r="E126">
            <v>43.45</v>
          </cell>
          <cell r="F126">
            <v>5.4062999999999999</v>
          </cell>
          <cell r="G126">
            <v>7.0703000000000005</v>
          </cell>
          <cell r="H126">
            <v>0</v>
          </cell>
          <cell r="I126">
            <v>10.3065</v>
          </cell>
          <cell r="J126">
            <v>0.66170000000000007</v>
          </cell>
          <cell r="K126">
            <v>48.787500000000001</v>
          </cell>
          <cell r="L126">
            <v>28.756500000000003</v>
          </cell>
          <cell r="M126">
            <v>0</v>
          </cell>
          <cell r="N126">
            <v>0</v>
          </cell>
          <cell r="O126">
            <v>6.3140000000000001</v>
          </cell>
        </row>
        <row r="127">
          <cell r="A127" t="str">
            <v>0135</v>
          </cell>
          <cell r="B127">
            <v>121.65520000000001</v>
          </cell>
          <cell r="C127">
            <v>16.394300000000001</v>
          </cell>
          <cell r="D127">
            <v>29.7026</v>
          </cell>
          <cell r="E127">
            <v>25.6</v>
          </cell>
          <cell r="F127">
            <v>0</v>
          </cell>
          <cell r="G127">
            <v>5.1048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13.154200000000001</v>
          </cell>
        </row>
        <row r="128">
          <cell r="A128" t="str">
            <v>0136</v>
          </cell>
          <cell r="B128">
            <v>133.87640000000002</v>
          </cell>
          <cell r="C128">
            <v>10.6012</v>
          </cell>
          <cell r="D128">
            <v>100.2296</v>
          </cell>
          <cell r="E128">
            <v>0.1</v>
          </cell>
          <cell r="F128">
            <v>1.32</v>
          </cell>
          <cell r="G128">
            <v>10.07</v>
          </cell>
          <cell r="H128">
            <v>0.1</v>
          </cell>
          <cell r="I128">
            <v>1.1627000000000001</v>
          </cell>
          <cell r="J128">
            <v>0.43</v>
          </cell>
          <cell r="K128">
            <v>3.9576000000000002</v>
          </cell>
          <cell r="L128">
            <v>2.0599000000000003</v>
          </cell>
          <cell r="M128">
            <v>0</v>
          </cell>
          <cell r="N128">
            <v>0</v>
          </cell>
          <cell r="O128">
            <v>14.2864</v>
          </cell>
        </row>
        <row r="129">
          <cell r="A129" t="str">
            <v>0137</v>
          </cell>
          <cell r="B129">
            <v>206.346</v>
          </cell>
          <cell r="C129">
            <v>29.5625</v>
          </cell>
          <cell r="D129">
            <v>142.64680000000001</v>
          </cell>
          <cell r="E129">
            <v>16.970800000000001</v>
          </cell>
          <cell r="F129">
            <v>13</v>
          </cell>
          <cell r="G129">
            <v>4.4016000000000002</v>
          </cell>
          <cell r="H129">
            <v>0</v>
          </cell>
          <cell r="I129">
            <v>7.2635000000000005</v>
          </cell>
          <cell r="J129">
            <v>0</v>
          </cell>
          <cell r="K129">
            <v>62.357800000000005</v>
          </cell>
          <cell r="L129">
            <v>29.565800000000003</v>
          </cell>
          <cell r="M129">
            <v>84.083500000000001</v>
          </cell>
          <cell r="N129">
            <v>0</v>
          </cell>
          <cell r="O129">
            <v>24.862200000000001</v>
          </cell>
        </row>
        <row r="130">
          <cell r="A130" t="str">
            <v>0138</v>
          </cell>
          <cell r="B130">
            <v>228.6422</v>
          </cell>
          <cell r="C130">
            <v>14.815300000000001</v>
          </cell>
          <cell r="D130">
            <v>59.887800000000006</v>
          </cell>
          <cell r="E130">
            <v>8.85</v>
          </cell>
          <cell r="F130">
            <v>10.8</v>
          </cell>
          <cell r="G130">
            <v>5.3368000000000002</v>
          </cell>
          <cell r="H130">
            <v>0</v>
          </cell>
          <cell r="I130">
            <v>26.942300000000003</v>
          </cell>
          <cell r="J130">
            <v>0.59000000000000008</v>
          </cell>
          <cell r="K130">
            <v>10.763500000000001</v>
          </cell>
          <cell r="L130">
            <v>5.0968</v>
          </cell>
          <cell r="M130">
            <v>0</v>
          </cell>
          <cell r="N130">
            <v>0</v>
          </cell>
          <cell r="O130">
            <v>28.935000000000002</v>
          </cell>
        </row>
        <row r="131">
          <cell r="A131" t="str">
            <v>0139</v>
          </cell>
          <cell r="B131">
            <v>131.98650000000001</v>
          </cell>
          <cell r="C131">
            <v>69.940300000000008</v>
          </cell>
          <cell r="D131">
            <v>59.267800000000001</v>
          </cell>
          <cell r="E131">
            <v>15.5</v>
          </cell>
          <cell r="F131">
            <v>13.600000000000001</v>
          </cell>
          <cell r="G131">
            <v>8.2085000000000008</v>
          </cell>
          <cell r="H131">
            <v>0</v>
          </cell>
          <cell r="I131">
            <v>26.141300000000001</v>
          </cell>
          <cell r="J131">
            <v>0</v>
          </cell>
          <cell r="K131">
            <v>0.7742</v>
          </cell>
          <cell r="L131">
            <v>1.1313</v>
          </cell>
          <cell r="M131">
            <v>0</v>
          </cell>
          <cell r="N131">
            <v>0</v>
          </cell>
          <cell r="O131">
            <v>1.4463000000000001</v>
          </cell>
        </row>
        <row r="132">
          <cell r="A132" t="str">
            <v>0140</v>
          </cell>
          <cell r="B132">
            <v>121.60010000000001</v>
          </cell>
          <cell r="C132">
            <v>55.451500000000003</v>
          </cell>
          <cell r="D132">
            <v>71.040500000000009</v>
          </cell>
          <cell r="E132">
            <v>6.8100000000000005</v>
          </cell>
          <cell r="F132">
            <v>4.0950000000000006</v>
          </cell>
          <cell r="G132">
            <v>13.799300000000001</v>
          </cell>
          <cell r="H132">
            <v>0</v>
          </cell>
          <cell r="I132">
            <v>35.284500000000001</v>
          </cell>
          <cell r="J132">
            <v>0</v>
          </cell>
          <cell r="K132">
            <v>8.1219000000000001</v>
          </cell>
          <cell r="L132">
            <v>0</v>
          </cell>
          <cell r="M132">
            <v>0</v>
          </cell>
          <cell r="N132">
            <v>0</v>
          </cell>
          <cell r="O132">
            <v>9.5549999999999997</v>
          </cell>
        </row>
        <row r="133">
          <cell r="A133" t="str">
            <v>0141</v>
          </cell>
          <cell r="B133">
            <v>183.2835</v>
          </cell>
          <cell r="C133">
            <v>12.241100000000001</v>
          </cell>
          <cell r="D133">
            <v>40.75</v>
          </cell>
          <cell r="E133">
            <v>0</v>
          </cell>
          <cell r="F133">
            <v>0</v>
          </cell>
          <cell r="G133">
            <v>0.72470000000000001</v>
          </cell>
          <cell r="H133">
            <v>0</v>
          </cell>
          <cell r="I133">
            <v>1.6400000000000001E-2</v>
          </cell>
          <cell r="J133">
            <v>0</v>
          </cell>
          <cell r="K133">
            <v>48.735700000000001</v>
          </cell>
          <cell r="L133">
            <v>6.1078999999999999</v>
          </cell>
          <cell r="M133">
            <v>0</v>
          </cell>
          <cell r="N133">
            <v>0</v>
          </cell>
          <cell r="O133">
            <v>0.27240000000000003</v>
          </cell>
        </row>
        <row r="134">
          <cell r="A134" t="str">
            <v>0142</v>
          </cell>
          <cell r="B134">
            <v>41.213100000000004</v>
          </cell>
          <cell r="C134">
            <v>25.4923</v>
          </cell>
          <cell r="D134">
            <v>41.3733</v>
          </cell>
          <cell r="E134">
            <v>0</v>
          </cell>
          <cell r="F134">
            <v>0</v>
          </cell>
          <cell r="G134">
            <v>16.143599999999999</v>
          </cell>
          <cell r="H134">
            <v>0</v>
          </cell>
          <cell r="I134">
            <v>57.3093</v>
          </cell>
          <cell r="J134">
            <v>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1.4500000000000001E-2</v>
          </cell>
        </row>
        <row r="135">
          <cell r="A135" t="str">
            <v>0143</v>
          </cell>
          <cell r="B135">
            <v>190.6635</v>
          </cell>
          <cell r="C135">
            <v>36.741300000000003</v>
          </cell>
          <cell r="D135">
            <v>27.351800000000001</v>
          </cell>
          <cell r="E135">
            <v>10.040000000000001</v>
          </cell>
          <cell r="F135">
            <v>5.05</v>
          </cell>
          <cell r="G135">
            <v>12.4831</v>
          </cell>
          <cell r="H135">
            <v>0</v>
          </cell>
          <cell r="I135">
            <v>91.961700000000008</v>
          </cell>
          <cell r="J135">
            <v>6.3296999999999999</v>
          </cell>
          <cell r="K135">
            <v>45.2318</v>
          </cell>
          <cell r="L135">
            <v>2.7798000000000003</v>
          </cell>
          <cell r="M135">
            <v>24.391999999999999</v>
          </cell>
          <cell r="N135">
            <v>0</v>
          </cell>
          <cell r="O135">
            <v>9.9594000000000005</v>
          </cell>
        </row>
        <row r="136">
          <cell r="A136" t="str">
            <v>0144</v>
          </cell>
          <cell r="B136">
            <v>58.636000000000003</v>
          </cell>
          <cell r="C136">
            <v>26.107100000000003</v>
          </cell>
          <cell r="D136">
            <v>97.486699999999999</v>
          </cell>
          <cell r="E136">
            <v>10.715</v>
          </cell>
          <cell r="F136">
            <v>9.85</v>
          </cell>
          <cell r="G136">
            <v>61.379600000000003</v>
          </cell>
          <cell r="H136">
            <v>0</v>
          </cell>
          <cell r="I136">
            <v>0.67</v>
          </cell>
          <cell r="J136">
            <v>0</v>
          </cell>
          <cell r="K136">
            <v>23.0611</v>
          </cell>
          <cell r="L136">
            <v>46.210500000000003</v>
          </cell>
          <cell r="M136">
            <v>0</v>
          </cell>
          <cell r="N136">
            <v>0</v>
          </cell>
          <cell r="O136">
            <v>7.0142000000000007</v>
          </cell>
        </row>
        <row r="137">
          <cell r="A137" t="str">
            <v>0145</v>
          </cell>
          <cell r="B137">
            <v>90.840299999999999</v>
          </cell>
          <cell r="C137">
            <v>31.810000000000002</v>
          </cell>
          <cell r="D137">
            <v>27.000700000000002</v>
          </cell>
          <cell r="E137">
            <v>59.125</v>
          </cell>
          <cell r="F137">
            <v>108.77500000000001</v>
          </cell>
          <cell r="G137">
            <v>20.0716</v>
          </cell>
          <cell r="H137">
            <v>0</v>
          </cell>
          <cell r="I137">
            <v>89.52000000000001</v>
          </cell>
          <cell r="J137">
            <v>2.5394000000000001</v>
          </cell>
          <cell r="K137">
            <v>0.1022</v>
          </cell>
          <cell r="L137">
            <v>8.9542000000000002</v>
          </cell>
          <cell r="M137">
            <v>0</v>
          </cell>
          <cell r="N137">
            <v>0</v>
          </cell>
          <cell r="O137">
            <v>11.210900000000001</v>
          </cell>
        </row>
        <row r="138">
          <cell r="A138" t="str">
            <v>0146</v>
          </cell>
          <cell r="B138">
            <v>174.64840000000001</v>
          </cell>
          <cell r="C138">
            <v>68.898200000000003</v>
          </cell>
          <cell r="D138">
            <v>139.7945</v>
          </cell>
          <cell r="E138">
            <v>16</v>
          </cell>
          <cell r="F138">
            <v>4.085</v>
          </cell>
          <cell r="G138">
            <v>3.7489000000000003</v>
          </cell>
          <cell r="H138">
            <v>0</v>
          </cell>
          <cell r="I138">
            <v>14.198700000000001</v>
          </cell>
          <cell r="J138">
            <v>3.9509000000000003</v>
          </cell>
          <cell r="K138">
            <v>39.005800000000001</v>
          </cell>
          <cell r="L138">
            <v>74.198300000000003</v>
          </cell>
          <cell r="M138">
            <v>0</v>
          </cell>
          <cell r="N138">
            <v>0</v>
          </cell>
          <cell r="O138">
            <v>0</v>
          </cell>
        </row>
        <row r="139">
          <cell r="A139" t="str">
            <v>0147</v>
          </cell>
          <cell r="B139">
            <v>140.96190000000001</v>
          </cell>
          <cell r="C139">
            <v>49.871200000000002</v>
          </cell>
          <cell r="D139">
            <v>64.885199999999998</v>
          </cell>
          <cell r="E139">
            <v>6.4009</v>
          </cell>
          <cell r="F139">
            <v>0.4</v>
          </cell>
          <cell r="G139">
            <v>2.5527000000000002</v>
          </cell>
          <cell r="H139">
            <v>0</v>
          </cell>
          <cell r="I139">
            <v>11.809100000000001</v>
          </cell>
          <cell r="J139">
            <v>0.12000000000000001</v>
          </cell>
          <cell r="K139">
            <v>24.880600000000001</v>
          </cell>
          <cell r="L139">
            <v>119.8583</v>
          </cell>
          <cell r="M139">
            <v>8.9370000000000012</v>
          </cell>
          <cell r="N139">
            <v>0</v>
          </cell>
          <cell r="O139">
            <v>3.1486000000000001</v>
          </cell>
        </row>
        <row r="140">
          <cell r="A140" t="str">
            <v>0148</v>
          </cell>
          <cell r="B140">
            <v>203.23170000000002</v>
          </cell>
          <cell r="C140">
            <v>40.595600000000005</v>
          </cell>
          <cell r="D140">
            <v>127.57740000000001</v>
          </cell>
          <cell r="E140">
            <v>1</v>
          </cell>
          <cell r="F140">
            <v>3</v>
          </cell>
          <cell r="G140">
            <v>3.7839</v>
          </cell>
          <cell r="H140">
            <v>0</v>
          </cell>
          <cell r="I140">
            <v>96.733699999999999</v>
          </cell>
          <cell r="J140">
            <v>3.6285000000000003</v>
          </cell>
          <cell r="K140">
            <v>82.589600000000004</v>
          </cell>
          <cell r="L140">
            <v>13.6812</v>
          </cell>
          <cell r="M140">
            <v>0</v>
          </cell>
          <cell r="N140">
            <v>0</v>
          </cell>
          <cell r="O140">
            <v>12.7507</v>
          </cell>
        </row>
        <row r="141">
          <cell r="A141" t="str">
            <v>0149</v>
          </cell>
          <cell r="B141">
            <v>69.135599999999997</v>
          </cell>
          <cell r="C141">
            <v>15.359</v>
          </cell>
          <cell r="D141">
            <v>29.480800000000002</v>
          </cell>
          <cell r="E141">
            <v>11.850000000000001</v>
          </cell>
          <cell r="F141">
            <v>3.7</v>
          </cell>
          <cell r="G141">
            <v>0.75750000000000006</v>
          </cell>
          <cell r="H141">
            <v>0</v>
          </cell>
          <cell r="I141">
            <v>0</v>
          </cell>
          <cell r="J141">
            <v>0.72000000000000008</v>
          </cell>
          <cell r="K141">
            <v>8.2148000000000003</v>
          </cell>
          <cell r="L141">
            <v>5.4302000000000001</v>
          </cell>
          <cell r="M141">
            <v>0</v>
          </cell>
          <cell r="N141">
            <v>0</v>
          </cell>
          <cell r="O141">
            <v>3.0299</v>
          </cell>
        </row>
        <row r="142">
          <cell r="A142" t="str">
            <v>0150</v>
          </cell>
          <cell r="B142">
            <v>101.6341</v>
          </cell>
          <cell r="C142">
            <v>44.167999999999999</v>
          </cell>
          <cell r="D142">
            <v>9.8605</v>
          </cell>
          <cell r="E142">
            <v>59.745000000000005</v>
          </cell>
          <cell r="F142">
            <v>11.41</v>
          </cell>
          <cell r="G142">
            <v>26.705500000000001</v>
          </cell>
          <cell r="H142">
            <v>0</v>
          </cell>
          <cell r="I142">
            <v>5.0000000000000001E-3</v>
          </cell>
          <cell r="J142">
            <v>0.63</v>
          </cell>
          <cell r="K142">
            <v>15.6258</v>
          </cell>
          <cell r="L142">
            <v>106.6832</v>
          </cell>
          <cell r="M142">
            <v>4.1771000000000003</v>
          </cell>
          <cell r="N142">
            <v>0</v>
          </cell>
          <cell r="O142">
            <v>4.6738</v>
          </cell>
        </row>
        <row r="143">
          <cell r="A143" t="str">
            <v>0151</v>
          </cell>
          <cell r="B143">
            <v>176.1694</v>
          </cell>
          <cell r="C143">
            <v>23.9681</v>
          </cell>
          <cell r="D143">
            <v>39.781800000000004</v>
          </cell>
          <cell r="E143">
            <v>58.150000000000006</v>
          </cell>
          <cell r="F143">
            <v>52.475000000000001</v>
          </cell>
          <cell r="G143">
            <v>7.9051</v>
          </cell>
          <cell r="H143">
            <v>0</v>
          </cell>
          <cell r="I143">
            <v>0</v>
          </cell>
          <cell r="J143">
            <v>1.26</v>
          </cell>
          <cell r="K143">
            <v>0.3281</v>
          </cell>
          <cell r="L143">
            <v>16.457100000000001</v>
          </cell>
          <cell r="M143">
            <v>0</v>
          </cell>
          <cell r="N143">
            <v>0</v>
          </cell>
          <cell r="O143">
            <v>7.0414000000000003</v>
          </cell>
        </row>
        <row r="144">
          <cell r="A144" t="str">
            <v>0152</v>
          </cell>
          <cell r="B144">
            <v>118.40060000000001</v>
          </cell>
          <cell r="C144">
            <v>47.713700000000003</v>
          </cell>
          <cell r="D144">
            <v>48.672900000000006</v>
          </cell>
          <cell r="E144">
            <v>12.015000000000001</v>
          </cell>
          <cell r="F144">
            <v>0</v>
          </cell>
          <cell r="G144">
            <v>12.245000000000001</v>
          </cell>
          <cell r="H144">
            <v>0</v>
          </cell>
          <cell r="I144">
            <v>9.5694999999999997</v>
          </cell>
          <cell r="J144">
            <v>4.5360000000000005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0.9739000000000001</v>
          </cell>
        </row>
        <row r="145">
          <cell r="A145" t="str">
            <v>0153</v>
          </cell>
          <cell r="B145">
            <v>132.21180000000001</v>
          </cell>
          <cell r="C145">
            <v>20.427200000000003</v>
          </cell>
          <cell r="D145">
            <v>72.999800000000008</v>
          </cell>
          <cell r="E145">
            <v>10.545</v>
          </cell>
          <cell r="F145">
            <v>8.6</v>
          </cell>
          <cell r="G145">
            <v>2.3696999999999999</v>
          </cell>
          <cell r="H145">
            <v>0</v>
          </cell>
          <cell r="I145">
            <v>13.129000000000001</v>
          </cell>
          <cell r="J145">
            <v>6.4448000000000008</v>
          </cell>
          <cell r="K145">
            <v>16.0565</v>
          </cell>
          <cell r="L145">
            <v>3.8511000000000002</v>
          </cell>
          <cell r="M145">
            <v>0</v>
          </cell>
          <cell r="N145">
            <v>0</v>
          </cell>
          <cell r="O145">
            <v>13.007200000000001</v>
          </cell>
        </row>
        <row r="146">
          <cell r="A146" t="str">
            <v>0154</v>
          </cell>
          <cell r="B146">
            <v>240.07940000000002</v>
          </cell>
          <cell r="C146">
            <v>20.8994</v>
          </cell>
          <cell r="D146">
            <v>10.4467</v>
          </cell>
          <cell r="E146">
            <v>0</v>
          </cell>
          <cell r="F146">
            <v>0</v>
          </cell>
          <cell r="G146">
            <v>5.5888</v>
          </cell>
          <cell r="H146">
            <v>0</v>
          </cell>
          <cell r="I146">
            <v>2.9718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10.6195</v>
          </cell>
        </row>
        <row r="147">
          <cell r="A147" t="str">
            <v>0155</v>
          </cell>
          <cell r="B147">
            <v>190.0992</v>
          </cell>
          <cell r="C147">
            <v>29.6099</v>
          </cell>
          <cell r="D147">
            <v>25.0885</v>
          </cell>
          <cell r="E147">
            <v>13.950000000000001</v>
          </cell>
          <cell r="F147">
            <v>3.4000000000000004</v>
          </cell>
          <cell r="G147">
            <v>8.041500000000001</v>
          </cell>
          <cell r="H147">
            <v>0</v>
          </cell>
          <cell r="I147">
            <v>72.990600000000001</v>
          </cell>
          <cell r="J147">
            <v>1.7786000000000002</v>
          </cell>
          <cell r="K147">
            <v>10.431000000000001</v>
          </cell>
          <cell r="L147">
            <v>29.516100000000002</v>
          </cell>
          <cell r="M147">
            <v>0</v>
          </cell>
          <cell r="N147">
            <v>0</v>
          </cell>
          <cell r="O147">
            <v>0.58389999999999997</v>
          </cell>
        </row>
        <row r="148">
          <cell r="A148" t="str">
            <v>0156</v>
          </cell>
          <cell r="B148">
            <v>112.2748</v>
          </cell>
          <cell r="C148">
            <v>45.760000000000005</v>
          </cell>
          <cell r="D148">
            <v>219.68980000000002</v>
          </cell>
          <cell r="E148">
            <v>26.028000000000002</v>
          </cell>
          <cell r="F148">
            <v>12.9</v>
          </cell>
          <cell r="G148">
            <v>7.6424000000000003</v>
          </cell>
          <cell r="H148">
            <v>0</v>
          </cell>
          <cell r="I148">
            <v>20.226500000000001</v>
          </cell>
          <cell r="J148">
            <v>4.9841000000000006</v>
          </cell>
          <cell r="K148">
            <v>17.317299999999999</v>
          </cell>
          <cell r="L148">
            <v>40.525700000000001</v>
          </cell>
          <cell r="M148">
            <v>89.935000000000002</v>
          </cell>
          <cell r="N148">
            <v>0</v>
          </cell>
          <cell r="O148">
            <v>6.5701000000000001</v>
          </cell>
        </row>
        <row r="149">
          <cell r="A149" t="str">
            <v>0157</v>
          </cell>
          <cell r="B149">
            <v>133.971</v>
          </cell>
          <cell r="C149">
            <v>26.466100000000001</v>
          </cell>
          <cell r="D149">
            <v>188.45180000000002</v>
          </cell>
          <cell r="E149">
            <v>15.200000000000001</v>
          </cell>
          <cell r="F149">
            <v>0.5</v>
          </cell>
          <cell r="G149">
            <v>4.2795000000000005</v>
          </cell>
          <cell r="H149">
            <v>0</v>
          </cell>
          <cell r="I149">
            <v>89.5869</v>
          </cell>
          <cell r="J149">
            <v>10.4872</v>
          </cell>
          <cell r="K149">
            <v>17.406000000000002</v>
          </cell>
          <cell r="L149">
            <v>12.0044</v>
          </cell>
          <cell r="M149">
            <v>13.411300000000001</v>
          </cell>
          <cell r="N149">
            <v>0</v>
          </cell>
          <cell r="O149">
            <v>42.758000000000003</v>
          </cell>
        </row>
        <row r="150">
          <cell r="A150" t="str">
            <v>0158</v>
          </cell>
          <cell r="B150">
            <v>129.28020000000001</v>
          </cell>
          <cell r="C150">
            <v>30.237400000000001</v>
          </cell>
          <cell r="D150">
            <v>34.962499999999999</v>
          </cell>
          <cell r="E150">
            <v>20.135000000000002</v>
          </cell>
          <cell r="F150">
            <v>9</v>
          </cell>
          <cell r="G150">
            <v>18.158000000000001</v>
          </cell>
          <cell r="H150">
            <v>0</v>
          </cell>
          <cell r="I150">
            <v>0.23050000000000001</v>
          </cell>
          <cell r="J150">
            <v>5.3901000000000003</v>
          </cell>
          <cell r="K150">
            <v>2.5646</v>
          </cell>
          <cell r="L150">
            <v>0.94010000000000005</v>
          </cell>
          <cell r="M150">
            <v>0</v>
          </cell>
          <cell r="N150">
            <v>0</v>
          </cell>
          <cell r="O150">
            <v>9.8102999999999998</v>
          </cell>
        </row>
        <row r="151">
          <cell r="A151" t="str">
            <v>0159</v>
          </cell>
          <cell r="B151">
            <v>77.280799999999999</v>
          </cell>
          <cell r="C151">
            <v>18.417400000000001</v>
          </cell>
          <cell r="D151">
            <v>55.5914</v>
          </cell>
          <cell r="E151">
            <v>5.0997000000000003</v>
          </cell>
          <cell r="F151">
            <v>7.8500000000000005</v>
          </cell>
          <cell r="G151">
            <v>23.204499999999999</v>
          </cell>
          <cell r="H151">
            <v>0.1</v>
          </cell>
          <cell r="I151">
            <v>30.0014</v>
          </cell>
          <cell r="J151">
            <v>0.73</v>
          </cell>
          <cell r="K151">
            <v>0.1908</v>
          </cell>
          <cell r="L151">
            <v>1.7000000000000001E-2</v>
          </cell>
          <cell r="M151">
            <v>0</v>
          </cell>
          <cell r="N151">
            <v>0</v>
          </cell>
          <cell r="O151">
            <v>1.1532</v>
          </cell>
        </row>
        <row r="152">
          <cell r="A152" t="str">
            <v>0160</v>
          </cell>
          <cell r="B152">
            <v>128.4777</v>
          </cell>
          <cell r="C152">
            <v>23.857700000000001</v>
          </cell>
          <cell r="D152">
            <v>17.709600000000002</v>
          </cell>
          <cell r="E152">
            <v>2.98</v>
          </cell>
          <cell r="F152">
            <v>1.4000000000000001</v>
          </cell>
          <cell r="G152">
            <v>31.756300000000003</v>
          </cell>
          <cell r="H152">
            <v>0</v>
          </cell>
          <cell r="I152">
            <v>2.6097000000000001</v>
          </cell>
          <cell r="J152">
            <v>4.6100000000000003</v>
          </cell>
          <cell r="K152">
            <v>4.6802000000000001</v>
          </cell>
          <cell r="L152">
            <v>9.0121000000000002</v>
          </cell>
          <cell r="M152">
            <v>0</v>
          </cell>
          <cell r="N152">
            <v>0</v>
          </cell>
          <cell r="O152">
            <v>29.352400000000003</v>
          </cell>
        </row>
        <row r="153">
          <cell r="A153" t="str">
            <v>0161</v>
          </cell>
          <cell r="B153">
            <v>214.12360000000001</v>
          </cell>
          <cell r="C153">
            <v>19.977600000000002</v>
          </cell>
          <cell r="D153">
            <v>16.8917</v>
          </cell>
          <cell r="E153">
            <v>5.95</v>
          </cell>
          <cell r="F153">
            <v>5.2</v>
          </cell>
          <cell r="G153">
            <v>1.8310000000000002</v>
          </cell>
          <cell r="H153">
            <v>0</v>
          </cell>
          <cell r="I153">
            <v>12.665600000000001</v>
          </cell>
          <cell r="J153">
            <v>0.76130000000000009</v>
          </cell>
          <cell r="K153">
            <v>10.497300000000001</v>
          </cell>
          <cell r="L153">
            <v>7.9719000000000007</v>
          </cell>
          <cell r="M153">
            <v>11.6959</v>
          </cell>
          <cell r="N153">
            <v>0</v>
          </cell>
          <cell r="O153">
            <v>25.2971</v>
          </cell>
        </row>
        <row r="154">
          <cell r="A154" t="str">
            <v>0162</v>
          </cell>
          <cell r="B154">
            <v>67.0578</v>
          </cell>
          <cell r="C154">
            <v>20.656300000000002</v>
          </cell>
          <cell r="D154">
            <v>95.893600000000006</v>
          </cell>
          <cell r="E154">
            <v>1.5750000000000002</v>
          </cell>
          <cell r="F154">
            <v>30.900000000000002</v>
          </cell>
          <cell r="G154">
            <v>2.6093000000000002</v>
          </cell>
          <cell r="H154">
            <v>0</v>
          </cell>
          <cell r="I154">
            <v>15.4</v>
          </cell>
          <cell r="J154">
            <v>0</v>
          </cell>
          <cell r="K154">
            <v>1.1322000000000001</v>
          </cell>
          <cell r="L154">
            <v>0.56969999999999998</v>
          </cell>
          <cell r="M154">
            <v>21.939</v>
          </cell>
          <cell r="N154">
            <v>0</v>
          </cell>
          <cell r="O154">
            <v>12.797600000000001</v>
          </cell>
        </row>
        <row r="155">
          <cell r="A155" t="str">
            <v>0163</v>
          </cell>
          <cell r="B155">
            <v>147.16410000000002</v>
          </cell>
          <cell r="C155">
            <v>28.697400000000002</v>
          </cell>
          <cell r="D155">
            <v>31.705500000000001</v>
          </cell>
          <cell r="E155">
            <v>3.2850000000000001</v>
          </cell>
          <cell r="F155">
            <v>3.9860000000000002</v>
          </cell>
          <cell r="G155">
            <v>2.9858000000000002</v>
          </cell>
          <cell r="H155">
            <v>0</v>
          </cell>
          <cell r="I155">
            <v>10</v>
          </cell>
          <cell r="J155">
            <v>0</v>
          </cell>
          <cell r="K155">
            <v>37.257400000000004</v>
          </cell>
          <cell r="L155">
            <v>29.564300000000003</v>
          </cell>
          <cell r="M155">
            <v>0</v>
          </cell>
          <cell r="N155">
            <v>0</v>
          </cell>
          <cell r="O155">
            <v>4.3929999999999998</v>
          </cell>
        </row>
        <row r="156">
          <cell r="A156" t="str">
            <v>0164</v>
          </cell>
          <cell r="B156">
            <v>172.97790000000001</v>
          </cell>
          <cell r="C156">
            <v>15.48</v>
          </cell>
          <cell r="D156">
            <v>50.5015</v>
          </cell>
          <cell r="E156">
            <v>2.0500000000000003</v>
          </cell>
          <cell r="F156">
            <v>1.1000000000000001</v>
          </cell>
          <cell r="G156">
            <v>23.310700000000001</v>
          </cell>
          <cell r="H156">
            <v>0</v>
          </cell>
          <cell r="I156">
            <v>0.93510000000000004</v>
          </cell>
          <cell r="J156">
            <v>0.98000000000000009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14.1539</v>
          </cell>
        </row>
        <row r="157">
          <cell r="A157" t="str">
            <v>0165</v>
          </cell>
          <cell r="B157">
            <v>93.85090000000001</v>
          </cell>
          <cell r="C157">
            <v>26.5185</v>
          </cell>
          <cell r="D157">
            <v>23.6751</v>
          </cell>
          <cell r="E157">
            <v>1.28</v>
          </cell>
          <cell r="F157">
            <v>3.8420000000000001</v>
          </cell>
          <cell r="G157">
            <v>8.1728000000000005</v>
          </cell>
          <cell r="H157">
            <v>0</v>
          </cell>
          <cell r="I157">
            <v>3.3576000000000001</v>
          </cell>
          <cell r="J157">
            <v>4.4641999999999999</v>
          </cell>
          <cell r="K157">
            <v>7.4400000000000008E-2</v>
          </cell>
          <cell r="L157">
            <v>0</v>
          </cell>
          <cell r="M157">
            <v>0</v>
          </cell>
          <cell r="N157">
            <v>0</v>
          </cell>
          <cell r="O157">
            <v>2.9056999999999999</v>
          </cell>
        </row>
        <row r="158">
          <cell r="A158" t="str">
            <v>0166</v>
          </cell>
          <cell r="B158">
            <v>112.6991</v>
          </cell>
          <cell r="C158">
            <v>32.143500000000003</v>
          </cell>
          <cell r="D158">
            <v>82.214500000000001</v>
          </cell>
          <cell r="E158">
            <v>14.180000000000001</v>
          </cell>
          <cell r="F158">
            <v>6.1000000000000005</v>
          </cell>
          <cell r="G158">
            <v>23.575300000000002</v>
          </cell>
          <cell r="H158">
            <v>0</v>
          </cell>
          <cell r="I158">
            <v>23.383700000000001</v>
          </cell>
          <cell r="J158">
            <v>0.4859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3.7894000000000001</v>
          </cell>
        </row>
        <row r="159">
          <cell r="A159" t="str">
            <v>0167</v>
          </cell>
          <cell r="B159">
            <v>81.719200000000001</v>
          </cell>
          <cell r="C159">
            <v>19.029900000000001</v>
          </cell>
          <cell r="D159">
            <v>2.7817000000000003</v>
          </cell>
          <cell r="E159">
            <v>8.5500000000000007</v>
          </cell>
          <cell r="F159">
            <v>12.9</v>
          </cell>
          <cell r="G159">
            <v>8.3189000000000011</v>
          </cell>
          <cell r="H159">
            <v>0</v>
          </cell>
          <cell r="I159">
            <v>77.866500000000002</v>
          </cell>
          <cell r="J159">
            <v>0.30499999999999999</v>
          </cell>
          <cell r="K159">
            <v>0.219</v>
          </cell>
          <cell r="L159">
            <v>1.8955000000000002</v>
          </cell>
          <cell r="M159">
            <v>25.985100000000003</v>
          </cell>
          <cell r="N159">
            <v>0</v>
          </cell>
          <cell r="O159">
            <v>1.3075000000000001</v>
          </cell>
        </row>
        <row r="160">
          <cell r="A160" t="str">
            <v>0168</v>
          </cell>
          <cell r="B160">
            <v>99.013000000000005</v>
          </cell>
          <cell r="C160">
            <v>42.9223</v>
          </cell>
          <cell r="D160">
            <v>52.764800000000001</v>
          </cell>
          <cell r="E160">
            <v>17</v>
          </cell>
          <cell r="F160">
            <v>3.5</v>
          </cell>
          <cell r="G160">
            <v>5.2812000000000001</v>
          </cell>
          <cell r="H160">
            <v>0</v>
          </cell>
          <cell r="I160">
            <v>1.0513000000000001</v>
          </cell>
          <cell r="J160">
            <v>0.28000000000000003</v>
          </cell>
          <cell r="K160">
            <v>12.764100000000001</v>
          </cell>
          <cell r="L160">
            <v>13.1614</v>
          </cell>
          <cell r="M160">
            <v>0</v>
          </cell>
          <cell r="N160">
            <v>0</v>
          </cell>
          <cell r="O160">
            <v>9.4122000000000003</v>
          </cell>
        </row>
        <row r="161">
          <cell r="A161" t="str">
            <v>0169</v>
          </cell>
          <cell r="B161">
            <v>72.809200000000004</v>
          </cell>
          <cell r="C161">
            <v>32.739400000000003</v>
          </cell>
          <cell r="D161">
            <v>37.622</v>
          </cell>
          <cell r="E161">
            <v>9.3000000000000007</v>
          </cell>
          <cell r="F161">
            <v>6.15</v>
          </cell>
          <cell r="G161">
            <v>13.137600000000001</v>
          </cell>
          <cell r="H161">
            <v>0</v>
          </cell>
          <cell r="I161">
            <v>1.7538</v>
          </cell>
          <cell r="J161">
            <v>0</v>
          </cell>
          <cell r="K161">
            <v>16.5822</v>
          </cell>
          <cell r="L161">
            <v>2.5314000000000001</v>
          </cell>
          <cell r="M161">
            <v>0</v>
          </cell>
          <cell r="N161">
            <v>0</v>
          </cell>
          <cell r="O161">
            <v>5.1989000000000001</v>
          </cell>
        </row>
        <row r="162">
          <cell r="A162" t="str">
            <v>0170</v>
          </cell>
          <cell r="B162">
            <v>287.07570000000004</v>
          </cell>
          <cell r="C162">
            <v>11.922800000000001</v>
          </cell>
          <cell r="D162">
            <v>39.0685</v>
          </cell>
          <cell r="E162">
            <v>0.65</v>
          </cell>
          <cell r="F162">
            <v>0</v>
          </cell>
          <cell r="G162">
            <v>8.5510999999999999</v>
          </cell>
          <cell r="H162">
            <v>0</v>
          </cell>
          <cell r="I162">
            <v>3.7522000000000002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13.8483</v>
          </cell>
        </row>
        <row r="163">
          <cell r="A163" t="str">
            <v>0171</v>
          </cell>
          <cell r="B163">
            <v>102.0822</v>
          </cell>
          <cell r="C163">
            <v>9.9560000000000013</v>
          </cell>
          <cell r="D163">
            <v>1.1065</v>
          </cell>
          <cell r="E163">
            <v>3.8000000000000003</v>
          </cell>
          <cell r="F163">
            <v>0</v>
          </cell>
          <cell r="G163">
            <v>0.75340000000000007</v>
          </cell>
          <cell r="H163">
            <v>0</v>
          </cell>
          <cell r="I163">
            <v>65.381600000000006</v>
          </cell>
          <cell r="J163">
            <v>0.18000000000000002</v>
          </cell>
          <cell r="K163">
            <v>0.5101</v>
          </cell>
          <cell r="L163">
            <v>8.4815000000000005</v>
          </cell>
          <cell r="M163">
            <v>0</v>
          </cell>
          <cell r="N163">
            <v>0</v>
          </cell>
          <cell r="O163">
            <v>0.16390000000000002</v>
          </cell>
        </row>
        <row r="164">
          <cell r="A164" t="str">
            <v>0172</v>
          </cell>
          <cell r="B164">
            <v>31.6585</v>
          </cell>
          <cell r="C164">
            <v>11.9519</v>
          </cell>
          <cell r="D164">
            <v>20.398700000000002</v>
          </cell>
          <cell r="E164">
            <v>13</v>
          </cell>
          <cell r="F164">
            <v>0.27500000000000002</v>
          </cell>
          <cell r="G164">
            <v>6.2610000000000001</v>
          </cell>
          <cell r="H164">
            <v>0</v>
          </cell>
          <cell r="I164">
            <v>6.7533000000000003</v>
          </cell>
          <cell r="J164">
            <v>1.1600000000000001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2.0702000000000003</v>
          </cell>
        </row>
        <row r="165">
          <cell r="A165" t="str">
            <v>0173</v>
          </cell>
          <cell r="B165">
            <v>59.685500000000005</v>
          </cell>
          <cell r="C165">
            <v>17.737400000000001</v>
          </cell>
          <cell r="D165">
            <v>54.134900000000002</v>
          </cell>
          <cell r="E165">
            <v>28.270000000000003</v>
          </cell>
          <cell r="F165">
            <v>5.5</v>
          </cell>
          <cell r="G165">
            <v>9.9220000000000006</v>
          </cell>
          <cell r="H165">
            <v>0</v>
          </cell>
          <cell r="I165">
            <v>2.9013</v>
          </cell>
          <cell r="J165">
            <v>0</v>
          </cell>
          <cell r="K165">
            <v>7.1961000000000004</v>
          </cell>
          <cell r="L165">
            <v>0.95469999999999999</v>
          </cell>
          <cell r="M165">
            <v>0</v>
          </cell>
          <cell r="N165">
            <v>0</v>
          </cell>
          <cell r="O165">
            <v>6.9020000000000001</v>
          </cell>
        </row>
        <row r="166">
          <cell r="A166" t="str">
            <v>0174</v>
          </cell>
          <cell r="B166">
            <v>43.201500000000003</v>
          </cell>
          <cell r="C166">
            <v>2.4438</v>
          </cell>
          <cell r="D166">
            <v>5.2425000000000006</v>
          </cell>
          <cell r="E166">
            <v>4.05</v>
          </cell>
          <cell r="F166">
            <v>0</v>
          </cell>
          <cell r="G166">
            <v>0</v>
          </cell>
          <cell r="H166">
            <v>0</v>
          </cell>
          <cell r="I166">
            <v>0.81220000000000003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3.0989</v>
          </cell>
        </row>
        <row r="167">
          <cell r="A167" t="str">
            <v>0175</v>
          </cell>
          <cell r="B167">
            <v>115.8318</v>
          </cell>
          <cell r="C167">
            <v>8.8500000000000009E-2</v>
          </cell>
          <cell r="D167">
            <v>52.6815</v>
          </cell>
          <cell r="E167">
            <v>2</v>
          </cell>
          <cell r="F167">
            <v>0</v>
          </cell>
          <cell r="G167">
            <v>0</v>
          </cell>
          <cell r="H167">
            <v>0</v>
          </cell>
          <cell r="I167">
            <v>65.292699999999996</v>
          </cell>
          <cell r="J167">
            <v>1.0350000000000001</v>
          </cell>
          <cell r="K167">
            <v>30.782300000000003</v>
          </cell>
          <cell r="L167">
            <v>5.8370000000000006</v>
          </cell>
          <cell r="M167">
            <v>0</v>
          </cell>
          <cell r="N167">
            <v>0</v>
          </cell>
          <cell r="O167">
            <v>9.6220999999999997</v>
          </cell>
        </row>
        <row r="168">
          <cell r="A168" t="str">
            <v>0176</v>
          </cell>
          <cell r="B168">
            <v>15.317400000000001</v>
          </cell>
          <cell r="C168">
            <v>2.0129000000000001</v>
          </cell>
          <cell r="D168">
            <v>10.4399</v>
          </cell>
          <cell r="E168">
            <v>9.9500000000000011</v>
          </cell>
          <cell r="F168">
            <v>6.7</v>
          </cell>
          <cell r="G168">
            <v>2.335</v>
          </cell>
          <cell r="H168">
            <v>0</v>
          </cell>
          <cell r="I168">
            <v>9.6928000000000001</v>
          </cell>
          <cell r="J168">
            <v>0.1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1.1602000000000001</v>
          </cell>
        </row>
        <row r="169">
          <cell r="A169" t="str">
            <v>0177</v>
          </cell>
          <cell r="B169">
            <v>196.0667</v>
          </cell>
          <cell r="C169">
            <v>62.3065</v>
          </cell>
          <cell r="D169">
            <v>19.171400000000002</v>
          </cell>
          <cell r="E169">
            <v>52.365000000000002</v>
          </cell>
          <cell r="F169">
            <v>2</v>
          </cell>
          <cell r="G169">
            <v>24.241800000000001</v>
          </cell>
          <cell r="H169">
            <v>0</v>
          </cell>
          <cell r="I169">
            <v>0</v>
          </cell>
          <cell r="J169">
            <v>1.8180000000000001</v>
          </cell>
          <cell r="K169">
            <v>15.201600000000001</v>
          </cell>
          <cell r="L169">
            <v>0.1348</v>
          </cell>
          <cell r="M169">
            <v>0</v>
          </cell>
          <cell r="N169">
            <v>0</v>
          </cell>
          <cell r="O169">
            <v>1.4195</v>
          </cell>
        </row>
        <row r="170">
          <cell r="A170" t="str">
            <v>0178</v>
          </cell>
          <cell r="B170">
            <v>89.443100000000001</v>
          </cell>
          <cell r="C170">
            <v>31.175500000000003</v>
          </cell>
          <cell r="D170">
            <v>13.659800000000001</v>
          </cell>
          <cell r="E170">
            <v>15.095000000000001</v>
          </cell>
          <cell r="F170">
            <v>4.5</v>
          </cell>
          <cell r="G170">
            <v>9.6052</v>
          </cell>
          <cell r="H170">
            <v>0</v>
          </cell>
          <cell r="I170">
            <v>0.63570000000000004</v>
          </cell>
          <cell r="J170">
            <v>0.2235</v>
          </cell>
          <cell r="K170">
            <v>8.2210000000000001</v>
          </cell>
          <cell r="L170">
            <v>1.4458</v>
          </cell>
          <cell r="M170">
            <v>21.683700000000002</v>
          </cell>
          <cell r="N170">
            <v>0</v>
          </cell>
          <cell r="O170">
            <v>6.9210000000000003</v>
          </cell>
        </row>
        <row r="171">
          <cell r="A171" t="str">
            <v>0179</v>
          </cell>
          <cell r="B171">
            <v>81.854200000000006</v>
          </cell>
          <cell r="C171">
            <v>28.695800000000002</v>
          </cell>
          <cell r="D171">
            <v>2.7880000000000003</v>
          </cell>
          <cell r="E171">
            <v>4</v>
          </cell>
          <cell r="F171">
            <v>0</v>
          </cell>
          <cell r="G171">
            <v>15.504800000000001</v>
          </cell>
          <cell r="H171">
            <v>0</v>
          </cell>
          <cell r="I171">
            <v>0.63970000000000005</v>
          </cell>
          <cell r="J171">
            <v>0</v>
          </cell>
          <cell r="K171">
            <v>4.5268000000000006</v>
          </cell>
          <cell r="L171">
            <v>6.8494000000000002</v>
          </cell>
          <cell r="M171">
            <v>0</v>
          </cell>
          <cell r="N171">
            <v>0</v>
          </cell>
          <cell r="O171">
            <v>8.4542999999999999</v>
          </cell>
        </row>
        <row r="172">
          <cell r="A172" t="str">
            <v>0180</v>
          </cell>
          <cell r="B172">
            <v>36.244100000000003</v>
          </cell>
          <cell r="C172">
            <v>4.6118000000000006</v>
          </cell>
          <cell r="D172">
            <v>28.198500000000003</v>
          </cell>
          <cell r="E172">
            <v>1.1000000000000001</v>
          </cell>
          <cell r="F172">
            <v>0</v>
          </cell>
          <cell r="G172">
            <v>2.0000000000000001E-4</v>
          </cell>
          <cell r="H172">
            <v>0</v>
          </cell>
          <cell r="I172">
            <v>5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4.0998999999999999</v>
          </cell>
        </row>
        <row r="173">
          <cell r="A173" t="str">
            <v>0181</v>
          </cell>
          <cell r="B173">
            <v>158.72329999999999</v>
          </cell>
          <cell r="C173">
            <v>10.110100000000001</v>
          </cell>
          <cell r="D173">
            <v>35.7498</v>
          </cell>
          <cell r="E173">
            <v>2.5</v>
          </cell>
          <cell r="F173">
            <v>0</v>
          </cell>
          <cell r="G173">
            <v>2.327</v>
          </cell>
          <cell r="H173">
            <v>0</v>
          </cell>
          <cell r="I173">
            <v>61.888000000000005</v>
          </cell>
          <cell r="J173">
            <v>0.625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6.5622000000000007</v>
          </cell>
        </row>
        <row r="174">
          <cell r="A174" t="str">
            <v>0182</v>
          </cell>
          <cell r="B174">
            <v>115.4111</v>
          </cell>
          <cell r="C174">
            <v>5.1829999999999998</v>
          </cell>
          <cell r="D174">
            <v>43.0124</v>
          </cell>
          <cell r="E174">
            <v>6.4770000000000003</v>
          </cell>
          <cell r="F174">
            <v>0</v>
          </cell>
          <cell r="G174">
            <v>0.41900000000000004</v>
          </cell>
          <cell r="H174">
            <v>0</v>
          </cell>
          <cell r="I174">
            <v>0</v>
          </cell>
          <cell r="J174">
            <v>0</v>
          </cell>
          <cell r="K174">
            <v>2.3793000000000002</v>
          </cell>
          <cell r="L174">
            <v>5.7700000000000001E-2</v>
          </cell>
          <cell r="M174">
            <v>0</v>
          </cell>
          <cell r="N174">
            <v>0</v>
          </cell>
          <cell r="O174">
            <v>14.236600000000001</v>
          </cell>
        </row>
        <row r="175">
          <cell r="A175" t="str">
            <v>0183</v>
          </cell>
          <cell r="B175">
            <v>131.5864</v>
          </cell>
          <cell r="C175">
            <v>10.2203</v>
          </cell>
          <cell r="D175">
            <v>107.97630000000001</v>
          </cell>
          <cell r="E175">
            <v>13.05</v>
          </cell>
          <cell r="F175">
            <v>7.5</v>
          </cell>
          <cell r="G175">
            <v>9.7779000000000007</v>
          </cell>
          <cell r="H175">
            <v>0</v>
          </cell>
          <cell r="I175">
            <v>11.114800000000001</v>
          </cell>
          <cell r="J175">
            <v>1.3454000000000002</v>
          </cell>
          <cell r="K175">
            <v>0.10010000000000001</v>
          </cell>
          <cell r="L175">
            <v>3.2315</v>
          </cell>
          <cell r="M175">
            <v>0</v>
          </cell>
          <cell r="N175">
            <v>0</v>
          </cell>
          <cell r="O175">
            <v>6.3449</v>
          </cell>
        </row>
        <row r="176">
          <cell r="A176" t="str">
            <v>0184</v>
          </cell>
          <cell r="B176">
            <v>97.15270000000001</v>
          </cell>
          <cell r="C176">
            <v>9.6603000000000012</v>
          </cell>
          <cell r="D176">
            <v>60.462800000000001</v>
          </cell>
          <cell r="E176">
            <v>7.7380000000000004</v>
          </cell>
          <cell r="F176">
            <v>8.9</v>
          </cell>
          <cell r="G176">
            <v>3.2581000000000002</v>
          </cell>
          <cell r="H176">
            <v>0</v>
          </cell>
          <cell r="I176">
            <v>6.3100000000000003E-2</v>
          </cell>
          <cell r="J176">
            <v>0.5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2.3025000000000002</v>
          </cell>
        </row>
        <row r="177">
          <cell r="A177" t="str">
            <v>0185</v>
          </cell>
          <cell r="B177">
            <v>88.671000000000006</v>
          </cell>
          <cell r="C177">
            <v>13.296800000000001</v>
          </cell>
          <cell r="D177">
            <v>90.291700000000006</v>
          </cell>
          <cell r="E177">
            <v>2.85</v>
          </cell>
          <cell r="F177">
            <v>0.70000000000000007</v>
          </cell>
          <cell r="G177">
            <v>0.60010000000000008</v>
          </cell>
          <cell r="H177">
            <v>0</v>
          </cell>
          <cell r="I177">
            <v>0.42660000000000003</v>
          </cell>
          <cell r="J177">
            <v>0.5</v>
          </cell>
          <cell r="K177">
            <v>0.2394</v>
          </cell>
          <cell r="L177">
            <v>13.064500000000001</v>
          </cell>
          <cell r="M177">
            <v>5.4302000000000001</v>
          </cell>
          <cell r="N177">
            <v>0</v>
          </cell>
          <cell r="O177">
            <v>21.173999999999999</v>
          </cell>
        </row>
        <row r="178">
          <cell r="A178" t="str">
            <v>0186</v>
          </cell>
          <cell r="B178">
            <v>216.5386</v>
          </cell>
          <cell r="C178">
            <v>6.6549000000000005</v>
          </cell>
          <cell r="D178">
            <v>9.8284000000000002</v>
          </cell>
          <cell r="E178">
            <v>0</v>
          </cell>
          <cell r="F178">
            <v>0</v>
          </cell>
          <cell r="G178">
            <v>1.7000000000000001E-3</v>
          </cell>
          <cell r="H178">
            <v>0</v>
          </cell>
          <cell r="I178">
            <v>27</v>
          </cell>
          <cell r="J178">
            <v>0</v>
          </cell>
          <cell r="K178">
            <v>3.6900000000000002E-2</v>
          </cell>
          <cell r="L178">
            <v>2.4352</v>
          </cell>
          <cell r="M178">
            <v>0</v>
          </cell>
          <cell r="N178">
            <v>0</v>
          </cell>
          <cell r="O178">
            <v>44.286999999999999</v>
          </cell>
        </row>
        <row r="179">
          <cell r="A179" t="str">
            <v>0187</v>
          </cell>
          <cell r="B179">
            <v>54.433600000000006</v>
          </cell>
          <cell r="C179">
            <v>6.8228</v>
          </cell>
          <cell r="D179">
            <v>18.351500000000001</v>
          </cell>
          <cell r="E179">
            <v>16.100000000000001</v>
          </cell>
          <cell r="F179">
            <v>0</v>
          </cell>
          <cell r="G179">
            <v>8.0036000000000005</v>
          </cell>
          <cell r="H179">
            <v>0</v>
          </cell>
          <cell r="I179">
            <v>10.054</v>
          </cell>
          <cell r="J179">
            <v>0.58000000000000007</v>
          </cell>
          <cell r="K179">
            <v>1.3277000000000001</v>
          </cell>
          <cell r="L179">
            <v>3.1492</v>
          </cell>
          <cell r="M179">
            <v>5.8479000000000001</v>
          </cell>
          <cell r="N179">
            <v>0</v>
          </cell>
          <cell r="O179">
            <v>19.4618</v>
          </cell>
        </row>
        <row r="180">
          <cell r="A180" t="str">
            <v>0188</v>
          </cell>
          <cell r="B180">
            <v>55.590200000000003</v>
          </cell>
          <cell r="C180">
            <v>15.108400000000001</v>
          </cell>
          <cell r="D180">
            <v>24.815000000000001</v>
          </cell>
          <cell r="E180">
            <v>7.3000000000000007</v>
          </cell>
          <cell r="F180">
            <v>0.3</v>
          </cell>
          <cell r="G180">
            <v>11.7369</v>
          </cell>
          <cell r="H180">
            <v>0</v>
          </cell>
          <cell r="I180">
            <v>8</v>
          </cell>
          <cell r="J180">
            <v>0</v>
          </cell>
          <cell r="K180">
            <v>1.6500000000000001E-2</v>
          </cell>
          <cell r="L180">
            <v>21.2075</v>
          </cell>
          <cell r="M180">
            <v>0</v>
          </cell>
          <cell r="N180">
            <v>0</v>
          </cell>
          <cell r="O180">
            <v>0.73570000000000002</v>
          </cell>
        </row>
        <row r="181">
          <cell r="A181" t="str">
            <v>0189</v>
          </cell>
          <cell r="B181">
            <v>15.169</v>
          </cell>
          <cell r="C181">
            <v>16.058600000000002</v>
          </cell>
          <cell r="D181">
            <v>0.64240000000000008</v>
          </cell>
          <cell r="E181">
            <v>11.049700000000001</v>
          </cell>
          <cell r="F181">
            <v>0</v>
          </cell>
          <cell r="G181">
            <v>2.9000000000000001E-2</v>
          </cell>
          <cell r="H181">
            <v>0</v>
          </cell>
          <cell r="I181">
            <v>22.8</v>
          </cell>
          <cell r="J181">
            <v>0.1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1.0743</v>
          </cell>
        </row>
        <row r="182">
          <cell r="A182" t="str">
            <v>0190</v>
          </cell>
          <cell r="B182">
            <v>76.383899999999997</v>
          </cell>
          <cell r="C182">
            <v>6.9805000000000001</v>
          </cell>
          <cell r="D182">
            <v>33.709499999999998</v>
          </cell>
          <cell r="E182">
            <v>20.6</v>
          </cell>
          <cell r="F182">
            <v>1.5</v>
          </cell>
          <cell r="G182">
            <v>8.5555000000000003</v>
          </cell>
          <cell r="H182">
            <v>0</v>
          </cell>
          <cell r="I182">
            <v>0.51100000000000001</v>
          </cell>
          <cell r="J182">
            <v>0.8</v>
          </cell>
          <cell r="K182">
            <v>8.3530999999999995</v>
          </cell>
          <cell r="L182">
            <v>0.11840000000000001</v>
          </cell>
          <cell r="M182">
            <v>0</v>
          </cell>
          <cell r="N182">
            <v>0</v>
          </cell>
          <cell r="O182">
            <v>4.2648999999999999</v>
          </cell>
        </row>
        <row r="183">
          <cell r="A183" t="str">
            <v>0191</v>
          </cell>
          <cell r="B183">
            <v>129.17690000000002</v>
          </cell>
          <cell r="C183">
            <v>23.6434</v>
          </cell>
          <cell r="D183">
            <v>12.361500000000001</v>
          </cell>
          <cell r="E183">
            <v>10.450000000000001</v>
          </cell>
          <cell r="F183">
            <v>0.2</v>
          </cell>
          <cell r="G183">
            <v>6.6183000000000005</v>
          </cell>
          <cell r="H183">
            <v>0</v>
          </cell>
          <cell r="I183">
            <v>35.067</v>
          </cell>
          <cell r="J183">
            <v>0</v>
          </cell>
          <cell r="K183">
            <v>6.1339000000000006</v>
          </cell>
          <cell r="L183">
            <v>12.050600000000001</v>
          </cell>
          <cell r="M183">
            <v>0</v>
          </cell>
          <cell r="N183">
            <v>0</v>
          </cell>
          <cell r="O183">
            <v>0</v>
          </cell>
        </row>
        <row r="184">
          <cell r="A184" t="str">
            <v>0192</v>
          </cell>
          <cell r="B184">
            <v>117.94850000000001</v>
          </cell>
          <cell r="C184">
            <v>6.7953000000000001</v>
          </cell>
          <cell r="D184">
            <v>12.415100000000001</v>
          </cell>
          <cell r="E184">
            <v>1.5</v>
          </cell>
          <cell r="F184">
            <v>0</v>
          </cell>
          <cell r="G184">
            <v>9.6133000000000006</v>
          </cell>
          <cell r="H184">
            <v>0</v>
          </cell>
          <cell r="I184">
            <v>3.7200000000000004E-2</v>
          </cell>
          <cell r="J184">
            <v>1.3679000000000001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21.0562</v>
          </cell>
        </row>
        <row r="185">
          <cell r="A185" t="str">
            <v>0193</v>
          </cell>
          <cell r="B185">
            <v>66.373599999999996</v>
          </cell>
          <cell r="C185">
            <v>10.858600000000001</v>
          </cell>
          <cell r="D185">
            <v>8.9837000000000007</v>
          </cell>
          <cell r="E185">
            <v>0.4</v>
          </cell>
          <cell r="F185">
            <v>0</v>
          </cell>
          <cell r="G185">
            <v>0.62530000000000008</v>
          </cell>
          <cell r="H185">
            <v>0</v>
          </cell>
          <cell r="I185">
            <v>2.0500000000000001E-2</v>
          </cell>
          <cell r="J185">
            <v>0</v>
          </cell>
          <cell r="K185">
            <v>5.0750000000000002</v>
          </cell>
          <cell r="L185">
            <v>0.48100000000000004</v>
          </cell>
          <cell r="M185">
            <v>0</v>
          </cell>
          <cell r="N185">
            <v>0</v>
          </cell>
          <cell r="O185">
            <v>1.6751</v>
          </cell>
        </row>
        <row r="186">
          <cell r="A186" t="str">
            <v>0194</v>
          </cell>
          <cell r="B186">
            <v>57.444800000000001</v>
          </cell>
          <cell r="C186">
            <v>9.8983000000000008</v>
          </cell>
          <cell r="D186">
            <v>22.3673</v>
          </cell>
          <cell r="E186">
            <v>2.3000000000000003</v>
          </cell>
          <cell r="F186">
            <v>1</v>
          </cell>
          <cell r="G186">
            <v>0.12240000000000001</v>
          </cell>
          <cell r="H186">
            <v>0</v>
          </cell>
          <cell r="I186">
            <v>12.55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3.7845</v>
          </cell>
        </row>
        <row r="187">
          <cell r="A187" t="str">
            <v>0195</v>
          </cell>
          <cell r="B187">
            <v>148.35890000000001</v>
          </cell>
          <cell r="C187">
            <v>13.4703</v>
          </cell>
          <cell r="D187">
            <v>174.1832</v>
          </cell>
          <cell r="E187">
            <v>38.965000000000003</v>
          </cell>
          <cell r="F187">
            <v>3.5</v>
          </cell>
          <cell r="G187">
            <v>8.9202000000000012</v>
          </cell>
          <cell r="H187">
            <v>0</v>
          </cell>
          <cell r="I187">
            <v>170.9057</v>
          </cell>
          <cell r="J187">
            <v>3.4345000000000003</v>
          </cell>
          <cell r="K187">
            <v>3.8994</v>
          </cell>
          <cell r="L187">
            <v>6.7612000000000005</v>
          </cell>
          <cell r="M187">
            <v>0</v>
          </cell>
          <cell r="N187">
            <v>0</v>
          </cell>
          <cell r="O187">
            <v>28.427100000000003</v>
          </cell>
        </row>
        <row r="188">
          <cell r="A188" t="str">
            <v>0196</v>
          </cell>
          <cell r="B188">
            <v>21.717600000000001</v>
          </cell>
          <cell r="C188">
            <v>4.4190000000000005</v>
          </cell>
          <cell r="D188">
            <v>19.5641</v>
          </cell>
          <cell r="E188">
            <v>0</v>
          </cell>
          <cell r="F188">
            <v>0</v>
          </cell>
          <cell r="G188">
            <v>0.442</v>
          </cell>
          <cell r="H188">
            <v>0</v>
          </cell>
          <cell r="I188">
            <v>55</v>
          </cell>
          <cell r="J188">
            <v>1.6768000000000001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1.5826</v>
          </cell>
        </row>
        <row r="189">
          <cell r="A189" t="str">
            <v>0197</v>
          </cell>
          <cell r="B189">
            <v>67.805900000000008</v>
          </cell>
          <cell r="C189">
            <v>4.8054000000000006</v>
          </cell>
          <cell r="D189">
            <v>13.019300000000001</v>
          </cell>
          <cell r="E189">
            <v>3.1500000000000004</v>
          </cell>
          <cell r="F189">
            <v>0</v>
          </cell>
          <cell r="G189">
            <v>4.5999999999999999E-2</v>
          </cell>
          <cell r="H189">
            <v>0</v>
          </cell>
          <cell r="I189">
            <v>10</v>
          </cell>
          <cell r="J189">
            <v>2.0249999999999999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0.60060000000000002</v>
          </cell>
        </row>
        <row r="190">
          <cell r="A190" t="str">
            <v>0198</v>
          </cell>
          <cell r="B190">
            <v>40.648400000000002</v>
          </cell>
          <cell r="C190">
            <v>3.4606000000000003</v>
          </cell>
          <cell r="D190">
            <v>41.161000000000001</v>
          </cell>
          <cell r="E190">
            <v>6.8500000000000005</v>
          </cell>
          <cell r="F190">
            <v>0</v>
          </cell>
          <cell r="G190">
            <v>0</v>
          </cell>
          <cell r="H190">
            <v>0</v>
          </cell>
          <cell r="I190">
            <v>7.75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13.701000000000001</v>
          </cell>
        </row>
        <row r="191">
          <cell r="A191" t="str">
            <v>0199</v>
          </cell>
          <cell r="B191">
            <v>52.331000000000003</v>
          </cell>
          <cell r="C191">
            <v>4.7305000000000001</v>
          </cell>
          <cell r="D191">
            <v>2.5546000000000002</v>
          </cell>
          <cell r="E191">
            <v>0.875</v>
          </cell>
          <cell r="F191">
            <v>0</v>
          </cell>
          <cell r="G191">
            <v>0.16889999999999999</v>
          </cell>
          <cell r="H191">
            <v>0</v>
          </cell>
          <cell r="I191">
            <v>8.0500000000000007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1.0915000000000001</v>
          </cell>
        </row>
        <row r="192">
          <cell r="A192" t="str">
            <v>0200</v>
          </cell>
          <cell r="B192">
            <v>67.174199999999999</v>
          </cell>
          <cell r="C192">
            <v>19.9343</v>
          </cell>
          <cell r="D192">
            <v>45.508000000000003</v>
          </cell>
          <cell r="E192">
            <v>12.425000000000001</v>
          </cell>
          <cell r="F192">
            <v>0</v>
          </cell>
          <cell r="G192">
            <v>0.83200000000000007</v>
          </cell>
          <cell r="H192">
            <v>0</v>
          </cell>
          <cell r="I192">
            <v>8.1700000000000009E-2</v>
          </cell>
          <cell r="J192">
            <v>0</v>
          </cell>
          <cell r="K192">
            <v>17.074999999999999</v>
          </cell>
          <cell r="L192">
            <v>1.2869000000000002</v>
          </cell>
          <cell r="M192">
            <v>0</v>
          </cell>
          <cell r="N192">
            <v>0</v>
          </cell>
          <cell r="O192">
            <v>28.587600000000002</v>
          </cell>
        </row>
        <row r="193">
          <cell r="A193" t="str">
            <v>0201</v>
          </cell>
          <cell r="B193">
            <v>84.274100000000004</v>
          </cell>
          <cell r="C193">
            <v>7.0788000000000002</v>
          </cell>
          <cell r="D193">
            <v>22.7805</v>
          </cell>
          <cell r="E193">
            <v>3.6500000000000004</v>
          </cell>
          <cell r="F193">
            <v>0</v>
          </cell>
          <cell r="G193">
            <v>9.1821000000000002</v>
          </cell>
          <cell r="H193">
            <v>0</v>
          </cell>
          <cell r="I193">
            <v>0.31540000000000001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4.5312999999999999</v>
          </cell>
        </row>
        <row r="194">
          <cell r="A194" t="str">
            <v>0202</v>
          </cell>
          <cell r="B194">
            <v>59.5486</v>
          </cell>
          <cell r="C194">
            <v>9.0244</v>
          </cell>
          <cell r="D194">
            <v>7.8857000000000008</v>
          </cell>
          <cell r="E194">
            <v>7.1000000000000005</v>
          </cell>
          <cell r="F194">
            <v>0</v>
          </cell>
          <cell r="G194">
            <v>0</v>
          </cell>
          <cell r="H194">
            <v>0</v>
          </cell>
          <cell r="I194">
            <v>3.2702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13.996300000000002</v>
          </cell>
        </row>
        <row r="195">
          <cell r="A195" t="str">
            <v>0203</v>
          </cell>
          <cell r="B195">
            <v>87.166200000000003</v>
          </cell>
          <cell r="C195">
            <v>9.0524000000000004</v>
          </cell>
          <cell r="D195">
            <v>60.345200000000006</v>
          </cell>
          <cell r="E195">
            <v>9.620000000000001</v>
          </cell>
          <cell r="F195">
            <v>0</v>
          </cell>
          <cell r="G195">
            <v>0.60230000000000006</v>
          </cell>
          <cell r="H195">
            <v>0</v>
          </cell>
          <cell r="I195">
            <v>0.10500000000000001</v>
          </cell>
          <cell r="J195">
            <v>0</v>
          </cell>
          <cell r="K195">
            <v>4.7427999999999999</v>
          </cell>
          <cell r="L195">
            <v>2.4751000000000003</v>
          </cell>
          <cell r="M195">
            <v>0</v>
          </cell>
          <cell r="N195">
            <v>0</v>
          </cell>
          <cell r="O195">
            <v>26.366400000000002</v>
          </cell>
        </row>
        <row r="196">
          <cell r="A196" t="str">
            <v>0204</v>
          </cell>
          <cell r="B196">
            <v>108.61360000000001</v>
          </cell>
          <cell r="C196">
            <v>8.4025999999999996</v>
          </cell>
          <cell r="D196">
            <v>16.372900000000001</v>
          </cell>
          <cell r="E196">
            <v>3.52</v>
          </cell>
          <cell r="F196">
            <v>0</v>
          </cell>
          <cell r="G196">
            <v>1.0597000000000001</v>
          </cell>
          <cell r="H196">
            <v>0</v>
          </cell>
          <cell r="I196">
            <v>0.84860000000000002</v>
          </cell>
          <cell r="J196">
            <v>0.625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21.236900000000002</v>
          </cell>
        </row>
        <row r="197">
          <cell r="A197" t="str">
            <v>0205</v>
          </cell>
          <cell r="B197">
            <v>80.73660000000001</v>
          </cell>
          <cell r="C197">
            <v>10.917100000000001</v>
          </cell>
          <cell r="D197">
            <v>45.437000000000005</v>
          </cell>
          <cell r="E197">
            <v>0</v>
          </cell>
          <cell r="F197">
            <v>0</v>
          </cell>
          <cell r="G197">
            <v>1.0992999999999999</v>
          </cell>
          <cell r="H197">
            <v>0</v>
          </cell>
          <cell r="I197">
            <v>1.4619</v>
          </cell>
          <cell r="J197">
            <v>0.01</v>
          </cell>
          <cell r="K197">
            <v>1.4839</v>
          </cell>
          <cell r="L197">
            <v>2.23E-2</v>
          </cell>
          <cell r="M197">
            <v>0</v>
          </cell>
          <cell r="N197">
            <v>0</v>
          </cell>
          <cell r="O197">
            <v>1.7459</v>
          </cell>
        </row>
        <row r="198">
          <cell r="A198" t="str">
            <v>0206</v>
          </cell>
          <cell r="B198">
            <v>99.946400000000011</v>
          </cell>
          <cell r="C198">
            <v>0.32050000000000001</v>
          </cell>
          <cell r="D198">
            <v>51.479200000000006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</v>
          </cell>
          <cell r="J198">
            <v>0.05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26.045000000000002</v>
          </cell>
        </row>
        <row r="199">
          <cell r="A199" t="str">
            <v>0207</v>
          </cell>
          <cell r="B199">
            <v>43.4754</v>
          </cell>
          <cell r="C199">
            <v>12.507100000000001</v>
          </cell>
          <cell r="D199">
            <v>26.837500000000002</v>
          </cell>
          <cell r="E199">
            <v>3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3.7788000000000004</v>
          </cell>
          <cell r="L199">
            <v>0.2949</v>
          </cell>
          <cell r="M199">
            <v>5.2985000000000007</v>
          </cell>
          <cell r="N199">
            <v>0</v>
          </cell>
          <cell r="O199">
            <v>9.2058999999999997</v>
          </cell>
        </row>
        <row r="200">
          <cell r="A200" t="str">
            <v>0208</v>
          </cell>
          <cell r="B200">
            <v>78.424800000000005</v>
          </cell>
          <cell r="C200">
            <v>11.426300000000001</v>
          </cell>
          <cell r="D200">
            <v>0.4083</v>
          </cell>
          <cell r="E200">
            <v>2.15</v>
          </cell>
          <cell r="F200">
            <v>0</v>
          </cell>
          <cell r="G200">
            <v>0.72510000000000008</v>
          </cell>
          <cell r="H200">
            <v>0</v>
          </cell>
          <cell r="I200">
            <v>0.05</v>
          </cell>
          <cell r="J200">
            <v>0.24000000000000002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2.0554000000000001</v>
          </cell>
        </row>
        <row r="201">
          <cell r="A201" t="str">
            <v>0209</v>
          </cell>
          <cell r="B201">
            <v>5.0987</v>
          </cell>
          <cell r="C201">
            <v>4.5635000000000003</v>
          </cell>
          <cell r="D201">
            <v>20.643700000000003</v>
          </cell>
          <cell r="E201">
            <v>3.1700000000000004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0.1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1.5300000000000001E-2</v>
          </cell>
        </row>
        <row r="202">
          <cell r="A202" t="str">
            <v>0210</v>
          </cell>
          <cell r="B202">
            <v>34.491100000000003</v>
          </cell>
          <cell r="C202">
            <v>9.8867000000000012</v>
          </cell>
          <cell r="D202">
            <v>69.248699999999999</v>
          </cell>
          <cell r="E202">
            <v>5.92</v>
          </cell>
          <cell r="F202">
            <v>0</v>
          </cell>
          <cell r="G202">
            <v>0</v>
          </cell>
          <cell r="H202">
            <v>0</v>
          </cell>
          <cell r="I202">
            <v>3.133</v>
          </cell>
          <cell r="J202">
            <v>0</v>
          </cell>
          <cell r="K202">
            <v>0</v>
          </cell>
          <cell r="L202">
            <v>41.785900000000005</v>
          </cell>
          <cell r="M202">
            <v>106.0985</v>
          </cell>
          <cell r="N202">
            <v>0</v>
          </cell>
          <cell r="O202">
            <v>10.5403</v>
          </cell>
        </row>
        <row r="203">
          <cell r="A203" t="str">
            <v>0211</v>
          </cell>
          <cell r="B203">
            <v>54.825100000000006</v>
          </cell>
          <cell r="C203">
            <v>13.4854</v>
          </cell>
          <cell r="D203">
            <v>29.3218</v>
          </cell>
          <cell r="E203">
            <v>0.1</v>
          </cell>
          <cell r="F203">
            <v>0</v>
          </cell>
          <cell r="G203">
            <v>0</v>
          </cell>
          <cell r="H203">
            <v>0</v>
          </cell>
          <cell r="I203">
            <v>3.0514000000000001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31.3886</v>
          </cell>
        </row>
        <row r="204">
          <cell r="A204" t="str">
            <v>0212</v>
          </cell>
          <cell r="B204">
            <v>98.34620000000001</v>
          </cell>
          <cell r="C204">
            <v>1.6201000000000001</v>
          </cell>
          <cell r="D204">
            <v>89.208500000000001</v>
          </cell>
          <cell r="E204">
            <v>3.1</v>
          </cell>
          <cell r="F204">
            <v>0</v>
          </cell>
          <cell r="G204">
            <v>0</v>
          </cell>
          <cell r="H204">
            <v>0</v>
          </cell>
          <cell r="I204">
            <v>42.35</v>
          </cell>
          <cell r="J204">
            <v>2.0444</v>
          </cell>
          <cell r="K204">
            <v>6.4050000000000002</v>
          </cell>
          <cell r="L204">
            <v>12.990400000000001</v>
          </cell>
          <cell r="M204">
            <v>3.9650000000000003</v>
          </cell>
          <cell r="N204">
            <v>0</v>
          </cell>
          <cell r="O204">
            <v>9.9566999999999997</v>
          </cell>
        </row>
        <row r="205">
          <cell r="A205" t="str">
            <v>0213</v>
          </cell>
          <cell r="B205">
            <v>248.572</v>
          </cell>
          <cell r="C205">
            <v>0.37610000000000005</v>
          </cell>
          <cell r="D205">
            <v>12.296900000000001</v>
          </cell>
          <cell r="E205">
            <v>2.5</v>
          </cell>
          <cell r="F205">
            <v>0</v>
          </cell>
          <cell r="G205">
            <v>0.13450000000000001</v>
          </cell>
          <cell r="H205">
            <v>0</v>
          </cell>
          <cell r="I205">
            <v>0</v>
          </cell>
          <cell r="J205">
            <v>5.9941000000000004</v>
          </cell>
          <cell r="K205">
            <v>5.5680000000000005</v>
          </cell>
          <cell r="L205">
            <v>1.9758</v>
          </cell>
          <cell r="M205">
            <v>0</v>
          </cell>
          <cell r="N205">
            <v>0</v>
          </cell>
          <cell r="O205">
            <v>0.32270000000000004</v>
          </cell>
        </row>
        <row r="206">
          <cell r="A206" t="str">
            <v>0214</v>
          </cell>
          <cell r="B206">
            <v>46.824400000000004</v>
          </cell>
          <cell r="C206">
            <v>6.3484000000000007</v>
          </cell>
          <cell r="D206">
            <v>25.122400000000003</v>
          </cell>
          <cell r="E206">
            <v>12.066000000000001</v>
          </cell>
          <cell r="F206">
            <v>0</v>
          </cell>
          <cell r="G206">
            <v>0</v>
          </cell>
          <cell r="H206">
            <v>0</v>
          </cell>
          <cell r="I206">
            <v>0.1472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8.0271000000000008</v>
          </cell>
        </row>
        <row r="207">
          <cell r="A207" t="str">
            <v>0215</v>
          </cell>
          <cell r="B207">
            <v>81.945300000000003</v>
          </cell>
          <cell r="C207">
            <v>0.1066</v>
          </cell>
          <cell r="D207">
            <v>5.4694000000000003</v>
          </cell>
          <cell r="E207">
            <v>3.8000000000000003</v>
          </cell>
          <cell r="F207">
            <v>0</v>
          </cell>
          <cell r="G207">
            <v>1.5768</v>
          </cell>
          <cell r="H207">
            <v>0</v>
          </cell>
          <cell r="I207">
            <v>9.2581000000000007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3.6608000000000001</v>
          </cell>
        </row>
        <row r="208">
          <cell r="A208" t="str">
            <v>0216</v>
          </cell>
          <cell r="B208">
            <v>32.385100000000001</v>
          </cell>
          <cell r="C208">
            <v>5.0434999999999999</v>
          </cell>
          <cell r="D208">
            <v>1.4522000000000002</v>
          </cell>
          <cell r="E208">
            <v>4.4809999999999999</v>
          </cell>
          <cell r="F208">
            <v>0</v>
          </cell>
          <cell r="G208">
            <v>0</v>
          </cell>
          <cell r="H208">
            <v>0</v>
          </cell>
          <cell r="I208">
            <v>1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3.9765000000000001</v>
          </cell>
        </row>
        <row r="209">
          <cell r="A209" t="str">
            <v>0217</v>
          </cell>
          <cell r="B209">
            <v>81.999499999999998</v>
          </cell>
          <cell r="C209">
            <v>0</v>
          </cell>
          <cell r="D209">
            <v>9.5044000000000004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1.6201000000000001</v>
          </cell>
        </row>
        <row r="210">
          <cell r="A210" t="str">
            <v>0218</v>
          </cell>
          <cell r="B210">
            <v>30.240200000000002</v>
          </cell>
          <cell r="C210">
            <v>1.2132000000000001</v>
          </cell>
          <cell r="D210">
            <v>9.5166000000000004</v>
          </cell>
          <cell r="E210">
            <v>5.1000000000000005</v>
          </cell>
          <cell r="F210">
            <v>0</v>
          </cell>
          <cell r="G210">
            <v>0</v>
          </cell>
          <cell r="H210">
            <v>0</v>
          </cell>
          <cell r="I210">
            <v>4.5499999999999999E-2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0.31520000000000004</v>
          </cell>
        </row>
        <row r="211">
          <cell r="A211" t="str">
            <v>0219</v>
          </cell>
          <cell r="B211">
            <v>415.9255</v>
          </cell>
          <cell r="C211">
            <v>17.610700000000001</v>
          </cell>
          <cell r="D211">
            <v>0.42250000000000004</v>
          </cell>
          <cell r="E211">
            <v>1.7000000000000002</v>
          </cell>
          <cell r="F211">
            <v>0</v>
          </cell>
          <cell r="G211">
            <v>0.2268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22.9542</v>
          </cell>
        </row>
        <row r="212">
          <cell r="A212" t="str">
            <v>0220</v>
          </cell>
          <cell r="B212">
            <v>94.656000000000006</v>
          </cell>
          <cell r="C212">
            <v>31.2514</v>
          </cell>
          <cell r="D212">
            <v>115.8891</v>
          </cell>
          <cell r="E212">
            <v>1.1500000000000001</v>
          </cell>
          <cell r="F212">
            <v>0</v>
          </cell>
          <cell r="G212">
            <v>0.32050000000000001</v>
          </cell>
          <cell r="H212">
            <v>0</v>
          </cell>
          <cell r="I212">
            <v>0.28200000000000003</v>
          </cell>
          <cell r="J212">
            <v>0.36499999999999999</v>
          </cell>
          <cell r="K212">
            <v>0.26350000000000001</v>
          </cell>
          <cell r="L212">
            <v>58.525600000000004</v>
          </cell>
          <cell r="M212">
            <v>0</v>
          </cell>
          <cell r="N212">
            <v>0</v>
          </cell>
          <cell r="O212">
            <v>1.1500000000000001</v>
          </cell>
        </row>
        <row r="213">
          <cell r="A213" t="str">
            <v>0221</v>
          </cell>
          <cell r="B213">
            <v>221.80710000000002</v>
          </cell>
          <cell r="C213">
            <v>33.1556</v>
          </cell>
          <cell r="D213">
            <v>47.628800000000005</v>
          </cell>
          <cell r="E213">
            <v>3</v>
          </cell>
          <cell r="F213">
            <v>0.6</v>
          </cell>
          <cell r="G213">
            <v>0.16070000000000001</v>
          </cell>
          <cell r="H213">
            <v>0</v>
          </cell>
          <cell r="I213">
            <v>51.146500000000003</v>
          </cell>
          <cell r="J213">
            <v>0.79800000000000004</v>
          </cell>
          <cell r="K213">
            <v>7.2305000000000001</v>
          </cell>
          <cell r="L213">
            <v>26.659800000000001</v>
          </cell>
          <cell r="M213">
            <v>6.2765000000000004</v>
          </cell>
          <cell r="N213">
            <v>0</v>
          </cell>
          <cell r="O213">
            <v>12.3986</v>
          </cell>
        </row>
        <row r="214">
          <cell r="A214" t="str">
            <v>0222</v>
          </cell>
          <cell r="B214">
            <v>71.771600000000007</v>
          </cell>
          <cell r="C214">
            <v>6.7131000000000007</v>
          </cell>
          <cell r="D214">
            <v>109.6366</v>
          </cell>
          <cell r="E214">
            <v>11.5</v>
          </cell>
          <cell r="F214">
            <v>0</v>
          </cell>
          <cell r="G214">
            <v>1.11E-2</v>
          </cell>
          <cell r="H214">
            <v>0</v>
          </cell>
          <cell r="I214">
            <v>8</v>
          </cell>
          <cell r="J214">
            <v>1.4705000000000001</v>
          </cell>
          <cell r="K214">
            <v>10.960600000000001</v>
          </cell>
          <cell r="L214">
            <v>2.8444000000000003</v>
          </cell>
          <cell r="M214">
            <v>125.31330000000001</v>
          </cell>
          <cell r="N214">
            <v>0</v>
          </cell>
          <cell r="O214">
            <v>20.207000000000001</v>
          </cell>
        </row>
        <row r="215">
          <cell r="A215" t="str">
            <v>0223</v>
          </cell>
          <cell r="B215">
            <v>43.180600000000005</v>
          </cell>
          <cell r="C215">
            <v>8.7126000000000001</v>
          </cell>
          <cell r="D215">
            <v>0</v>
          </cell>
          <cell r="E215">
            <v>0</v>
          </cell>
          <cell r="F215">
            <v>0</v>
          </cell>
          <cell r="G215">
            <v>8.4174000000000007</v>
          </cell>
          <cell r="H215">
            <v>0</v>
          </cell>
          <cell r="I215">
            <v>0.127</v>
          </cell>
          <cell r="J215">
            <v>0</v>
          </cell>
          <cell r="K215">
            <v>7.3555999999999999</v>
          </cell>
          <cell r="L215">
            <v>4.3589000000000002</v>
          </cell>
          <cell r="M215">
            <v>0</v>
          </cell>
          <cell r="N215">
            <v>0</v>
          </cell>
          <cell r="O215">
            <v>2.8295000000000003</v>
          </cell>
        </row>
        <row r="216">
          <cell r="A216" t="str">
            <v>0224</v>
          </cell>
          <cell r="B216">
            <v>63.5946</v>
          </cell>
          <cell r="C216">
            <v>0.89960000000000007</v>
          </cell>
          <cell r="D216">
            <v>10.8512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0.12350000000000001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13.091900000000001</v>
          </cell>
        </row>
        <row r="217">
          <cell r="A217" t="str">
            <v>0225</v>
          </cell>
          <cell r="B217">
            <v>30.805700000000002</v>
          </cell>
          <cell r="C217">
            <v>5.4362000000000004</v>
          </cell>
          <cell r="D217">
            <v>4.0701000000000001</v>
          </cell>
          <cell r="E217">
            <v>6.2149999999999999</v>
          </cell>
          <cell r="F217">
            <v>0</v>
          </cell>
          <cell r="G217">
            <v>0.53460000000000008</v>
          </cell>
          <cell r="H217">
            <v>0</v>
          </cell>
          <cell r="I217">
            <v>4.4000000000000003E-3</v>
          </cell>
          <cell r="J217">
            <v>0</v>
          </cell>
          <cell r="K217">
            <v>7.1000000000000008E-2</v>
          </cell>
          <cell r="L217">
            <v>0</v>
          </cell>
          <cell r="M217">
            <v>0</v>
          </cell>
          <cell r="N217">
            <v>0</v>
          </cell>
          <cell r="O217">
            <v>0.999</v>
          </cell>
        </row>
        <row r="218">
          <cell r="A218" t="str">
            <v>0226</v>
          </cell>
          <cell r="B218">
            <v>40.878</v>
          </cell>
          <cell r="C218">
            <v>7.3063000000000002</v>
          </cell>
          <cell r="D218">
            <v>6.2847</v>
          </cell>
          <cell r="E218">
            <v>5.1000000000000005</v>
          </cell>
          <cell r="F218">
            <v>0</v>
          </cell>
          <cell r="G218">
            <v>9.6220999999999997</v>
          </cell>
          <cell r="H218">
            <v>0</v>
          </cell>
          <cell r="I218">
            <v>0.25580000000000003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6.4557000000000002</v>
          </cell>
        </row>
        <row r="219">
          <cell r="A219" t="str">
            <v>0227</v>
          </cell>
          <cell r="B219">
            <v>51.579000000000001</v>
          </cell>
          <cell r="C219">
            <v>6.6421999999999999</v>
          </cell>
          <cell r="D219">
            <v>21.7591</v>
          </cell>
          <cell r="E219">
            <v>28.200000000000003</v>
          </cell>
          <cell r="F219">
            <v>0</v>
          </cell>
          <cell r="G219">
            <v>2.3433999999999999</v>
          </cell>
          <cell r="H219">
            <v>0</v>
          </cell>
          <cell r="I219">
            <v>1.5547</v>
          </cell>
          <cell r="J219">
            <v>0.54080000000000006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25.476000000000003</v>
          </cell>
        </row>
        <row r="220">
          <cell r="A220" t="str">
            <v>0228</v>
          </cell>
          <cell r="B220">
            <v>35.082000000000001</v>
          </cell>
          <cell r="C220">
            <v>8.3051000000000013</v>
          </cell>
          <cell r="D220">
            <v>69.3446</v>
          </cell>
          <cell r="E220">
            <v>20.25</v>
          </cell>
          <cell r="F220">
            <v>0</v>
          </cell>
          <cell r="G220">
            <v>0</v>
          </cell>
          <cell r="H220">
            <v>0</v>
          </cell>
          <cell r="I220">
            <v>27.158800000000003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3.7668000000000004</v>
          </cell>
        </row>
        <row r="221">
          <cell r="A221" t="str">
            <v>0229</v>
          </cell>
          <cell r="B221">
            <v>9.4981000000000009</v>
          </cell>
          <cell r="C221">
            <v>5.5678999999999998</v>
          </cell>
          <cell r="D221">
            <v>95.296000000000006</v>
          </cell>
          <cell r="E221">
            <v>8.2000000000000011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3.2852000000000001</v>
          </cell>
        </row>
        <row r="222">
          <cell r="A222" t="str">
            <v>0230</v>
          </cell>
          <cell r="B222">
            <v>67.217100000000002</v>
          </cell>
          <cell r="C222">
            <v>11.6998</v>
          </cell>
          <cell r="D222">
            <v>19.928000000000001</v>
          </cell>
          <cell r="E222">
            <v>0</v>
          </cell>
          <cell r="F222">
            <v>0</v>
          </cell>
          <cell r="G222">
            <v>0.1956</v>
          </cell>
          <cell r="H222">
            <v>0</v>
          </cell>
          <cell r="I222">
            <v>2.0238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24.204700000000003</v>
          </cell>
        </row>
        <row r="223">
          <cell r="A223" t="str">
            <v>0231</v>
          </cell>
          <cell r="B223">
            <v>58.926100000000005</v>
          </cell>
          <cell r="C223">
            <v>0.40670000000000001</v>
          </cell>
          <cell r="D223">
            <v>8.4848999999999997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11.184000000000001</v>
          </cell>
          <cell r="L223">
            <v>2.6342000000000003</v>
          </cell>
          <cell r="M223">
            <v>0</v>
          </cell>
          <cell r="N223">
            <v>0</v>
          </cell>
          <cell r="O223">
            <v>0</v>
          </cell>
        </row>
        <row r="224">
          <cell r="A224" t="str">
            <v>0234</v>
          </cell>
          <cell r="B224">
            <v>19.9495</v>
          </cell>
          <cell r="C224">
            <v>0.39019999999999999</v>
          </cell>
          <cell r="D224">
            <v>31.770400000000002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2.1938</v>
          </cell>
        </row>
        <row r="225">
          <cell r="A225" t="str">
            <v>0235</v>
          </cell>
          <cell r="B225">
            <v>10.831300000000001</v>
          </cell>
          <cell r="C225">
            <v>0</v>
          </cell>
          <cell r="D225">
            <v>1.8100000000000002E-2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0.56000000000000005</v>
          </cell>
        </row>
        <row r="226">
          <cell r="A226" t="str">
            <v>0236</v>
          </cell>
          <cell r="B226">
            <v>12.843400000000001</v>
          </cell>
          <cell r="C226">
            <v>0.1613</v>
          </cell>
          <cell r="D226">
            <v>2.7394000000000003</v>
          </cell>
          <cell r="E226">
            <v>0.5</v>
          </cell>
          <cell r="F226">
            <v>0</v>
          </cell>
          <cell r="G226">
            <v>4.5000000000000005E-2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4.6833</v>
          </cell>
        </row>
        <row r="227">
          <cell r="A227" t="str">
            <v>0237</v>
          </cell>
          <cell r="B227">
            <v>5.4950999999999999</v>
          </cell>
          <cell r="C227">
            <v>1.0010000000000001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3.3355000000000001</v>
          </cell>
        </row>
        <row r="228">
          <cell r="A228" t="str">
            <v>0241</v>
          </cell>
          <cell r="B228">
            <v>2.4266000000000001</v>
          </cell>
          <cell r="C228">
            <v>0.43530000000000002</v>
          </cell>
          <cell r="D228">
            <v>9.3114000000000008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A229" t="str">
            <v>0242</v>
          </cell>
          <cell r="B229">
            <v>3.399</v>
          </cell>
          <cell r="C229">
            <v>4.3359000000000005</v>
          </cell>
          <cell r="D229">
            <v>2.9849000000000001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7.9573</v>
          </cell>
        </row>
        <row r="230">
          <cell r="A230" t="str">
            <v>0404</v>
          </cell>
          <cell r="B230">
            <v>255.30070000000001</v>
          </cell>
          <cell r="C230">
            <v>60.891200000000005</v>
          </cell>
          <cell r="D230">
            <v>271.94630000000001</v>
          </cell>
          <cell r="E230">
            <v>57.076000000000001</v>
          </cell>
          <cell r="F230">
            <v>20.7</v>
          </cell>
          <cell r="G230">
            <v>5.7589000000000006</v>
          </cell>
          <cell r="H230">
            <v>0</v>
          </cell>
          <cell r="I230">
            <v>210.29580000000001</v>
          </cell>
          <cell r="J230">
            <v>2.0085999999999999</v>
          </cell>
          <cell r="K230">
            <v>120.18390000000001</v>
          </cell>
          <cell r="L230">
            <v>47.817100000000003</v>
          </cell>
          <cell r="M230">
            <v>1207.9116000000001</v>
          </cell>
          <cell r="N230">
            <v>0</v>
          </cell>
          <cell r="O230">
            <v>9.2224000000000004</v>
          </cell>
        </row>
        <row r="231">
          <cell r="A231" t="str">
            <v>0407</v>
          </cell>
          <cell r="B231">
            <v>149.78020000000001</v>
          </cell>
          <cell r="C231">
            <v>21.729900000000001</v>
          </cell>
          <cell r="D231">
            <v>104.43050000000001</v>
          </cell>
          <cell r="E231">
            <v>0</v>
          </cell>
          <cell r="F231">
            <v>0.6</v>
          </cell>
          <cell r="G231">
            <v>0.61990000000000001</v>
          </cell>
          <cell r="H231">
            <v>0</v>
          </cell>
          <cell r="I231">
            <v>29.263900000000003</v>
          </cell>
          <cell r="J231">
            <v>3.9511000000000003</v>
          </cell>
          <cell r="K231">
            <v>16.092100000000002</v>
          </cell>
          <cell r="L231">
            <v>14.655800000000001</v>
          </cell>
          <cell r="M231">
            <v>0</v>
          </cell>
          <cell r="N231">
            <v>0</v>
          </cell>
          <cell r="O231">
            <v>1.9686000000000001</v>
          </cell>
        </row>
        <row r="232">
          <cell r="A232" t="str">
            <v xml:space="preserve">500 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A233" t="str">
            <v xml:space="preserve">501 </v>
          </cell>
          <cell r="B233">
            <v>504.24620000000004</v>
          </cell>
          <cell r="C233">
            <v>401.97640000000001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55.900000000000006</v>
          </cell>
          <cell r="I233">
            <v>3828.8520000000003</v>
          </cell>
          <cell r="J233">
            <v>142.70410000000001</v>
          </cell>
          <cell r="K233">
            <v>127.2189</v>
          </cell>
          <cell r="L233">
            <v>141.0335</v>
          </cell>
          <cell r="M233">
            <v>56.542100000000005</v>
          </cell>
          <cell r="N233">
            <v>0</v>
          </cell>
          <cell r="O233">
            <v>0</v>
          </cell>
        </row>
        <row r="234">
          <cell r="A234" t="str">
            <v xml:space="preserve">502 </v>
          </cell>
          <cell r="B234">
            <v>207.92280000000002</v>
          </cell>
          <cell r="C234">
            <v>189.61250000000001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456.5883</v>
          </cell>
          <cell r="J234">
            <v>18.304500000000001</v>
          </cell>
          <cell r="K234">
            <v>21.125900000000001</v>
          </cell>
          <cell r="L234">
            <v>106.55160000000001</v>
          </cell>
          <cell r="M234">
            <v>99.066100000000006</v>
          </cell>
          <cell r="N234">
            <v>0</v>
          </cell>
          <cell r="O234">
            <v>0</v>
          </cell>
        </row>
        <row r="235">
          <cell r="A235" t="str">
            <v xml:space="preserve">503 </v>
          </cell>
          <cell r="B235">
            <v>348.43800000000005</v>
          </cell>
          <cell r="C235">
            <v>49.425200000000004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107.9492</v>
          </cell>
          <cell r="J235">
            <v>7.3550000000000004</v>
          </cell>
          <cell r="K235">
            <v>13.693200000000001</v>
          </cell>
          <cell r="L235">
            <v>24.6204</v>
          </cell>
          <cell r="M235">
            <v>0</v>
          </cell>
          <cell r="N235">
            <v>0</v>
          </cell>
          <cell r="O235">
            <v>0</v>
          </cell>
        </row>
        <row r="236">
          <cell r="A236" t="str">
            <v xml:space="preserve">504 </v>
          </cell>
          <cell r="B236">
            <v>214.75560000000002</v>
          </cell>
          <cell r="C236">
            <v>141.33070000000001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123.21650000000001</v>
          </cell>
          <cell r="J236">
            <v>2.7697000000000003</v>
          </cell>
          <cell r="K236">
            <v>116.1588</v>
          </cell>
          <cell r="L236">
            <v>21.45</v>
          </cell>
          <cell r="M236">
            <v>5.1718000000000002</v>
          </cell>
          <cell r="N236">
            <v>0</v>
          </cell>
          <cell r="O236">
            <v>0</v>
          </cell>
        </row>
        <row r="237">
          <cell r="A237" t="str">
            <v xml:space="preserve">505 </v>
          </cell>
          <cell r="B237">
            <v>270.99959999999999</v>
          </cell>
          <cell r="C237">
            <v>368.28550000000001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2105.1783</v>
          </cell>
          <cell r="J237">
            <v>44.825300000000006</v>
          </cell>
          <cell r="K237">
            <v>18.0763</v>
          </cell>
          <cell r="L237">
            <v>5.1367000000000003</v>
          </cell>
          <cell r="M237">
            <v>0</v>
          </cell>
          <cell r="N237">
            <v>0</v>
          </cell>
          <cell r="O237">
            <v>0</v>
          </cell>
        </row>
        <row r="238">
          <cell r="A238" t="str">
            <v xml:space="preserve">506 </v>
          </cell>
          <cell r="B238">
            <v>344.1438</v>
          </cell>
          <cell r="C238">
            <v>123.9783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846.82440000000008</v>
          </cell>
          <cell r="J238">
            <v>24.607900000000001</v>
          </cell>
          <cell r="K238">
            <v>22.575300000000002</v>
          </cell>
          <cell r="L238">
            <v>102.82260000000001</v>
          </cell>
          <cell r="M238">
            <v>-5.7000000000000002E-2</v>
          </cell>
          <cell r="N238">
            <v>0</v>
          </cell>
          <cell r="O238">
            <v>0</v>
          </cell>
        </row>
        <row r="239">
          <cell r="A239" t="str">
            <v xml:space="preserve">507 </v>
          </cell>
          <cell r="B239">
            <v>217.8083</v>
          </cell>
          <cell r="C239">
            <v>51.330200000000005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262.9237</v>
          </cell>
          <cell r="J239">
            <v>15.717700000000001</v>
          </cell>
          <cell r="K239">
            <v>17.713000000000001</v>
          </cell>
          <cell r="L239">
            <v>16.924400000000002</v>
          </cell>
          <cell r="M239">
            <v>0</v>
          </cell>
          <cell r="N239">
            <v>0</v>
          </cell>
          <cell r="O239">
            <v>0</v>
          </cell>
        </row>
        <row r="240">
          <cell r="A240" t="str">
            <v xml:space="preserve">508 </v>
          </cell>
          <cell r="B240">
            <v>290.15550000000002</v>
          </cell>
          <cell r="C240">
            <v>281.13440000000003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337.34059999999999</v>
          </cell>
          <cell r="J240">
            <v>15.432400000000001</v>
          </cell>
          <cell r="K240">
            <v>38.168500000000002</v>
          </cell>
          <cell r="L240">
            <v>67.144100000000009</v>
          </cell>
          <cell r="M240">
            <v>0</v>
          </cell>
          <cell r="N240">
            <v>0</v>
          </cell>
          <cell r="O240">
            <v>0</v>
          </cell>
        </row>
        <row r="241">
          <cell r="A241" t="str">
            <v xml:space="preserve">509 </v>
          </cell>
          <cell r="B241">
            <v>215.75400000000002</v>
          </cell>
          <cell r="C241">
            <v>117.98530000000001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380.80760000000004</v>
          </cell>
          <cell r="J241">
            <v>8.9024000000000001</v>
          </cell>
          <cell r="K241">
            <v>66.24560000000001</v>
          </cell>
          <cell r="L241">
            <v>61.270800000000001</v>
          </cell>
          <cell r="M241">
            <v>0</v>
          </cell>
          <cell r="N241">
            <v>0</v>
          </cell>
          <cell r="O241">
            <v>0</v>
          </cell>
        </row>
        <row r="242">
          <cell r="A242" t="str">
            <v xml:space="preserve">510 </v>
          </cell>
          <cell r="B242">
            <v>151.94230000000002</v>
          </cell>
          <cell r="C242">
            <v>254.12120000000002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426.11</v>
          </cell>
          <cell r="J242">
            <v>23.6556</v>
          </cell>
          <cell r="K242">
            <v>8.4192</v>
          </cell>
          <cell r="L242">
            <v>62.449000000000005</v>
          </cell>
          <cell r="M242">
            <v>18.231200000000001</v>
          </cell>
          <cell r="N242">
            <v>0</v>
          </cell>
          <cell r="O242">
            <v>0</v>
          </cell>
        </row>
        <row r="243">
          <cell r="A243" t="str">
            <v xml:space="preserve">511 </v>
          </cell>
          <cell r="B243">
            <v>157.41290000000001</v>
          </cell>
          <cell r="C243">
            <v>55.903700000000001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136.1773</v>
          </cell>
          <cell r="J243">
            <v>6.6383000000000001</v>
          </cell>
          <cell r="K243">
            <v>3.5777000000000001</v>
          </cell>
          <cell r="L243">
            <v>42.008700000000005</v>
          </cell>
          <cell r="M243">
            <v>0</v>
          </cell>
          <cell r="N243">
            <v>0</v>
          </cell>
          <cell r="O243">
            <v>0</v>
          </cell>
        </row>
        <row r="244">
          <cell r="A244" t="str">
            <v xml:space="preserve">512 </v>
          </cell>
          <cell r="B244">
            <v>110.9212</v>
          </cell>
          <cell r="C244">
            <v>43.029400000000003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97.263500000000008</v>
          </cell>
          <cell r="J244">
            <v>12.282</v>
          </cell>
          <cell r="K244">
            <v>7.2800000000000004E-2</v>
          </cell>
          <cell r="L244">
            <v>21.5154</v>
          </cell>
          <cell r="M244">
            <v>0</v>
          </cell>
          <cell r="N244">
            <v>0</v>
          </cell>
          <cell r="O244">
            <v>0</v>
          </cell>
        </row>
        <row r="245">
          <cell r="A245" t="str">
            <v xml:space="preserve">513 </v>
          </cell>
          <cell r="B245">
            <v>90.790400000000005</v>
          </cell>
          <cell r="C245">
            <v>80.444400000000002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151.3159</v>
          </cell>
          <cell r="J245">
            <v>14.247100000000001</v>
          </cell>
          <cell r="K245">
            <v>5.7106000000000003</v>
          </cell>
          <cell r="L245">
            <v>4.2540000000000004</v>
          </cell>
          <cell r="M245">
            <v>0</v>
          </cell>
          <cell r="N245">
            <v>0</v>
          </cell>
          <cell r="O245">
            <v>0</v>
          </cell>
        </row>
        <row r="246">
          <cell r="A246" t="str">
            <v xml:space="preserve">514 </v>
          </cell>
          <cell r="B246">
            <v>217.78200000000001</v>
          </cell>
          <cell r="C246">
            <v>291.73430000000002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849.33969999999999</v>
          </cell>
          <cell r="J246">
            <v>23.184200000000001</v>
          </cell>
          <cell r="K246">
            <v>23.6555</v>
          </cell>
          <cell r="L246">
            <v>18.226700000000001</v>
          </cell>
          <cell r="M246">
            <v>0</v>
          </cell>
          <cell r="N246">
            <v>0</v>
          </cell>
          <cell r="O246">
            <v>0</v>
          </cell>
        </row>
        <row r="247">
          <cell r="A247" t="str">
            <v xml:space="preserve">515 </v>
          </cell>
          <cell r="B247">
            <v>262.31670000000003</v>
          </cell>
          <cell r="C247">
            <v>181.03620000000001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15</v>
          </cell>
          <cell r="I247">
            <v>207.6146</v>
          </cell>
          <cell r="J247">
            <v>51.531700000000001</v>
          </cell>
          <cell r="K247">
            <v>132.17230000000001</v>
          </cell>
          <cell r="L247">
            <v>145.58799999999999</v>
          </cell>
          <cell r="M247">
            <v>0</v>
          </cell>
          <cell r="N247">
            <v>0</v>
          </cell>
          <cell r="O247">
            <v>0</v>
          </cell>
        </row>
        <row r="248">
          <cell r="A248" t="str">
            <v xml:space="preserve">516 </v>
          </cell>
          <cell r="B248">
            <v>97.627200000000002</v>
          </cell>
          <cell r="C248">
            <v>28.340600000000002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88.483200000000011</v>
          </cell>
          <cell r="J248">
            <v>0</v>
          </cell>
          <cell r="K248">
            <v>1.3291000000000002</v>
          </cell>
          <cell r="L248">
            <v>5.8523000000000005</v>
          </cell>
          <cell r="M248">
            <v>0</v>
          </cell>
          <cell r="N248">
            <v>0</v>
          </cell>
          <cell r="O248">
            <v>0</v>
          </cell>
        </row>
        <row r="249">
          <cell r="A249" t="str">
            <v xml:space="preserve">517 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A250" t="str">
            <v xml:space="preserve">518 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A251" t="str">
            <v xml:space="preserve">519 </v>
          </cell>
          <cell r="B251">
            <v>65.697500000000005</v>
          </cell>
          <cell r="C251">
            <v>89.859099999999998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260.43880000000001</v>
          </cell>
          <cell r="J251">
            <v>4.4000000000000004</v>
          </cell>
          <cell r="K251">
            <v>3.8882000000000003</v>
          </cell>
          <cell r="L251">
            <v>21.986499999999999</v>
          </cell>
          <cell r="M251">
            <v>3.8429000000000002</v>
          </cell>
          <cell r="N251">
            <v>0</v>
          </cell>
          <cell r="O251">
            <v>0</v>
          </cell>
        </row>
        <row r="252">
          <cell r="A252" t="str">
            <v xml:space="preserve">520 </v>
          </cell>
          <cell r="B252">
            <v>113.91600000000001</v>
          </cell>
          <cell r="C252">
            <v>9.2279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68.662900000000008</v>
          </cell>
          <cell r="J252">
            <v>6.4981</v>
          </cell>
          <cell r="K252">
            <v>1.5900000000000001E-2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A253" t="str">
            <v xml:space="preserve">521 </v>
          </cell>
          <cell r="B253">
            <v>217.5197</v>
          </cell>
          <cell r="C253">
            <v>34.923200000000001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221.94250000000002</v>
          </cell>
          <cell r="J253">
            <v>0</v>
          </cell>
          <cell r="K253">
            <v>93.283900000000003</v>
          </cell>
          <cell r="L253">
            <v>3.1472000000000002</v>
          </cell>
          <cell r="M253">
            <v>0</v>
          </cell>
          <cell r="N253">
            <v>0</v>
          </cell>
          <cell r="O253">
            <v>0</v>
          </cell>
        </row>
        <row r="254">
          <cell r="A254" t="str">
            <v xml:space="preserve">522 </v>
          </cell>
          <cell r="B254">
            <v>139.4545</v>
          </cell>
          <cell r="C254">
            <v>169.6848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249.61270000000002</v>
          </cell>
          <cell r="J254">
            <v>0.74140000000000006</v>
          </cell>
          <cell r="K254">
            <v>8.4055</v>
          </cell>
          <cell r="L254">
            <v>22.156500000000001</v>
          </cell>
          <cell r="M254">
            <v>0</v>
          </cell>
          <cell r="N254">
            <v>0</v>
          </cell>
          <cell r="O254">
            <v>0</v>
          </cell>
        </row>
        <row r="255">
          <cell r="A255" t="str">
            <v xml:space="preserve">523 </v>
          </cell>
          <cell r="B255">
            <v>149.8673</v>
          </cell>
          <cell r="C255">
            <v>99.898700000000005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132.3767</v>
          </cell>
          <cell r="J255">
            <v>1.2589000000000001</v>
          </cell>
          <cell r="K255">
            <v>18.691400000000002</v>
          </cell>
          <cell r="L255">
            <v>43.023800000000001</v>
          </cell>
          <cell r="M255">
            <v>0</v>
          </cell>
          <cell r="N255">
            <v>0</v>
          </cell>
          <cell r="O255">
            <v>0</v>
          </cell>
        </row>
        <row r="256">
          <cell r="A256" t="str">
            <v xml:space="preserve">524 </v>
          </cell>
          <cell r="B256">
            <v>69.155100000000004</v>
          </cell>
          <cell r="C256">
            <v>30.1342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104.9025</v>
          </cell>
          <cell r="J256">
            <v>0</v>
          </cell>
          <cell r="K256">
            <v>1.8645</v>
          </cell>
          <cell r="L256">
            <v>33.941099999999999</v>
          </cell>
          <cell r="M256">
            <v>0</v>
          </cell>
          <cell r="N256">
            <v>0</v>
          </cell>
          <cell r="O256">
            <v>0</v>
          </cell>
        </row>
        <row r="257">
          <cell r="A257" t="str">
            <v xml:space="preserve">525 </v>
          </cell>
          <cell r="B257">
            <v>63.4268</v>
          </cell>
          <cell r="C257">
            <v>91.124800000000008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159.68290000000002</v>
          </cell>
          <cell r="J257">
            <v>0</v>
          </cell>
          <cell r="K257">
            <v>1.0175000000000001</v>
          </cell>
          <cell r="L257">
            <v>25.6172</v>
          </cell>
          <cell r="M257">
            <v>9.5913000000000004</v>
          </cell>
          <cell r="N257">
            <v>0</v>
          </cell>
          <cell r="O257">
            <v>0</v>
          </cell>
        </row>
        <row r="258">
          <cell r="A258" t="str">
            <v xml:space="preserve">526 </v>
          </cell>
          <cell r="B258">
            <v>107.95400000000001</v>
          </cell>
          <cell r="C258">
            <v>15.076300000000002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171.71290000000002</v>
          </cell>
          <cell r="J258">
            <v>0</v>
          </cell>
          <cell r="K258">
            <v>4.7717000000000001</v>
          </cell>
          <cell r="L258">
            <v>1.6561000000000001</v>
          </cell>
          <cell r="M258">
            <v>0</v>
          </cell>
          <cell r="N258">
            <v>0</v>
          </cell>
          <cell r="O258">
            <v>0</v>
          </cell>
        </row>
        <row r="259">
          <cell r="A259" t="str">
            <v xml:space="preserve">527 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A260" t="str">
            <v xml:space="preserve">528 </v>
          </cell>
          <cell r="B260">
            <v>31.0107</v>
          </cell>
          <cell r="C260">
            <v>24.3474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175.56640000000002</v>
          </cell>
          <cell r="J260">
            <v>3.3600000000000003</v>
          </cell>
          <cell r="K260">
            <v>9.0340000000000007</v>
          </cell>
          <cell r="L260">
            <v>20.0428</v>
          </cell>
          <cell r="M260">
            <v>0</v>
          </cell>
          <cell r="N260">
            <v>0</v>
          </cell>
          <cell r="O260">
            <v>0</v>
          </cell>
        </row>
        <row r="261">
          <cell r="A261" t="str">
            <v xml:space="preserve">529 </v>
          </cell>
          <cell r="B261">
            <v>43.148800000000001</v>
          </cell>
          <cell r="C261">
            <v>45.936300000000003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162.44290000000001</v>
          </cell>
          <cell r="J261">
            <v>0</v>
          </cell>
          <cell r="K261">
            <v>8.2477999999999998</v>
          </cell>
          <cell r="L261">
            <v>0.5857</v>
          </cell>
          <cell r="M261">
            <v>0</v>
          </cell>
          <cell r="N261">
            <v>0</v>
          </cell>
          <cell r="O261">
            <v>0</v>
          </cell>
        </row>
        <row r="262">
          <cell r="A262" t="str">
            <v xml:space="preserve">530 </v>
          </cell>
          <cell r="B262">
            <v>184.2184</v>
          </cell>
          <cell r="C262">
            <v>74.971600000000009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2140.3753000000002</v>
          </cell>
          <cell r="J262">
            <v>8.6474000000000011</v>
          </cell>
          <cell r="K262">
            <v>25.0122</v>
          </cell>
          <cell r="L262">
            <v>9.7833000000000006</v>
          </cell>
          <cell r="M262">
            <v>0</v>
          </cell>
          <cell r="N262">
            <v>0</v>
          </cell>
          <cell r="O262">
            <v>0</v>
          </cell>
        </row>
        <row r="263">
          <cell r="A263" t="str">
            <v xml:space="preserve">531 </v>
          </cell>
          <cell r="B263">
            <v>53.174199999999999</v>
          </cell>
          <cell r="C263">
            <v>55.955400000000004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55.667500000000004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A264" t="str">
            <v xml:space="preserve">532 </v>
          </cell>
          <cell r="B264">
            <v>85.214700000000008</v>
          </cell>
          <cell r="C264">
            <v>55.042999999999999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319.92840000000001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A265" t="str">
            <v xml:space="preserve">533 </v>
          </cell>
          <cell r="B265">
            <v>42.862300000000005</v>
          </cell>
          <cell r="C265">
            <v>24.107400000000002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37.971200000000003</v>
          </cell>
          <cell r="J265">
            <v>0.8347</v>
          </cell>
          <cell r="K265">
            <v>2.1074000000000002</v>
          </cell>
          <cell r="L265">
            <v>0.15460000000000002</v>
          </cell>
          <cell r="M265">
            <v>0</v>
          </cell>
          <cell r="N265">
            <v>0</v>
          </cell>
          <cell r="O265">
            <v>0</v>
          </cell>
        </row>
        <row r="266">
          <cell r="A266" t="str">
            <v xml:space="preserve">534 </v>
          </cell>
          <cell r="B266">
            <v>41.611600000000003</v>
          </cell>
          <cell r="C266">
            <v>1.8984000000000001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30.9603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A267" t="str">
            <v xml:space="preserve">535 </v>
          </cell>
          <cell r="B267">
            <v>38.093299999999999</v>
          </cell>
          <cell r="C267">
            <v>22.246100000000002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34.044699999999999</v>
          </cell>
          <cell r="J267">
            <v>0</v>
          </cell>
          <cell r="K267">
            <v>10.595500000000001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A268" t="str">
            <v xml:space="preserve">536 </v>
          </cell>
          <cell r="B268">
            <v>64.844099999999997</v>
          </cell>
          <cell r="C268">
            <v>19.565000000000001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45.017500000000005</v>
          </cell>
          <cell r="J268">
            <v>0</v>
          </cell>
          <cell r="K268">
            <v>0.32740000000000002</v>
          </cell>
          <cell r="L268">
            <v>132.21190000000001</v>
          </cell>
          <cell r="M268">
            <v>0</v>
          </cell>
          <cell r="N268">
            <v>0</v>
          </cell>
          <cell r="O268">
            <v>0</v>
          </cell>
        </row>
        <row r="269">
          <cell r="A269" t="str">
            <v xml:space="preserve">537 </v>
          </cell>
          <cell r="B269">
            <v>49.316700000000004</v>
          </cell>
          <cell r="C269">
            <v>67.442099999999996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217.9084</v>
          </cell>
          <cell r="J269">
            <v>5.6078000000000001</v>
          </cell>
          <cell r="K269">
            <v>0.55620000000000003</v>
          </cell>
          <cell r="L269">
            <v>20.962500000000002</v>
          </cell>
          <cell r="M269">
            <v>0</v>
          </cell>
          <cell r="N269">
            <v>0</v>
          </cell>
          <cell r="O269">
            <v>0</v>
          </cell>
        </row>
        <row r="270">
          <cell r="A270" t="str">
            <v xml:space="preserve">538 </v>
          </cell>
          <cell r="B270">
            <v>161.41560000000001</v>
          </cell>
          <cell r="C270">
            <v>9.6500000000000002E-2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60.578500000000005</v>
          </cell>
          <cell r="J270">
            <v>0</v>
          </cell>
          <cell r="K270">
            <v>0.35510000000000003</v>
          </cell>
          <cell r="L270">
            <v>5.0000000000000001E-4</v>
          </cell>
          <cell r="M270">
            <v>0</v>
          </cell>
          <cell r="N270">
            <v>0</v>
          </cell>
          <cell r="O270">
            <v>0</v>
          </cell>
        </row>
        <row r="271">
          <cell r="A271" t="str">
            <v xml:space="preserve">539 </v>
          </cell>
          <cell r="B271">
            <v>67.935000000000002</v>
          </cell>
          <cell r="C271">
            <v>1.1680000000000001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50.3446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A272" t="str">
            <v xml:space="preserve">540 </v>
          </cell>
          <cell r="B272">
            <v>52.738700000000001</v>
          </cell>
          <cell r="C272">
            <v>0.96930000000000005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109.33630000000001</v>
          </cell>
          <cell r="J272">
            <v>0.5</v>
          </cell>
          <cell r="K272">
            <v>1.6984000000000001</v>
          </cell>
          <cell r="L272">
            <v>0.4229</v>
          </cell>
          <cell r="M272">
            <v>0</v>
          </cell>
          <cell r="N272">
            <v>0</v>
          </cell>
          <cell r="O272">
            <v>0</v>
          </cell>
        </row>
        <row r="273">
          <cell r="A273" t="str">
            <v xml:space="preserve">541 </v>
          </cell>
          <cell r="B273">
            <v>14.745900000000001</v>
          </cell>
          <cell r="C273">
            <v>10.503500000000001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28.6889</v>
          </cell>
          <cell r="J273">
            <v>1.276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 xml:space="preserve">542 </v>
          </cell>
          <cell r="B274">
            <v>139.631</v>
          </cell>
          <cell r="C274">
            <v>14.2173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207.25300000000001</v>
          </cell>
          <cell r="J274">
            <v>32.545999999999999</v>
          </cell>
          <cell r="K274">
            <v>9.0999999999999998E-2</v>
          </cell>
          <cell r="L274">
            <v>0.49030000000000001</v>
          </cell>
          <cell r="M274">
            <v>0</v>
          </cell>
          <cell r="N274">
            <v>0</v>
          </cell>
          <cell r="O274">
            <v>0</v>
          </cell>
        </row>
        <row r="275">
          <cell r="A275" t="str">
            <v xml:space="preserve">543 </v>
          </cell>
          <cell r="B275">
            <v>65.80380000000001</v>
          </cell>
          <cell r="C275">
            <v>12.914400000000001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34.413200000000003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A276" t="str">
            <v xml:space="preserve">544 </v>
          </cell>
          <cell r="B276">
            <v>12.876100000000001</v>
          </cell>
          <cell r="C276">
            <v>21.021900000000002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40.885600000000004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A277" t="str">
            <v xml:space="preserve">545 </v>
          </cell>
          <cell r="B277">
            <v>61.172900000000006</v>
          </cell>
          <cell r="C277">
            <v>14.684000000000001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68.263800000000003</v>
          </cell>
          <cell r="J277">
            <v>0</v>
          </cell>
          <cell r="K277">
            <v>0.1406</v>
          </cell>
          <cell r="L277">
            <v>1.2390000000000001</v>
          </cell>
          <cell r="M277">
            <v>0</v>
          </cell>
          <cell r="N277">
            <v>0</v>
          </cell>
          <cell r="O277">
            <v>0</v>
          </cell>
        </row>
        <row r="278">
          <cell r="A278" t="str">
            <v xml:space="preserve">546 </v>
          </cell>
          <cell r="B278">
            <v>56.3827</v>
          </cell>
          <cell r="C278">
            <v>9.9701000000000004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57.366500000000002</v>
          </cell>
          <cell r="J278">
            <v>0</v>
          </cell>
          <cell r="K278">
            <v>0.33119999999999999</v>
          </cell>
          <cell r="L278">
            <v>0.82990000000000008</v>
          </cell>
          <cell r="M278">
            <v>0</v>
          </cell>
          <cell r="N278">
            <v>0</v>
          </cell>
          <cell r="O278">
            <v>0</v>
          </cell>
        </row>
        <row r="279">
          <cell r="A279" t="str">
            <v xml:space="preserve">547 </v>
          </cell>
          <cell r="B279">
            <v>59.812900000000006</v>
          </cell>
          <cell r="C279">
            <v>25.996600000000001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80.902100000000004</v>
          </cell>
          <cell r="J279">
            <v>0</v>
          </cell>
          <cell r="K279">
            <v>5.1870000000000003</v>
          </cell>
          <cell r="L279">
            <v>3.8116000000000003</v>
          </cell>
          <cell r="M279">
            <v>0</v>
          </cell>
          <cell r="N279">
            <v>0</v>
          </cell>
          <cell r="O279">
            <v>0</v>
          </cell>
        </row>
        <row r="280">
          <cell r="A280" t="str">
            <v xml:space="preserve">548 </v>
          </cell>
          <cell r="B280">
            <v>13.1495</v>
          </cell>
          <cell r="C280">
            <v>13.8522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63.668100000000003</v>
          </cell>
          <cell r="J280">
            <v>0</v>
          </cell>
          <cell r="K280">
            <v>0.3372</v>
          </cell>
          <cell r="L280">
            <v>5.3867000000000003</v>
          </cell>
          <cell r="M280">
            <v>0</v>
          </cell>
          <cell r="N280">
            <v>0</v>
          </cell>
          <cell r="O280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ProductWis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1"/>
      <sheetName val="2"/>
      <sheetName val="3"/>
      <sheetName val="4"/>
      <sheetName val="5"/>
      <sheetName val="6"/>
      <sheetName val="7"/>
      <sheetName val="BUDGET 2003"/>
      <sheetName val="Funds for HO (C) (2)"/>
      <sheetName val="DEMAND AC (C)"/>
      <sheetName val="Refincnce Working (C)"/>
      <sheetName val="Summary (C)"/>
      <sheetName val="Sh"/>
      <sheetName val="bs check"/>
      <sheetName val="A"/>
      <sheetName val="Sheet3"/>
      <sheetName val="Sheet5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K1" t="str">
            <v xml:space="preserve"> BANK ALFALAH LTD. </v>
          </cell>
        </row>
        <row r="3">
          <cell r="K3" t="str">
            <v>Page-II</v>
          </cell>
        </row>
        <row r="6">
          <cell r="K6" t="str">
            <v>DEPOSIT PROFILE</v>
          </cell>
        </row>
        <row r="8">
          <cell r="S8" t="str">
            <v>(Rs'000)</v>
          </cell>
        </row>
        <row r="9">
          <cell r="L9" t="str">
            <v>ACTUAL</v>
          </cell>
          <cell r="M9" t="str">
            <v>ACTUAL</v>
          </cell>
          <cell r="N9" t="str">
            <v>APPROVED</v>
          </cell>
          <cell r="O9" t="str">
            <v>EXPECTED</v>
          </cell>
          <cell r="P9" t="str">
            <v>BUDGET-2003</v>
          </cell>
        </row>
        <row r="10">
          <cell r="L10">
            <v>2001</v>
          </cell>
          <cell r="M10" t="str">
            <v>SEP'2002</v>
          </cell>
          <cell r="N10" t="str">
            <v>BUDGET</v>
          </cell>
          <cell r="O10" t="str">
            <v>DECEMBER</v>
          </cell>
          <cell r="P10" t="str">
            <v xml:space="preserve">MARCH </v>
          </cell>
          <cell r="Q10" t="str">
            <v xml:space="preserve">JUNE </v>
          </cell>
          <cell r="R10" t="str">
            <v xml:space="preserve">SEPTEMBER </v>
          </cell>
          <cell r="S10" t="str">
            <v>DECEMBER</v>
          </cell>
          <cell r="U10" t="str">
            <v>Average based</v>
          </cell>
          <cell r="V10" t="str">
            <v>Percentage</v>
          </cell>
          <cell r="W10" t="str">
            <v>Cost</v>
          </cell>
        </row>
        <row r="11">
          <cell r="N11" t="str">
            <v>DEC'2002</v>
          </cell>
          <cell r="O11">
            <v>2002</v>
          </cell>
          <cell r="U11" t="str">
            <v xml:space="preserve">on </v>
          </cell>
          <cell r="V11" t="str">
            <v>applied</v>
          </cell>
        </row>
        <row r="12">
          <cell r="U12" t="str">
            <v>5 Quarters</v>
          </cell>
          <cell r="V12" t="str">
            <v>for cost</v>
          </cell>
        </row>
        <row r="13">
          <cell r="K13" t="str">
            <v>TOTAL DEPOSITS</v>
          </cell>
        </row>
        <row r="14">
          <cell r="L14">
            <v>5827799</v>
          </cell>
          <cell r="M14">
            <v>7195086</v>
          </cell>
          <cell r="N14">
            <v>5500000</v>
          </cell>
          <cell r="O14">
            <v>7894731</v>
          </cell>
          <cell r="P14">
            <v>8200000</v>
          </cell>
          <cell r="Q14">
            <v>8500000</v>
          </cell>
          <cell r="R14">
            <v>8700000</v>
          </cell>
          <cell r="S14">
            <v>9000000</v>
          </cell>
          <cell r="U14">
            <v>8458946.1999999993</v>
          </cell>
        </row>
        <row r="18">
          <cell r="K18" t="str">
            <v>TOTAL INTEREST COST</v>
          </cell>
        </row>
        <row r="19">
          <cell r="K19" t="str">
            <v>(Interest/SBP Fees/Profit)</v>
          </cell>
          <cell r="L19">
            <v>409773</v>
          </cell>
          <cell r="M19">
            <v>378249</v>
          </cell>
          <cell r="N19">
            <v>386742</v>
          </cell>
          <cell r="O19">
            <v>497080</v>
          </cell>
          <cell r="P19">
            <v>100936.4835</v>
          </cell>
          <cell r="Q19">
            <v>104234.3125</v>
          </cell>
          <cell r="R19">
            <v>106814.0625</v>
          </cell>
          <cell r="S19">
            <v>109416</v>
          </cell>
          <cell r="U19">
            <v>421400.85849999997</v>
          </cell>
          <cell r="W19">
            <v>421082.87360000005</v>
          </cell>
        </row>
        <row r="20">
          <cell r="T20">
            <v>421400.85850000003</v>
          </cell>
          <cell r="W20">
            <v>4.977958999195433E-2</v>
          </cell>
        </row>
        <row r="21">
          <cell r="K21" t="str">
            <v>Foreign Currency Deposits (Old Accounts)</v>
          </cell>
          <cell r="Q21" t="str">
            <v/>
          </cell>
        </row>
        <row r="23">
          <cell r="K23" t="str">
            <v>Current</v>
          </cell>
          <cell r="L23">
            <v>6414</v>
          </cell>
          <cell r="M23">
            <v>4457</v>
          </cell>
          <cell r="N23">
            <v>4500</v>
          </cell>
          <cell r="O23">
            <v>3219</v>
          </cell>
          <cell r="P23">
            <v>4500</v>
          </cell>
          <cell r="Q23">
            <v>4700</v>
          </cell>
          <cell r="R23">
            <v>4800</v>
          </cell>
          <cell r="S23">
            <v>5000</v>
          </cell>
          <cell r="U23">
            <v>4443.8</v>
          </cell>
          <cell r="W23">
            <v>0</v>
          </cell>
        </row>
        <row r="24">
          <cell r="K24" t="str">
            <v>Call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K25" t="str">
            <v>Savings @0.5%/4</v>
          </cell>
          <cell r="L25">
            <v>502891</v>
          </cell>
          <cell r="M25">
            <v>349638</v>
          </cell>
          <cell r="N25">
            <v>395000</v>
          </cell>
          <cell r="O25">
            <v>261853</v>
          </cell>
          <cell r="P25">
            <v>250000</v>
          </cell>
          <cell r="Q25">
            <v>230000</v>
          </cell>
          <cell r="R25">
            <v>225000</v>
          </cell>
          <cell r="S25">
            <v>200000</v>
          </cell>
          <cell r="U25">
            <v>233370.6</v>
          </cell>
          <cell r="V25">
            <v>5.0000000000000001E-3</v>
          </cell>
          <cell r="W25">
            <v>1166.8530000000001</v>
          </cell>
        </row>
        <row r="29">
          <cell r="K29" t="str">
            <v>Term @0.5%/4</v>
          </cell>
          <cell r="L29">
            <v>146960</v>
          </cell>
          <cell r="M29">
            <v>68438</v>
          </cell>
          <cell r="N29">
            <v>51000</v>
          </cell>
          <cell r="O29">
            <v>38022</v>
          </cell>
          <cell r="P29">
            <v>41000</v>
          </cell>
          <cell r="Q29">
            <v>36000</v>
          </cell>
          <cell r="R29">
            <v>30000</v>
          </cell>
          <cell r="S29">
            <v>20000</v>
          </cell>
          <cell r="U29">
            <v>33004.400000000001</v>
          </cell>
          <cell r="V29">
            <v>5.0000000000000001E-3</v>
          </cell>
          <cell r="W29">
            <v>165.02200000000002</v>
          </cell>
        </row>
        <row r="30">
          <cell r="K30" t="str">
            <v>NDRP @9%/4</v>
          </cell>
          <cell r="O30">
            <v>15000</v>
          </cell>
          <cell r="P30">
            <v>24000</v>
          </cell>
          <cell r="Q30">
            <v>0</v>
          </cell>
          <cell r="R30">
            <v>0</v>
          </cell>
          <cell r="S30">
            <v>0</v>
          </cell>
          <cell r="U30">
            <v>7800</v>
          </cell>
          <cell r="V30">
            <v>0.09</v>
          </cell>
          <cell r="W30">
            <v>702</v>
          </cell>
        </row>
        <row r="31">
          <cell r="K31" t="str">
            <v>Others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K32" t="str">
            <v>Total :</v>
          </cell>
          <cell r="L32">
            <v>656265</v>
          </cell>
          <cell r="M32">
            <v>422533</v>
          </cell>
          <cell r="N32">
            <v>450500</v>
          </cell>
          <cell r="O32">
            <v>318094</v>
          </cell>
          <cell r="P32">
            <v>319500</v>
          </cell>
          <cell r="Q32">
            <v>270700</v>
          </cell>
          <cell r="R32">
            <v>259800</v>
          </cell>
          <cell r="S32">
            <v>225000</v>
          </cell>
          <cell r="U32">
            <v>278618.8</v>
          </cell>
        </row>
        <row r="33">
          <cell r="K33" t="str">
            <v>Average FCY(old) deposit</v>
          </cell>
          <cell r="P33">
            <v>318797</v>
          </cell>
          <cell r="Q33">
            <v>295100</v>
          </cell>
          <cell r="R33">
            <v>265250</v>
          </cell>
          <cell r="S33">
            <v>242400</v>
          </cell>
        </row>
        <row r="34">
          <cell r="K34" t="str">
            <v>Cost Savings</v>
          </cell>
          <cell r="P34">
            <v>319.90812499999998</v>
          </cell>
          <cell r="Q34">
            <v>300</v>
          </cell>
          <cell r="R34">
            <v>284.375</v>
          </cell>
          <cell r="S34">
            <v>265.625</v>
          </cell>
          <cell r="T34">
            <v>1169.9081249999999</v>
          </cell>
        </row>
        <row r="35">
          <cell r="K35" t="str">
            <v>Cost Term</v>
          </cell>
          <cell r="P35">
            <v>49.388750000000002</v>
          </cell>
          <cell r="Q35">
            <v>48.125</v>
          </cell>
          <cell r="R35">
            <v>41.25</v>
          </cell>
          <cell r="S35">
            <v>31.25</v>
          </cell>
          <cell r="T35">
            <v>170.01375000000002</v>
          </cell>
        </row>
        <row r="36">
          <cell r="K36" t="str">
            <v>Cost NDRP</v>
          </cell>
          <cell r="P36">
            <v>438.75</v>
          </cell>
          <cell r="Q36">
            <v>270</v>
          </cell>
          <cell r="R36">
            <v>0</v>
          </cell>
          <cell r="S36">
            <v>0</v>
          </cell>
          <cell r="T36">
            <v>708.75</v>
          </cell>
        </row>
        <row r="37">
          <cell r="K37" t="str">
            <v>SBP Cover Fee</v>
          </cell>
          <cell r="P37">
            <v>6375.9400000000005</v>
          </cell>
          <cell r="Q37">
            <v>5902</v>
          </cell>
          <cell r="R37">
            <v>5305</v>
          </cell>
          <cell r="S37">
            <v>4848</v>
          </cell>
          <cell r="T37">
            <v>22430.940000000002</v>
          </cell>
        </row>
        <row r="38">
          <cell r="T38">
            <v>24479.611875000002</v>
          </cell>
        </row>
        <row r="43">
          <cell r="K43" t="str">
            <v>Interest Cost (Old Fcy)</v>
          </cell>
          <cell r="L43">
            <v>15612</v>
          </cell>
          <cell r="M43">
            <v>6189</v>
          </cell>
          <cell r="N43">
            <v>8870</v>
          </cell>
          <cell r="O43">
            <v>7890</v>
          </cell>
          <cell r="P43">
            <v>808.046875</v>
          </cell>
          <cell r="Q43">
            <v>618.125</v>
          </cell>
          <cell r="R43">
            <v>325.625</v>
          </cell>
          <cell r="S43">
            <v>296.875</v>
          </cell>
          <cell r="W43">
            <v>2033.875</v>
          </cell>
        </row>
        <row r="44">
          <cell r="K44" t="str">
            <v>SBP Fees (Old Fcy) @8%/4</v>
          </cell>
          <cell r="L44">
            <v>62607</v>
          </cell>
          <cell r="M44">
            <v>31177</v>
          </cell>
          <cell r="N44">
            <v>42454</v>
          </cell>
          <cell r="O44">
            <v>37220</v>
          </cell>
          <cell r="P44">
            <v>6375.9400000000005</v>
          </cell>
          <cell r="Q44">
            <v>5902</v>
          </cell>
          <cell r="R44">
            <v>5305</v>
          </cell>
          <cell r="S44">
            <v>4848</v>
          </cell>
          <cell r="V44">
            <v>0.08</v>
          </cell>
          <cell r="W44">
            <v>22289.504000000001</v>
          </cell>
        </row>
        <row r="45">
          <cell r="K45" t="str">
            <v>Total:</v>
          </cell>
          <cell r="L45">
            <v>78219</v>
          </cell>
          <cell r="M45">
            <v>37366</v>
          </cell>
          <cell r="N45">
            <v>51324</v>
          </cell>
          <cell r="O45">
            <v>45110</v>
          </cell>
          <cell r="P45">
            <v>7183.9868750000005</v>
          </cell>
          <cell r="Q45">
            <v>6520.125</v>
          </cell>
          <cell r="R45">
            <v>5630.625</v>
          </cell>
          <cell r="S45">
            <v>5144.875</v>
          </cell>
          <cell r="W45">
            <v>24323.379000000001</v>
          </cell>
        </row>
        <row r="46">
          <cell r="K46" t="str">
            <v>Interest / Profit Cost (%)</v>
          </cell>
          <cell r="L46">
            <v>656265</v>
          </cell>
          <cell r="M46">
            <v>37366</v>
          </cell>
          <cell r="N46">
            <v>0</v>
          </cell>
          <cell r="P46">
            <v>9.0138701117011777E-2</v>
          </cell>
          <cell r="Q46">
            <v>8.8378515757370379E-2</v>
          </cell>
          <cell r="R46">
            <v>8.4910461828463693E-2</v>
          </cell>
          <cell r="S46">
            <v>8.4898927392739257E-2</v>
          </cell>
          <cell r="W46">
            <v>8.7299848395011398E-2</v>
          </cell>
        </row>
        <row r="49">
          <cell r="K49" t="str">
            <v>Foreign Currency Deposits (New Accounts)</v>
          </cell>
        </row>
        <row r="51">
          <cell r="K51" t="str">
            <v>Current</v>
          </cell>
          <cell r="L51">
            <v>12824</v>
          </cell>
          <cell r="M51">
            <v>20259</v>
          </cell>
          <cell r="N51">
            <v>14000</v>
          </cell>
          <cell r="O51">
            <v>13610</v>
          </cell>
          <cell r="P51">
            <v>20000</v>
          </cell>
          <cell r="Q51">
            <v>20000</v>
          </cell>
          <cell r="R51">
            <v>20000</v>
          </cell>
          <cell r="S51">
            <v>20000</v>
          </cell>
          <cell r="U51">
            <v>18722</v>
          </cell>
          <cell r="W51">
            <v>0</v>
          </cell>
        </row>
        <row r="52">
          <cell r="K52" t="str">
            <v>Call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>
            <v>0</v>
          </cell>
        </row>
        <row r="56">
          <cell r="K56" t="str">
            <v>Savings @1.35%/4</v>
          </cell>
          <cell r="L56">
            <v>838018</v>
          </cell>
          <cell r="M56">
            <v>745386</v>
          </cell>
          <cell r="N56">
            <v>944000</v>
          </cell>
          <cell r="O56">
            <v>874924</v>
          </cell>
          <cell r="P56">
            <v>900000</v>
          </cell>
          <cell r="Q56">
            <v>925000</v>
          </cell>
          <cell r="R56">
            <v>925000</v>
          </cell>
          <cell r="S56">
            <v>930000</v>
          </cell>
          <cell r="U56">
            <v>910984.8</v>
          </cell>
          <cell r="V56">
            <v>1.35E-2</v>
          </cell>
          <cell r="W56">
            <v>12298.2948</v>
          </cell>
        </row>
        <row r="57">
          <cell r="K57" t="str">
            <v>Term @1.75%/4</v>
          </cell>
          <cell r="L57">
            <v>130319</v>
          </cell>
          <cell r="M57">
            <v>147651</v>
          </cell>
          <cell r="N57">
            <v>137500</v>
          </cell>
          <cell r="O57">
            <v>134870</v>
          </cell>
          <cell r="P57">
            <v>175000</v>
          </cell>
          <cell r="Q57">
            <v>155000</v>
          </cell>
          <cell r="R57">
            <v>165000</v>
          </cell>
          <cell r="S57">
            <v>170000</v>
          </cell>
          <cell r="U57">
            <v>159974</v>
          </cell>
          <cell r="V57">
            <v>1.7500000000000002E-2</v>
          </cell>
          <cell r="W57">
            <v>2799.5450000000001</v>
          </cell>
        </row>
        <row r="58">
          <cell r="K58" t="str">
            <v>Others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</row>
        <row r="59">
          <cell r="K59" t="str">
            <v>Total :</v>
          </cell>
          <cell r="L59">
            <v>981161</v>
          </cell>
          <cell r="M59">
            <v>913296</v>
          </cell>
          <cell r="N59">
            <v>1095500</v>
          </cell>
          <cell r="O59">
            <v>1023404</v>
          </cell>
          <cell r="P59">
            <v>1095000</v>
          </cell>
          <cell r="Q59">
            <v>1100000</v>
          </cell>
          <cell r="R59">
            <v>1110000</v>
          </cell>
          <cell r="S59">
            <v>1120000</v>
          </cell>
          <cell r="U59">
            <v>1089680.8</v>
          </cell>
        </row>
        <row r="60">
          <cell r="K60" t="str">
            <v>Average New FCY</v>
          </cell>
          <cell r="P60">
            <v>1059202</v>
          </cell>
          <cell r="Q60">
            <v>1097500</v>
          </cell>
          <cell r="R60">
            <v>1105000</v>
          </cell>
          <cell r="S60">
            <v>1115000</v>
          </cell>
        </row>
        <row r="64">
          <cell r="K64" t="str">
            <v>Cost Saving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2995.1842499999998</v>
          </cell>
          <cell r="Q64">
            <v>3079.6875</v>
          </cell>
          <cell r="R64">
            <v>3121.875</v>
          </cell>
          <cell r="S64">
            <v>3130.3125</v>
          </cell>
          <cell r="T64">
            <v>12327.05925</v>
          </cell>
          <cell r="U64">
            <v>2465.41185</v>
          </cell>
        </row>
        <row r="65">
          <cell r="K65" t="str">
            <v>Cost Term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677.84062500000005</v>
          </cell>
          <cell r="Q65">
            <v>721.87500000000011</v>
          </cell>
          <cell r="R65">
            <v>700.00000000000011</v>
          </cell>
          <cell r="S65">
            <v>732.81250000000011</v>
          </cell>
          <cell r="T65">
            <v>2832.5281250000003</v>
          </cell>
          <cell r="U65">
            <v>566.50562500000001</v>
          </cell>
        </row>
        <row r="66">
          <cell r="T66">
            <v>15159.587375000001</v>
          </cell>
        </row>
        <row r="67">
          <cell r="K67" t="str">
            <v>Interest Cost(New Fcy)</v>
          </cell>
          <cell r="L67">
            <v>20306</v>
          </cell>
          <cell r="M67">
            <v>9985</v>
          </cell>
          <cell r="N67">
            <v>15686</v>
          </cell>
          <cell r="O67">
            <v>10287</v>
          </cell>
          <cell r="P67">
            <v>3673.0248750000001</v>
          </cell>
          <cell r="Q67">
            <v>3801.5625</v>
          </cell>
          <cell r="R67">
            <v>3821.875</v>
          </cell>
          <cell r="S67">
            <v>3863.125</v>
          </cell>
          <cell r="W67">
            <v>15097.8398</v>
          </cell>
        </row>
        <row r="68">
          <cell r="K68" t="str">
            <v>Interest / Profit Cost (%)</v>
          </cell>
          <cell r="L68">
            <v>0</v>
          </cell>
          <cell r="M68">
            <v>0</v>
          </cell>
          <cell r="N68">
            <v>0</v>
          </cell>
          <cell r="O68">
            <v>1.0051748869459178E-2</v>
          </cell>
          <cell r="P68">
            <v>1.3870913668969658E-2</v>
          </cell>
          <cell r="Q68">
            <v>1.3855353075170843E-2</v>
          </cell>
          <cell r="R68">
            <v>1.3834841628959276E-2</v>
          </cell>
          <cell r="S68">
            <v>1.3858744394618835E-2</v>
          </cell>
          <cell r="W68">
            <v>1.3855286612373091E-2</v>
          </cell>
        </row>
        <row r="71">
          <cell r="K71" t="str">
            <v xml:space="preserve">Local Currency Deposits </v>
          </cell>
        </row>
        <row r="73">
          <cell r="K73" t="str">
            <v>Current</v>
          </cell>
          <cell r="L73">
            <v>188637</v>
          </cell>
          <cell r="M73">
            <v>323191</v>
          </cell>
          <cell r="N73">
            <v>266600</v>
          </cell>
          <cell r="O73">
            <v>308836</v>
          </cell>
          <cell r="P73">
            <v>350000</v>
          </cell>
          <cell r="Q73">
            <v>350000</v>
          </cell>
          <cell r="R73">
            <v>350000</v>
          </cell>
          <cell r="S73">
            <v>380000</v>
          </cell>
          <cell r="U73">
            <v>347767.2</v>
          </cell>
          <cell r="W73">
            <v>0</v>
          </cell>
        </row>
        <row r="74">
          <cell r="K74" t="str">
            <v>Call</v>
          </cell>
          <cell r="L74">
            <v>51176</v>
          </cell>
          <cell r="M74">
            <v>8448</v>
          </cell>
          <cell r="N74">
            <v>6000</v>
          </cell>
          <cell r="O74">
            <v>28827</v>
          </cell>
          <cell r="P74">
            <v>8000</v>
          </cell>
          <cell r="Q74">
            <v>9000</v>
          </cell>
          <cell r="R74">
            <v>10000</v>
          </cell>
          <cell r="S74">
            <v>10000</v>
          </cell>
          <cell r="U74">
            <v>13165.4</v>
          </cell>
          <cell r="W74">
            <v>0</v>
          </cell>
        </row>
        <row r="78">
          <cell r="K78" t="str">
            <v>Savings @ 4%/4</v>
          </cell>
          <cell r="L78">
            <v>102466</v>
          </cell>
          <cell r="M78">
            <v>165822</v>
          </cell>
          <cell r="N78">
            <v>120000</v>
          </cell>
          <cell r="O78">
            <v>147207</v>
          </cell>
          <cell r="P78">
            <v>200000</v>
          </cell>
          <cell r="Q78">
            <v>200000</v>
          </cell>
          <cell r="R78">
            <v>210000</v>
          </cell>
          <cell r="S78">
            <v>230000</v>
          </cell>
          <cell r="U78">
            <v>197441.4</v>
          </cell>
          <cell r="V78">
            <v>0.04</v>
          </cell>
          <cell r="W78">
            <v>7897.6559999999999</v>
          </cell>
        </row>
        <row r="79">
          <cell r="K79" t="str">
            <v>PLS Royal @4.5%/4</v>
          </cell>
          <cell r="L79">
            <v>1988617</v>
          </cell>
          <cell r="M79">
            <v>2599806</v>
          </cell>
          <cell r="N79">
            <v>1885000</v>
          </cell>
          <cell r="O79">
            <v>3265072</v>
          </cell>
          <cell r="P79">
            <v>3000000</v>
          </cell>
          <cell r="Q79">
            <v>3145300</v>
          </cell>
          <cell r="R79">
            <v>3230200</v>
          </cell>
          <cell r="S79">
            <v>3400000</v>
          </cell>
          <cell r="U79">
            <v>3208114.4</v>
          </cell>
          <cell r="V79">
            <v>4.4999999999999998E-2</v>
          </cell>
          <cell r="W79">
            <v>144365.14799999999</v>
          </cell>
        </row>
        <row r="80">
          <cell r="K80" t="str">
            <v>PLS Patriot @ 5.5%/4</v>
          </cell>
          <cell r="L80">
            <v>993472</v>
          </cell>
          <cell r="M80">
            <v>1537445</v>
          </cell>
          <cell r="N80">
            <v>700000</v>
          </cell>
          <cell r="O80">
            <v>1520931</v>
          </cell>
          <cell r="P80">
            <v>1887500</v>
          </cell>
          <cell r="Q80">
            <v>2200000</v>
          </cell>
          <cell r="R80">
            <v>2400000</v>
          </cell>
          <cell r="S80">
            <v>2600000</v>
          </cell>
          <cell r="U80">
            <v>2121686.2000000002</v>
          </cell>
          <cell r="V80">
            <v>5.5E-2</v>
          </cell>
          <cell r="W80">
            <v>116692.74100000001</v>
          </cell>
        </row>
        <row r="82">
          <cell r="K82" t="str">
            <v>PLS Royal Group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U82">
            <v>0</v>
          </cell>
        </row>
        <row r="84">
          <cell r="T84" t="str">
            <v>Wapda four Qtr</v>
          </cell>
          <cell r="W84">
            <v>9750</v>
          </cell>
        </row>
        <row r="85">
          <cell r="K85" t="str">
            <v>Term @5.4%/4</v>
          </cell>
          <cell r="L85">
            <v>831388</v>
          </cell>
          <cell r="M85">
            <v>1202781</v>
          </cell>
          <cell r="N85">
            <v>945000</v>
          </cell>
          <cell r="O85">
            <v>638156</v>
          </cell>
          <cell r="P85">
            <v>695000</v>
          </cell>
          <cell r="Q85">
            <v>580000</v>
          </cell>
          <cell r="R85">
            <v>475000</v>
          </cell>
          <cell r="S85">
            <v>370000</v>
          </cell>
          <cell r="U85">
            <v>551631.19999999995</v>
          </cell>
          <cell r="V85">
            <v>5.3999999999999999E-2</v>
          </cell>
          <cell r="W85">
            <v>29788.084799999997</v>
          </cell>
        </row>
        <row r="86">
          <cell r="K86" t="str">
            <v>Nazria Pak/ Police Foundation 14%/4</v>
          </cell>
          <cell r="O86">
            <v>220000</v>
          </cell>
          <cell r="P86">
            <v>220000</v>
          </cell>
          <cell r="Q86">
            <v>220000</v>
          </cell>
          <cell r="R86">
            <v>220000</v>
          </cell>
          <cell r="S86">
            <v>220000</v>
          </cell>
          <cell r="U86">
            <v>220000</v>
          </cell>
          <cell r="V86">
            <v>0.14000000000000001</v>
          </cell>
          <cell r="W86">
            <v>30800.000000000004</v>
          </cell>
        </row>
        <row r="87">
          <cell r="K87" t="str">
            <v>Anmol Deposit Certificates 10.5%/4</v>
          </cell>
          <cell r="O87">
            <v>402525</v>
          </cell>
          <cell r="P87">
            <v>400000</v>
          </cell>
          <cell r="Q87">
            <v>400000</v>
          </cell>
          <cell r="R87">
            <v>405000</v>
          </cell>
          <cell r="S87">
            <v>410000</v>
          </cell>
          <cell r="U87">
            <v>403505</v>
          </cell>
          <cell r="V87">
            <v>0.105</v>
          </cell>
          <cell r="W87">
            <v>42368.025000000001</v>
          </cell>
        </row>
        <row r="88">
          <cell r="K88" t="str">
            <v>Others</v>
          </cell>
          <cell r="L88">
            <v>34617</v>
          </cell>
          <cell r="M88">
            <v>21764</v>
          </cell>
          <cell r="N88">
            <v>31400</v>
          </cell>
          <cell r="O88">
            <v>21679</v>
          </cell>
          <cell r="P88">
            <v>25000</v>
          </cell>
          <cell r="Q88">
            <v>25000</v>
          </cell>
          <cell r="R88">
            <v>30000</v>
          </cell>
          <cell r="S88">
            <v>35000</v>
          </cell>
          <cell r="U88">
            <v>27335.8</v>
          </cell>
        </row>
        <row r="89">
          <cell r="K89" t="str">
            <v>Total</v>
          </cell>
          <cell r="L89">
            <v>4190373</v>
          </cell>
          <cell r="M89">
            <v>5859257</v>
          </cell>
          <cell r="N89">
            <v>3954000</v>
          </cell>
          <cell r="O89">
            <v>6553233</v>
          </cell>
          <cell r="P89">
            <v>6785500</v>
          </cell>
          <cell r="Q89">
            <v>7129300</v>
          </cell>
          <cell r="R89">
            <v>7330200</v>
          </cell>
          <cell r="S89">
            <v>7655000</v>
          </cell>
          <cell r="U89">
            <v>7090646.5999999996</v>
          </cell>
        </row>
        <row r="90">
          <cell r="K90" t="str">
            <v>Average LCY deposit</v>
          </cell>
          <cell r="P90">
            <v>6669366.5</v>
          </cell>
          <cell r="Q90">
            <v>6957400</v>
          </cell>
          <cell r="R90">
            <v>7229750</v>
          </cell>
          <cell r="S90">
            <v>7492600</v>
          </cell>
        </row>
        <row r="91">
          <cell r="K91" t="str">
            <v>Cost Savings</v>
          </cell>
          <cell r="P91">
            <v>1736.0350000000001</v>
          </cell>
          <cell r="Q91">
            <v>2000</v>
          </cell>
          <cell r="R91">
            <v>2050</v>
          </cell>
          <cell r="S91">
            <v>2200</v>
          </cell>
          <cell r="T91">
            <v>7986.0349999999999</v>
          </cell>
        </row>
        <row r="93">
          <cell r="K93" t="str">
            <v>Cost PLS Royal</v>
          </cell>
          <cell r="P93">
            <v>35241.03</v>
          </cell>
          <cell r="Q93">
            <v>34567.3125</v>
          </cell>
          <cell r="R93">
            <v>35862.1875</v>
          </cell>
          <cell r="S93">
            <v>37294.875</v>
          </cell>
          <cell r="T93">
            <v>142965.405</v>
          </cell>
        </row>
        <row r="94">
          <cell r="K94" t="str">
            <v>Term / Patriot Wapda (Rs.1.3B @1.5%)</v>
          </cell>
          <cell r="P94">
            <v>2437.5</v>
          </cell>
          <cell r="Q94">
            <v>2437.5</v>
          </cell>
          <cell r="R94">
            <v>2437.5</v>
          </cell>
          <cell r="S94">
            <v>2437.5</v>
          </cell>
          <cell r="T94">
            <v>9750</v>
          </cell>
        </row>
        <row r="95">
          <cell r="K95" t="str">
            <v>Cost PLS Patriot</v>
          </cell>
          <cell r="P95">
            <v>23432.963124999998</v>
          </cell>
          <cell r="Q95">
            <v>28101.5625</v>
          </cell>
          <cell r="R95">
            <v>31625</v>
          </cell>
          <cell r="S95">
            <v>34375</v>
          </cell>
          <cell r="T95">
            <v>117534.52562499999</v>
          </cell>
        </row>
        <row r="96">
          <cell r="K96" t="str">
            <v>Cost Term</v>
          </cell>
          <cell r="P96">
            <v>8998.8029999999999</v>
          </cell>
          <cell r="Q96">
            <v>8606.25</v>
          </cell>
          <cell r="R96">
            <v>7121.25</v>
          </cell>
          <cell r="S96">
            <v>5703.75</v>
          </cell>
          <cell r="T96">
            <v>30430.053</v>
          </cell>
        </row>
        <row r="97">
          <cell r="K97" t="str">
            <v>Nazria Pak/ Police Foundation</v>
          </cell>
          <cell r="P97">
            <v>7700.0000000000009</v>
          </cell>
          <cell r="Q97">
            <v>7700.0000000000009</v>
          </cell>
          <cell r="R97">
            <v>7700.0000000000009</v>
          </cell>
          <cell r="S97">
            <v>7700.0000000000009</v>
          </cell>
          <cell r="T97">
            <v>30800.000000000004</v>
          </cell>
        </row>
        <row r="98">
          <cell r="K98" t="str">
            <v>Cost Anmol Dep Cert</v>
          </cell>
          <cell r="P98">
            <v>10533.140625</v>
          </cell>
          <cell r="Q98">
            <v>10500</v>
          </cell>
          <cell r="R98">
            <v>10565.625</v>
          </cell>
          <cell r="S98">
            <v>10696.875</v>
          </cell>
          <cell r="T98">
            <v>42295.640625</v>
          </cell>
        </row>
        <row r="99">
          <cell r="T99">
            <v>381761.65925000003</v>
          </cell>
        </row>
        <row r="101">
          <cell r="K101" t="str">
            <v>PROFIT COST (Lcy)</v>
          </cell>
          <cell r="L101">
            <v>311248</v>
          </cell>
          <cell r="M101">
            <v>330898</v>
          </cell>
          <cell r="N101">
            <v>319732</v>
          </cell>
          <cell r="O101">
            <v>441683</v>
          </cell>
          <cell r="P101">
            <v>90079.471749999997</v>
          </cell>
          <cell r="Q101">
            <v>93912.625</v>
          </cell>
          <cell r="R101">
            <v>97361.5625</v>
          </cell>
          <cell r="S101">
            <v>100408</v>
          </cell>
          <cell r="W101">
            <v>381661.65480000002</v>
          </cell>
        </row>
        <row r="102">
          <cell r="K102" t="str">
            <v>Interest / Profit Cost (%)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5.4025803950045331E-2</v>
          </cell>
          <cell r="Q102">
            <v>5.3992942765975799E-2</v>
          </cell>
          <cell r="R102">
            <v>5.386718074622221E-2</v>
          </cell>
          <cell r="S102">
            <v>5.3603822438138965E-2</v>
          </cell>
          <cell r="W102">
            <v>5.3826072053851905E-2</v>
          </cell>
        </row>
        <row r="103">
          <cell r="U103" t="str">
            <v>Cost Old + LCY</v>
          </cell>
          <cell r="W103">
            <v>5.5126427001122809E-2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2003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M"/>
      <sheetName val="DALY"/>
      <sheetName val="O-N"/>
      <sheetName val="F-HL"/>
      <sheetName val="F-RR"/>
      <sheetName val="F-REP"/>
      <sheetName val="T-HL"/>
      <sheetName val="T.REP"/>
      <sheetName val="T.RR"/>
      <sheetName val="P-HL"/>
      <sheetName val="P-RR"/>
      <sheetName val="P-REP"/>
      <sheetName val="TFC-H"/>
      <sheetName val="TFC-RR"/>
      <sheetName val="NIT"/>
      <sheetName val="COI"/>
      <sheetName val="SHR"/>
      <sheetName val="SHR-RR"/>
      <sheetName val="TENOR"/>
      <sheetName val="SUM"/>
      <sheetName val="SUM1"/>
      <sheetName val="SHAMS"/>
      <sheetName val="BR"/>
      <sheetName val="AMOR"/>
      <sheetName val="MTM"/>
      <sheetName val="AVA"/>
      <sheetName val="KH-32"/>
      <sheetName val="PREV"/>
      <sheetName val="HO"/>
      <sheetName val="ACCT"/>
      <sheetName val="ANA"/>
      <sheetName val="IN-EX"/>
      <sheetName val="TBPRICE"/>
      <sheetName val="B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t²"/>
      <sheetName val="nt__2"/>
      <sheetName val="nt__3"/>
      <sheetName val="nt__4"/>
      <sheetName val="Total Adjustments"/>
      <sheetName val="Assets (2)"/>
      <sheetName val="Balance Sheet"/>
      <sheetName val="p&amp;l"/>
      <sheetName val="CashFlow"/>
      <sheetName val="Statement of Ch"/>
      <sheetName val="Notes1-5"/>
      <sheetName val="Note6-8.2"/>
      <sheetName val="Note9-9.6"/>
      <sheetName val="Note 9.7-9.8"/>
      <sheetName val="Notes10-10.4.2"/>
      <sheetName val="10.5-11.3"/>
      <sheetName val="Note 12"/>
      <sheetName val="Note12.3-15.1"/>
      <sheetName val="Note16-21.1"/>
      <sheetName val="Note22-22.7"/>
      <sheetName val="Notes25-26.1"/>
      <sheetName val="Notes26.2-32"/>
      <sheetName val="Notes33-34"/>
      <sheetName val="Notes39-40"/>
      <sheetName val="Notes41-42.1"/>
      <sheetName val="Notes41-42.1 (2)"/>
      <sheetName val="Notes42.2-44"/>
      <sheetName val="Note 45"/>
      <sheetName val="Annexure"/>
      <sheetName val="affair"/>
      <sheetName val="inc-exp"/>
      <sheetName val="pinex"/>
      <sheetName val="Currency-expo"/>
      <sheetName val="YieldAd"/>
      <sheetName val="YieldAd-net"/>
      <sheetName val="MaturLiabili"/>
      <sheetName val="MaturiAssets"/>
      <sheetName val="YielDeposit"/>
      <sheetName val="Sheet1"/>
      <sheetName val="Sheet2"/>
      <sheetName val="Sheet3"/>
      <sheetName val="Notes(New)39-40"/>
      <sheetName val="Sheet6"/>
      <sheetName val="Deferred (2)"/>
      <sheetName val="Taxrelief"/>
      <sheetName val="OLD"/>
      <sheetName val="Assets"/>
      <sheetName val="Sheet4"/>
      <sheetName val="Defeered Work"/>
      <sheetName val="Liabiliteis"/>
      <sheetName val="Sheet2 (2)"/>
      <sheetName val="Sheet3 (2)"/>
      <sheetName val="Chart1"/>
      <sheetName val="Sheet1 (2)"/>
      <sheetName val="Lease"/>
      <sheetName val="PremiumMaturity"/>
      <sheetName val="NEWAD"/>
      <sheetName val="Total_Adjustments"/>
      <sheetName val="Assets_(2)"/>
      <sheetName val="Balance_Sheet"/>
      <sheetName val="Statement_of_Ch"/>
      <sheetName val="Note6-8_2"/>
      <sheetName val="Note9-9_6"/>
      <sheetName val="Note_9_7-9_8"/>
      <sheetName val="Notes10-10_4_2"/>
      <sheetName val="10_5-11_3"/>
      <sheetName val="Note_12"/>
      <sheetName val="Note12_3-15_1"/>
      <sheetName val="Note16-21_1"/>
      <sheetName val="Note22-22_7"/>
      <sheetName val="Notes25-26_1"/>
      <sheetName val="Notes26_2-32"/>
      <sheetName val="Notes41-42_1"/>
      <sheetName val="Notes41-42_1_(2)"/>
      <sheetName val="Notes42_2-44"/>
      <sheetName val="Note_45"/>
      <sheetName val="Deferred_(2)"/>
      <sheetName val="Defeered_Work"/>
      <sheetName val="Sheet2_(2)"/>
      <sheetName val="Sheet3_(2)"/>
      <sheetName val="Sheet1_(2)"/>
      <sheetName val="pinex (2)"/>
      <sheetName val="Notes1_5"/>
      <sheetName val="Assignmentform"/>
      <sheetName val="Liquidity"/>
      <sheetName val="PNSC"/>
      <sheetName val="CFR-5"/>
      <sheetName val="Links"/>
      <sheetName val="Rate Input"/>
      <sheetName val="Profit Worksheet"/>
      <sheetName val="SHF-1026-EXP"/>
      <sheetName val="SITE-1001-P&amp;L"/>
      <sheetName val="CLM-1012-P&amp;L"/>
      <sheetName val="SHF-1026-P&amp;L"/>
      <sheetName val="KRG-1002-P&amp;L"/>
      <sheetName val="MAIN-1003-P&amp;L"/>
      <sheetName val="KSE-1010-P&amp;L"/>
      <sheetName val="JODIA-1011-P&amp;L"/>
      <sheetName val="JODIA-1011-EXP"/>
      <sheetName val="CLM-1012-EXP"/>
      <sheetName val="SITE-1001-EXP"/>
      <sheetName val="KRG-1002-EXP"/>
      <sheetName val="MAIN-1003-EXP"/>
      <sheetName val="Note1_11"/>
      <sheetName val="Total_Adjustments1"/>
      <sheetName val="Assets_(2)1"/>
      <sheetName val="Balance_Sheet1"/>
      <sheetName val="Statement_of_Ch1"/>
      <sheetName val="Note6-8_21"/>
      <sheetName val="Note9-9_61"/>
      <sheetName val="Note_9_7-9_81"/>
      <sheetName val="Notes10-10_4_21"/>
      <sheetName val="10_5-11_31"/>
      <sheetName val="Note_121"/>
      <sheetName val="Note12_3-15_11"/>
      <sheetName val="Note16-21_11"/>
      <sheetName val="Note22-22_71"/>
      <sheetName val="Notes25-26_11"/>
      <sheetName val="Notes26_2-321"/>
      <sheetName val="Notes41-42_11"/>
      <sheetName val="Notes41-42_1_(2)1"/>
      <sheetName val="Notes42_2-441"/>
      <sheetName val="Note_451"/>
      <sheetName val="Deferred_(2)1"/>
      <sheetName val="Defeered_Work1"/>
      <sheetName val="Sheet2_(2)1"/>
      <sheetName val="Sheet3_(2)1"/>
      <sheetName val="Sheet1_(2)1"/>
      <sheetName val="acct"/>
      <sheetName val="A"/>
      <sheetName val="CliftonMain-1003-P&amp;L"/>
      <sheetName val="CliftonMain-1003-EXP"/>
      <sheetName val="SALARY"/>
      <sheetName val="Parameters"/>
      <sheetName val="broker sheet-2"/>
      <sheetName val="pinex_(2)"/>
      <sheetName val="Rate_Input"/>
      <sheetName val="Profit_Worksheet"/>
      <sheetName val="pinex_(2)1"/>
      <sheetName val="Rate_Input1"/>
      <sheetName val="Profit_Worksheet1"/>
      <sheetName val="Notes _2_"/>
      <sheetName val="PL_Million_"/>
      <sheetName val="Fin_Histo_PL"/>
      <sheetName val="Deposit"/>
      <sheetName val="2000_ Projects Summary"/>
      <sheetName val="PDF1"/>
      <sheetName val="SOURCE"/>
      <sheetName val="Augbkp98"/>
      <sheetName val="Sheet5"/>
      <sheetName val="Currency"/>
      <sheetName val="DropDown"/>
      <sheetName val="Segment new 1"/>
      <sheetName val="Drop down"/>
      <sheetName val="16-Avg Sales Price"/>
      <sheetName val="Statement of Claims"/>
      <sheetName val="Code"/>
      <sheetName val="stdd costBPCS"/>
      <sheetName val="B-S(p)"/>
      <sheetName val="BS-OVS"/>
      <sheetName val="BSDOMOVS"/>
      <sheetName val="Abu Dhabi"/>
      <sheetName val="Total_Adjustments2"/>
      <sheetName val="Assets_(2)2"/>
      <sheetName val="Balance_Sheet2"/>
      <sheetName val="Statement_of_Ch2"/>
      <sheetName val="Note6-8_22"/>
      <sheetName val="Note9-9_62"/>
      <sheetName val="Note_9_7-9_82"/>
      <sheetName val="Notes10-10_4_22"/>
      <sheetName val="10_5-11_32"/>
      <sheetName val="Note_122"/>
      <sheetName val="Note12_3-15_12"/>
      <sheetName val="Note16-21_12"/>
      <sheetName val="Note22-22_72"/>
      <sheetName val="Notes25-26_12"/>
      <sheetName val="Notes26_2-322"/>
      <sheetName val="Notes41-42_12"/>
      <sheetName val="Notes41-42_1_(2)2"/>
      <sheetName val="Notes42_2-442"/>
      <sheetName val="Note_452"/>
      <sheetName val="Deferred_(2)2"/>
      <sheetName val="Defeered_Work2"/>
      <sheetName val="Sheet2_(2)2"/>
      <sheetName val="Sheet3_(2)2"/>
      <sheetName val="Sheet1_(2)2"/>
      <sheetName val="pinex_(2)2"/>
      <sheetName val="Rate_Input2"/>
      <sheetName val="Profit_Worksheet2"/>
      <sheetName val="2000__Projects_Summary"/>
      <sheetName val="broker_sheet-2"/>
      <sheetName val="BS"/>
      <sheetName val="PL "/>
      <sheetName val="Notes"/>
      <sheetName val="EDP_Euros"/>
      <sheetName val="Iberdrola_Euros"/>
      <sheetName val="Non-Statistical Sampling"/>
      <sheetName val="REV VAR INC"/>
      <sheetName val="Revenue-Fire-Marine-Motor"/>
      <sheetName val="Graphs 1"/>
      <sheetName val="Macro1"/>
      <sheetName val="Summary"/>
      <sheetName val="Grouping"/>
      <sheetName val="Notes__2_"/>
      <sheetName val="Non-Statistical_Sampling"/>
      <sheetName val="REV_VAR_INC"/>
      <sheetName val="Statement_of_Claims"/>
      <sheetName val="Report .1"/>
      <sheetName val="Final Accounts 2001As per Audit"/>
      <sheetName val="MMR"/>
      <sheetName val="Aylık"/>
      <sheetName val="Segment_new_1"/>
      <sheetName val="Drop_down"/>
      <sheetName val="16-Avg_Sales_Price"/>
      <sheetName val="stdd_costBPCS"/>
      <sheetName val="Net"/>
      <sheetName val="Profiles"/>
      <sheetName val="ៀFinal Accou"/>
      <sheetName val="ḜFinal Accou"/>
      <sheetName val="⒐Final Accou"/>
      <sheetName val="nt__5"/>
      <sheetName val="nt__6"/>
      <sheetName val="nt__7"/>
      <sheetName val="nt__8"/>
      <sheetName val="nt__9"/>
      <sheetName val="DATABASE"/>
      <sheetName val="Total_Adjustments3"/>
      <sheetName val="Assets_(2)3"/>
      <sheetName val="Balance_Sheet3"/>
      <sheetName val="Statement_of_Ch3"/>
      <sheetName val="Note6-8_23"/>
      <sheetName val="Note9-9_63"/>
      <sheetName val="Note_9_7-9_83"/>
      <sheetName val="Notes10-10_4_23"/>
      <sheetName val="10_5-11_33"/>
      <sheetName val="Note_123"/>
      <sheetName val="Note12_3-15_13"/>
      <sheetName val="Note16-21_13"/>
      <sheetName val="Note22-22_73"/>
      <sheetName val="Notes25-26_13"/>
      <sheetName val="Notes26_2-323"/>
      <sheetName val="Notes41-42_13"/>
      <sheetName val="Notes41-42_1_(2)3"/>
      <sheetName val="Notes42_2-443"/>
      <sheetName val="Note_453"/>
      <sheetName val="Deferred_(2)3"/>
      <sheetName val="Defeered_Work3"/>
      <sheetName val="Sheet2_(2)3"/>
      <sheetName val="Sheet3_(2)3"/>
      <sheetName val="Sheet1_(2)3"/>
      <sheetName val="pinex_(2)3"/>
      <sheetName val="Rate_Input3"/>
      <sheetName val="Profit_Worksheet3"/>
      <sheetName val="2000__Projects_Summary1"/>
      <sheetName val="broker_sheet-21"/>
      <sheetName val="cpur"/>
      <sheetName val="IGData"/>
      <sheetName val="Cash Flow"/>
      <sheetName val="Rate Verification"/>
      <sheetName val="Product Wise Breakup"/>
      <sheetName val="Monthly breakup"/>
      <sheetName val="Categoried of Deposit (2)"/>
      <sheetName val="PPC-ORD DTL"/>
      <sheetName val="Abu_Dhabi"/>
      <sheetName val="A-C CODE &amp; NAME"/>
      <sheetName val="会社別"/>
      <sheetName val="B-6"/>
      <sheetName val="Adv to vendor"/>
      <sheetName val="GP Analysis"/>
      <sheetName val="FundsNW"/>
      <sheetName val="Stock in Trade"/>
      <sheetName val="Rentals-SAM KHI"/>
      <sheetName val="Global Data"/>
      <sheetName val="CHALLAN"/>
      <sheetName val="Validation"/>
      <sheetName val="Worksheet"/>
      <sheetName val="macro d'éval"/>
      <sheetName val="Lead"/>
      <sheetName val="R"/>
      <sheetName val="BScN Local Students"/>
      <sheetName val="REPORT"/>
      <sheetName val="Trend analysis"/>
      <sheetName val="pl"/>
      <sheetName val="BS-JPN"/>
      <sheetName val="ZFPCO"/>
      <sheetName val="Main"/>
      <sheetName val="Overdues"/>
      <sheetName val="3.2"/>
      <sheetName val="Mat Weights"/>
      <sheetName val="DATA"/>
      <sheetName val="SCHEDULES"/>
      <sheetName val="TGL"/>
      <sheetName val="Cutt"/>
      <sheetName val="Neat 9"/>
      <sheetName val="Note 2.6-4"/>
      <sheetName val="branch code"/>
      <sheetName val="profit &amp; loss"/>
      <sheetName val="Total_Adjustments4"/>
      <sheetName val="Assets_(2)4"/>
      <sheetName val="Balance_Sheet4"/>
      <sheetName val="Statement_of_Ch4"/>
      <sheetName val="Note6-8_24"/>
      <sheetName val="Note9-9_64"/>
      <sheetName val="Note_9_7-9_84"/>
      <sheetName val="Notes10-10_4_24"/>
      <sheetName val="10_5-11_34"/>
      <sheetName val="Note_124"/>
      <sheetName val="Note12_3-15_14"/>
      <sheetName val="Note16-21_14"/>
      <sheetName val="Note22-22_74"/>
      <sheetName val="Notes25-26_14"/>
      <sheetName val="Notes26_2-324"/>
      <sheetName val="Notes41-42_14"/>
      <sheetName val="Notes41-42_1_(2)4"/>
      <sheetName val="Notes42_2-444"/>
      <sheetName val="Note_454"/>
      <sheetName val="Deferred_(2)4"/>
      <sheetName val="Defeered_Work4"/>
      <sheetName val="Sheet2_(2)4"/>
      <sheetName val="Sheet3_(2)4"/>
      <sheetName val="Sheet1_(2)4"/>
      <sheetName val="Total_Adjustments5"/>
      <sheetName val="Assets_(2)5"/>
      <sheetName val="Balance_Sheet5"/>
      <sheetName val="Statement_of_Ch5"/>
      <sheetName val="Note6-8_25"/>
      <sheetName val="Note9-9_65"/>
      <sheetName val="Note_9_7-9_85"/>
      <sheetName val="Notes10-10_4_25"/>
      <sheetName val="10_5-11_35"/>
      <sheetName val="Note_125"/>
      <sheetName val="Note12_3-15_15"/>
      <sheetName val="Note16-21_15"/>
      <sheetName val="Note22-22_75"/>
      <sheetName val="Notes25-26_15"/>
      <sheetName val="Notes26_2-325"/>
      <sheetName val="Notes41-42_15"/>
      <sheetName val="Notes41-42_1_(2)5"/>
      <sheetName val="Notes42_2-445"/>
      <sheetName val="Note_455"/>
      <sheetName val="Deferred_(2)5"/>
      <sheetName val="Defeered_Work5"/>
      <sheetName val="Sheet2_(2)5"/>
      <sheetName val="Sheet3_(2)5"/>
      <sheetName val="Sheet1_(2)5"/>
      <sheetName val="pinex_(2)4"/>
      <sheetName val="Rate_Input4"/>
      <sheetName val="Profit_Worksheet4"/>
      <sheetName val="Total_Adjustments6"/>
      <sheetName val="Assets_(2)6"/>
      <sheetName val="Balance_Sheet6"/>
      <sheetName val="Statement_of_Ch6"/>
      <sheetName val="Note6-8_26"/>
      <sheetName val="Note9-9_66"/>
      <sheetName val="Note_9_7-9_86"/>
      <sheetName val="Notes10-10_4_26"/>
      <sheetName val="10_5-11_36"/>
      <sheetName val="Note_126"/>
      <sheetName val="Note12_3-15_16"/>
      <sheetName val="Note16-21_16"/>
      <sheetName val="Note22-22_76"/>
      <sheetName val="Notes25-26_16"/>
      <sheetName val="Notes26_2-326"/>
      <sheetName val="Notes41-42_16"/>
      <sheetName val="Notes41-42_1_(2)6"/>
      <sheetName val="Notes42_2-446"/>
      <sheetName val="Note_456"/>
      <sheetName val="Deferred_(2)6"/>
      <sheetName val="Defeered_Work6"/>
      <sheetName val="Sheet2_(2)6"/>
      <sheetName val="Sheet3_(2)6"/>
      <sheetName val="Sheet1_(2)6"/>
      <sheetName val="pinex_(2)5"/>
      <sheetName val="Rate_Input5"/>
      <sheetName val="Profit_Worksheet5"/>
      <sheetName val="Total_Adjustments7"/>
      <sheetName val="Assets_(2)7"/>
      <sheetName val="Balance_Sheet7"/>
      <sheetName val="Statement_of_Ch7"/>
      <sheetName val="Note6-8_27"/>
      <sheetName val="Note9-9_67"/>
      <sheetName val="Note_9_7-9_87"/>
      <sheetName val="Notes10-10_4_27"/>
      <sheetName val="10_5-11_37"/>
      <sheetName val="Note_127"/>
      <sheetName val="Note12_3-15_17"/>
      <sheetName val="Note16-21_17"/>
      <sheetName val="Note22-22_77"/>
      <sheetName val="Notes25-26_17"/>
      <sheetName val="Notes26_2-327"/>
      <sheetName val="Notes41-42_17"/>
      <sheetName val="Notes41-42_1_(2)7"/>
      <sheetName val="Notes42_2-447"/>
      <sheetName val="Note_457"/>
      <sheetName val="Deferred_(2)7"/>
      <sheetName val="Defeered_Work7"/>
      <sheetName val="Sheet2_(2)7"/>
      <sheetName val="Sheet3_(2)7"/>
      <sheetName val="Sheet1_(2)7"/>
      <sheetName val="pinex_(2)6"/>
      <sheetName val="Rate_Input6"/>
      <sheetName val="Profit_Worksheet6"/>
      <sheetName val="Segment_new_11"/>
      <sheetName val="Drop_down1"/>
      <sheetName val="16-Avg_Sales_Price1"/>
      <sheetName val="Statement_of_Claims1"/>
      <sheetName val="Notes__2_1"/>
      <sheetName val="stdd_costBPCS1"/>
      <sheetName val="broker_sheet-24"/>
      <sheetName val="2000__Projects_Summary4"/>
      <sheetName val="Segment_new_14"/>
      <sheetName val="Drop_down4"/>
      <sheetName val="16-Avg_Sales_Price4"/>
      <sheetName val="Statement_of_Claims4"/>
      <sheetName val="Notes__2_4"/>
      <sheetName val="stdd_costBPCS4"/>
      <sheetName val="broker_sheet-22"/>
      <sheetName val="2000__Projects_Summary2"/>
      <sheetName val="Segment_new_12"/>
      <sheetName val="Drop_down2"/>
      <sheetName val="16-Avg_Sales_Price2"/>
      <sheetName val="Statement_of_Claims2"/>
      <sheetName val="Notes__2_2"/>
      <sheetName val="stdd_costBPCS2"/>
      <sheetName val="broker_sheet-23"/>
      <sheetName val="2000__Projects_Summary3"/>
      <sheetName val="Segment_new_13"/>
      <sheetName val="Drop_down3"/>
      <sheetName val="16-Avg_Sales_Price3"/>
      <sheetName val="Statement_of_Claims3"/>
      <sheetName val="Notes__2_3"/>
      <sheetName val="stdd_costBPCS3"/>
      <sheetName val="TAR-HIS"/>
      <sheetName val="Total_Adjustments8"/>
      <sheetName val="Assets_(2)8"/>
      <sheetName val="Balance_Sheet8"/>
      <sheetName val="Statement_of_Ch8"/>
      <sheetName val="Note6-8_28"/>
      <sheetName val="Note9-9_68"/>
      <sheetName val="Note_9_7-9_88"/>
      <sheetName val="Notes10-10_4_28"/>
      <sheetName val="10_5-11_38"/>
      <sheetName val="Note_128"/>
      <sheetName val="Note12_3-15_18"/>
      <sheetName val="Note16-21_18"/>
      <sheetName val="Note22-22_78"/>
      <sheetName val="Notes25-26_18"/>
      <sheetName val="Notes26_2-328"/>
      <sheetName val="Notes41-42_18"/>
      <sheetName val="Notes41-42_1_(2)8"/>
      <sheetName val="Notes42_2-448"/>
      <sheetName val="Note_458"/>
      <sheetName val="Deferred_(2)8"/>
      <sheetName val="Defeered_Work8"/>
      <sheetName val="Sheet2_(2)8"/>
      <sheetName val="Sheet3_(2)8"/>
      <sheetName val="Sheet1_(2)8"/>
      <sheetName val="pinex_(2)8"/>
      <sheetName val="Rate_Input8"/>
      <sheetName val="Profit_Worksheet8"/>
      <sheetName val="broker_sheet-26"/>
      <sheetName val="2000__Projects_Summary6"/>
      <sheetName val="Segment_new_16"/>
      <sheetName val="Drop_down6"/>
      <sheetName val="16-Avg_Sales_Price6"/>
      <sheetName val="Statement_of_Claims6"/>
      <sheetName val="Notes__2_6"/>
      <sheetName val="stdd_costBPCS6"/>
      <sheetName val="pinex_(2)7"/>
      <sheetName val="Rate_Input7"/>
      <sheetName val="Profit_Worksheet7"/>
      <sheetName val="broker_sheet-25"/>
      <sheetName val="2000__Projects_Summary5"/>
      <sheetName val="Segment_new_15"/>
      <sheetName val="Drop_down5"/>
      <sheetName val="16-Avg_Sales_Price5"/>
      <sheetName val="Statement_of_Claims5"/>
      <sheetName val="Notes__2_5"/>
      <sheetName val="stdd_costBPCS5"/>
      <sheetName val="Total_Adjustments9"/>
      <sheetName val="Assets_(2)9"/>
      <sheetName val="Balance_Sheet9"/>
      <sheetName val="Statement_of_Ch9"/>
      <sheetName val="Note6-8_29"/>
      <sheetName val="Note9-9_69"/>
      <sheetName val="Note_9_7-9_89"/>
      <sheetName val="Notes10-10_4_29"/>
      <sheetName val="10_5-11_39"/>
      <sheetName val="Note_129"/>
      <sheetName val="Note12_3-15_19"/>
      <sheetName val="Note16-21_19"/>
      <sheetName val="Note22-22_79"/>
      <sheetName val="Notes25-26_19"/>
      <sheetName val="Notes26_2-329"/>
      <sheetName val="Notes41-42_19"/>
      <sheetName val="Notes41-42_1_(2)9"/>
      <sheetName val="Notes42_2-449"/>
      <sheetName val="Note_459"/>
      <sheetName val="Deferred_(2)9"/>
      <sheetName val="Defeered_Work9"/>
      <sheetName val="Sheet2_(2)9"/>
      <sheetName val="Sheet3_(2)9"/>
      <sheetName val="Sheet1_(2)9"/>
      <sheetName val="pinex_(2)9"/>
      <sheetName val="Rate_Input9"/>
      <sheetName val="Profit_Worksheet9"/>
      <sheetName val="broker_sheet-27"/>
      <sheetName val="2000__Projects_Summary7"/>
      <sheetName val="Segment_new_17"/>
      <sheetName val="Drop_down7"/>
      <sheetName val="16-Avg_Sales_Price7"/>
      <sheetName val="Statement_of_Claims7"/>
      <sheetName val="Notes__2_7"/>
      <sheetName val="stdd_costBPCS7"/>
      <sheetName val="Total_Adjustments10"/>
      <sheetName val="Assets_(2)10"/>
      <sheetName val="Balance_Sheet10"/>
      <sheetName val="Statement_of_Ch10"/>
      <sheetName val="Note6-8_210"/>
      <sheetName val="Note9-9_610"/>
      <sheetName val="Note_9_7-9_810"/>
      <sheetName val="Notes10-10_4_210"/>
      <sheetName val="10_5-11_310"/>
      <sheetName val="Note_1210"/>
      <sheetName val="Note12_3-15_110"/>
      <sheetName val="Note16-21_110"/>
      <sheetName val="Note22-22_710"/>
      <sheetName val="Notes25-26_110"/>
      <sheetName val="Notes26_2-3210"/>
      <sheetName val="Notes41-42_110"/>
      <sheetName val="Notes41-42_1_(2)10"/>
      <sheetName val="Notes42_2-4410"/>
      <sheetName val="Note_4510"/>
      <sheetName val="Deferred_(2)10"/>
      <sheetName val="Defeered_Work10"/>
      <sheetName val="Sheet2_(2)10"/>
      <sheetName val="Sheet3_(2)10"/>
      <sheetName val="Sheet1_(2)10"/>
      <sheetName val="pinex_(2)10"/>
      <sheetName val="Rate_Input10"/>
      <sheetName val="Profit_Worksheet10"/>
      <sheetName val="broker_sheet-28"/>
      <sheetName val="2000__Projects_Summary8"/>
      <sheetName val="Segment_new_18"/>
      <sheetName val="Drop_down8"/>
      <sheetName val="16-Avg_Sales_Price8"/>
      <sheetName val="Statement_of_Claims8"/>
      <sheetName val="Notes__2_8"/>
      <sheetName val="stdd_costBPCS8"/>
      <sheetName val="Total_Adjustments11"/>
      <sheetName val="Assets_(2)11"/>
      <sheetName val="Balance_Sheet11"/>
      <sheetName val="Statement_of_Ch11"/>
      <sheetName val="Note6-8_211"/>
      <sheetName val="Note9-9_611"/>
      <sheetName val="Note_9_7-9_811"/>
      <sheetName val="Notes10-10_4_211"/>
      <sheetName val="10_5-11_311"/>
      <sheetName val="Note_1211"/>
      <sheetName val="Note12_3-15_111"/>
      <sheetName val="Note16-21_111"/>
      <sheetName val="Note22-22_711"/>
      <sheetName val="Notes25-26_111"/>
      <sheetName val="Notes26_2-3211"/>
      <sheetName val="Notes41-42_111"/>
      <sheetName val="Notes41-42_1_(2)11"/>
      <sheetName val="Notes42_2-4411"/>
      <sheetName val="Note_4511"/>
      <sheetName val="Deferred_(2)11"/>
      <sheetName val="Defeered_Work11"/>
      <sheetName val="Sheet2_(2)11"/>
      <sheetName val="Sheet3_(2)11"/>
      <sheetName val="Sheet1_(2)11"/>
      <sheetName val="pinex_(2)11"/>
      <sheetName val="Rate_Input11"/>
      <sheetName val="Profit_Worksheet11"/>
      <sheetName val="broker_sheet-29"/>
      <sheetName val="2000__Projects_Summary9"/>
      <sheetName val="Segment_new_19"/>
      <sheetName val="Drop_down9"/>
      <sheetName val="16-Avg_Sales_Price9"/>
      <sheetName val="Statement_of_Claims9"/>
      <sheetName val="Notes__2_9"/>
      <sheetName val="stdd_costBPCS9"/>
      <sheetName val="Total_Adjustments13"/>
      <sheetName val="Assets_(2)13"/>
      <sheetName val="Balance_Sheet13"/>
      <sheetName val="Statement_of_Ch13"/>
      <sheetName val="Note6-8_213"/>
      <sheetName val="Note9-9_613"/>
      <sheetName val="Note_9_7-9_813"/>
      <sheetName val="Notes10-10_4_213"/>
      <sheetName val="10_5-11_313"/>
      <sheetName val="Note_1213"/>
      <sheetName val="Note12_3-15_113"/>
      <sheetName val="Note16-21_113"/>
      <sheetName val="Note22-22_713"/>
      <sheetName val="Notes25-26_113"/>
      <sheetName val="Notes26_2-3213"/>
      <sheetName val="Notes41-42_113"/>
      <sheetName val="Notes41-42_1_(2)13"/>
      <sheetName val="Notes42_2-4413"/>
      <sheetName val="Note_4513"/>
      <sheetName val="Deferred_(2)13"/>
      <sheetName val="Defeered_Work13"/>
      <sheetName val="Sheet2_(2)13"/>
      <sheetName val="Sheet3_(2)13"/>
      <sheetName val="Sheet1_(2)13"/>
      <sheetName val="pinex_(2)13"/>
      <sheetName val="Rate_Input13"/>
      <sheetName val="Profit_Worksheet13"/>
      <sheetName val="broker_sheet-211"/>
      <sheetName val="2000__Projects_Summary11"/>
      <sheetName val="Segment_new_111"/>
      <sheetName val="Drop_down11"/>
      <sheetName val="16-Avg_Sales_Price11"/>
      <sheetName val="Statement_of_Claims11"/>
      <sheetName val="Notes__2_11"/>
      <sheetName val="stdd_costBPCS11"/>
      <sheetName val="Total_Adjustments12"/>
      <sheetName val="Assets_(2)12"/>
      <sheetName val="Balance_Sheet12"/>
      <sheetName val="Statement_of_Ch12"/>
      <sheetName val="Note6-8_212"/>
      <sheetName val="Note9-9_612"/>
      <sheetName val="Note_9_7-9_812"/>
      <sheetName val="Notes10-10_4_212"/>
      <sheetName val="10_5-11_312"/>
      <sheetName val="Note_1212"/>
      <sheetName val="Note12_3-15_112"/>
      <sheetName val="Note16-21_112"/>
      <sheetName val="Note22-22_712"/>
      <sheetName val="Notes25-26_112"/>
      <sheetName val="Notes26_2-3212"/>
      <sheetName val="Notes41-42_112"/>
      <sheetName val="Notes41-42_1_(2)12"/>
      <sheetName val="Notes42_2-4412"/>
      <sheetName val="Note_4512"/>
      <sheetName val="Deferred_(2)12"/>
      <sheetName val="Defeered_Work12"/>
      <sheetName val="Sheet2_(2)12"/>
      <sheetName val="Sheet3_(2)12"/>
      <sheetName val="Sheet1_(2)12"/>
      <sheetName val="pinex_(2)12"/>
      <sheetName val="Rate_Input12"/>
      <sheetName val="Profit_Worksheet12"/>
      <sheetName val="broker_sheet-210"/>
      <sheetName val="2000__Projects_Summary10"/>
      <sheetName val="Segment_new_110"/>
      <sheetName val="Drop_down10"/>
      <sheetName val="16-Avg_Sales_Price10"/>
      <sheetName val="Statement_of_Claims10"/>
      <sheetName val="Notes__2_10"/>
      <sheetName val="stdd_costBPCS10"/>
      <sheetName val="Total_Adjustments14"/>
      <sheetName val="Assets_(2)14"/>
      <sheetName val="Balance_Sheet14"/>
      <sheetName val="Statement_of_Ch14"/>
      <sheetName val="Note6-8_214"/>
      <sheetName val="Note9-9_614"/>
      <sheetName val="Note_9_7-9_814"/>
      <sheetName val="Notes10-10_4_214"/>
      <sheetName val="10_5-11_314"/>
      <sheetName val="Note_1214"/>
      <sheetName val="Note12_3-15_114"/>
      <sheetName val="Note16-21_114"/>
      <sheetName val="Note22-22_714"/>
      <sheetName val="Notes25-26_114"/>
      <sheetName val="Notes26_2-3214"/>
      <sheetName val="Notes41-42_114"/>
      <sheetName val="Notes41-42_1_(2)14"/>
      <sheetName val="Notes42_2-4414"/>
      <sheetName val="Note_4514"/>
      <sheetName val="Deferred_(2)14"/>
      <sheetName val="Defeered_Work14"/>
      <sheetName val="Sheet2_(2)14"/>
      <sheetName val="Sheet3_(2)14"/>
      <sheetName val="Sheet1_(2)14"/>
      <sheetName val="pinex_(2)14"/>
      <sheetName val="Rate_Input14"/>
      <sheetName val="Profit_Worksheet14"/>
      <sheetName val="broker_sheet-212"/>
      <sheetName val="2000__Projects_Summary12"/>
      <sheetName val="Segment_new_112"/>
      <sheetName val="Drop_down12"/>
      <sheetName val="16-Avg_Sales_Price12"/>
      <sheetName val="Statement_of_Claims12"/>
      <sheetName val="Notes__2_12"/>
      <sheetName val="stdd_costBPCS12"/>
      <sheetName val="Non-Statistical_Sampling1"/>
      <sheetName val="REV_VAR_INC1"/>
      <sheetName val="Graphs_1"/>
      <sheetName val="Report__1"/>
      <sheetName val="Final_Accounts_2001As_per_Audit"/>
      <sheetName val="Rate_Verification"/>
      <sheetName val="Product_Wise_Breakup"/>
      <sheetName val="Monthly_breakup"/>
      <sheetName val="Note_2_6-4"/>
      <sheetName val="A-C_CODE_&amp;_NAME"/>
      <sheetName val="ៀFinal_Accou"/>
      <sheetName val="ḜFinal_Accou"/>
      <sheetName val="⒐Final_Accou"/>
      <sheetName val="Cash_Flow"/>
      <sheetName val="Abu_Dhabi1"/>
      <sheetName val="Non-Statistical_Sampling2"/>
      <sheetName val="REV_VAR_INC2"/>
      <sheetName val="Rate_Verification1"/>
      <sheetName val="Product_Wise_Breakup1"/>
      <sheetName val="Monthly_breakup1"/>
      <sheetName val="Graphs_11"/>
      <sheetName val="Report__11"/>
      <sheetName val="Final_Accounts_2001As_per_Audi1"/>
      <sheetName val="Note_2_6-41"/>
      <sheetName val="A-C_CODE_&amp;_NAME1"/>
      <sheetName val="ៀFinal_Accou1"/>
      <sheetName val="ḜFinal_Accou1"/>
      <sheetName val="⒐Final_Accou1"/>
      <sheetName val="Cash_Flow1"/>
      <sheetName val="Neat_9"/>
      <sheetName val="Abu_Dhabi2"/>
      <sheetName val="Non-Statistical_Sampling3"/>
      <sheetName val="REV_VAR_INC3"/>
      <sheetName val="Rate_Verification2"/>
      <sheetName val="Product_Wise_Breakup2"/>
      <sheetName val="Monthly_breakup2"/>
      <sheetName val="Graphs_12"/>
      <sheetName val="Report__12"/>
      <sheetName val="Final_Accounts_2001As_per_Audi2"/>
      <sheetName val="Note_2_6-42"/>
      <sheetName val="A-C_CODE_&amp;_NAME2"/>
      <sheetName val="ៀFinal_Accou2"/>
      <sheetName val="ḜFinal_Accou2"/>
      <sheetName val="⒐Final_Accou2"/>
      <sheetName val="Cash_Flow2"/>
      <sheetName val="Neat_91"/>
      <sheetName val="CT Tools"/>
      <sheetName val="TBPRICE"/>
      <sheetName val="DSC IRR JUN05"/>
      <sheetName val="DATCH  NEW  ORDERS"/>
      <sheetName val="Abu_Dhabi3"/>
      <sheetName val="Non-Statistical_Sampling4"/>
      <sheetName val="REV_VAR_INC4"/>
      <sheetName val="Rate_Verification3"/>
      <sheetName val="Product_Wise_Breakup3"/>
      <sheetName val="Monthly_breakup3"/>
      <sheetName val="Graphs_13"/>
      <sheetName val="Report__13"/>
      <sheetName val="Final_Accounts_2001As_per_Audi3"/>
      <sheetName val="Note_2_6-43"/>
      <sheetName val="A-C_CODE_&amp;_NAME3"/>
      <sheetName val="ៀFinal_Accou3"/>
      <sheetName val="ḜFinal_Accou3"/>
      <sheetName val="⒐Final_Accou3"/>
      <sheetName val="Cash_Flow3"/>
      <sheetName val="Neat_92"/>
      <sheetName val="Abu_Dhabi4"/>
      <sheetName val="Non-Statistical_Sampling5"/>
      <sheetName val="REV_VAR_INC5"/>
      <sheetName val="Rate_Verification4"/>
      <sheetName val="Product_Wise_Breakup4"/>
      <sheetName val="Monthly_breakup4"/>
      <sheetName val="Graphs_14"/>
      <sheetName val="Report__14"/>
      <sheetName val="Final_Accounts_2001As_per_Audi4"/>
      <sheetName val="Note_2_6-44"/>
      <sheetName val="A-C_CODE_&amp;_NAME4"/>
      <sheetName val="ៀFinal_Accou4"/>
      <sheetName val="ḜFinal_Accou4"/>
      <sheetName val="⒐Final_Accou4"/>
      <sheetName val="Cash_Flow4"/>
      <sheetName val="Neat_93"/>
      <sheetName val="Abu_Dhabi6"/>
      <sheetName val="Non-Statistical_Sampling7"/>
      <sheetName val="REV_VAR_INC7"/>
      <sheetName val="Rate_Verification6"/>
      <sheetName val="Product_Wise_Breakup6"/>
      <sheetName val="Monthly_breakup6"/>
      <sheetName val="Graphs_16"/>
      <sheetName val="Report__16"/>
      <sheetName val="Final_Accounts_2001As_per_Audi6"/>
      <sheetName val="A-C_CODE_&amp;_NAME6"/>
      <sheetName val="ៀFinal_Accou6"/>
      <sheetName val="ḜFinal_Accou6"/>
      <sheetName val="⒐Final_Accou6"/>
      <sheetName val="Cash_Flow6"/>
      <sheetName val="Note_2_6-46"/>
      <sheetName val="Neat_95"/>
      <sheetName val="Abu_Dhabi5"/>
      <sheetName val="Non-Statistical_Sampling6"/>
      <sheetName val="REV_VAR_INC6"/>
      <sheetName val="Rate_Verification5"/>
      <sheetName val="Product_Wise_Breakup5"/>
      <sheetName val="Monthly_breakup5"/>
      <sheetName val="Graphs_15"/>
      <sheetName val="Report__15"/>
      <sheetName val="Final_Accounts_2001As_per_Audi5"/>
      <sheetName val="Note_2_6-45"/>
      <sheetName val="A-C_CODE_&amp;_NAME5"/>
      <sheetName val="ៀFinal_Accou5"/>
      <sheetName val="ḜFinal_Accou5"/>
      <sheetName val="⒐Final_Accou5"/>
      <sheetName val="Cash_Flow5"/>
      <sheetName val="Neat_94"/>
      <sheetName val="Furniture"/>
      <sheetName val="Gauge"/>
      <sheetName val="Pt-1A2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New"/>
      <sheetName val="Sheet1 (4)"/>
      <sheetName val="Sheet1 (3)"/>
      <sheetName val="WeighAvShares"/>
      <sheetName val="Deferred (2)"/>
      <sheetName val="Defeered Work"/>
      <sheetName val="Taxrelief"/>
      <sheetName val="NEWAD"/>
      <sheetName val="Sheet4"/>
      <sheetName val="Sheet5"/>
      <sheetName val="Total Adjustments"/>
      <sheetName val="OLD"/>
      <sheetName val="Assets"/>
      <sheetName val="Liabiliteis"/>
      <sheetName val="Balance Sheet"/>
      <sheetName val="p&amp;l"/>
      <sheetName val="Sheet2 (2)"/>
      <sheetName val="CashFlow"/>
      <sheetName val="Sheet3 (2)"/>
      <sheetName val="Statement of Ch"/>
      <sheetName val="Notes1-5"/>
      <sheetName val="Note6-8.2"/>
      <sheetName val="Note9-9.6"/>
      <sheetName val="Note 9.7-9.8"/>
      <sheetName val="Notes10-10.4.2"/>
      <sheetName val="10.5-11.3"/>
      <sheetName val="Chart1"/>
      <sheetName val="Note 12"/>
      <sheetName val="Note12.3-15.1"/>
      <sheetName val="Note16-21.1"/>
      <sheetName val="Note22-22.7"/>
      <sheetName val="Sheet6"/>
      <sheetName val="Notes25-26.1"/>
      <sheetName val="RGHOEXPENSE"/>
      <sheetName val="Notes26.2-32"/>
      <sheetName val="Notes33-34"/>
      <sheetName val="MaturiAssets"/>
      <sheetName val="Sheet1 (2)"/>
      <sheetName val="Lease"/>
      <sheetName val="PremiumMaturity"/>
      <sheetName val="MaturLiabili"/>
      <sheetName val="Notes39-40"/>
      <sheetName val="Notes41-42.1"/>
      <sheetName val="Currency-expo"/>
      <sheetName val="Notes42.2-44"/>
      <sheetName val="Note 45"/>
      <sheetName val="Annexure"/>
      <sheetName val="affair"/>
      <sheetName val="inc-exp"/>
      <sheetName val="pinex"/>
      <sheetName val="YieldAd"/>
      <sheetName val="YieldAd-net"/>
      <sheetName val="YielDeposit"/>
      <sheetName val="Sheet1"/>
      <sheetName val="Sheet2"/>
      <sheetName val="Sheet3"/>
      <sheetName val="Notes(New)39-40"/>
      <sheetName val="SBP-Staggering"/>
      <sheetName val="notes"/>
      <sheetName val="CPMLETE TB - original"/>
      <sheetName val="Recovered_Sheet1"/>
      <sheetName val="Input"/>
      <sheetName val="Non-Statistical Sampling"/>
      <sheetName val="AR Drop Downs"/>
      <sheetName val="Notes1_5"/>
      <sheetName val="Sheet1_(4)"/>
      <sheetName val="Sheet1_(3)"/>
      <sheetName val="Deferred_(2)"/>
      <sheetName val="Defeered_Work"/>
      <sheetName val="Total_Adjustments"/>
      <sheetName val="Balance_Sheet"/>
      <sheetName val="Sheet2_(2)"/>
      <sheetName val="Sheet3_(2)"/>
      <sheetName val="Statement_of_Ch"/>
      <sheetName val="Note6-8_2"/>
      <sheetName val="Note9-9_6"/>
      <sheetName val="Note_9_7-9_8"/>
      <sheetName val="Notes10-10_4_2"/>
      <sheetName val="10_5-11_3"/>
      <sheetName val="Note_12"/>
      <sheetName val="Note12_3-15_1"/>
      <sheetName val="Note16-21_1"/>
      <sheetName val="Note22-22_7"/>
      <sheetName val="Notes25-26_1"/>
      <sheetName val="Notes26_2-32"/>
      <sheetName val="Sheet1_(2)"/>
      <sheetName val="Notes41-42_1"/>
      <sheetName val="Notes42_2-44"/>
      <sheetName val="Note_45"/>
      <sheetName val="Links"/>
      <sheetName val="Sheet1_(4)1"/>
      <sheetName val="Sheet1_(3)1"/>
      <sheetName val="Deferred_(2)1"/>
      <sheetName val="Defeered_Work1"/>
      <sheetName val="Total_Adjustments1"/>
      <sheetName val="Balance_Sheet1"/>
      <sheetName val="Sheet2_(2)1"/>
      <sheetName val="Sheet3_(2)1"/>
      <sheetName val="Statement_of_Ch1"/>
      <sheetName val="Note6-8_21"/>
      <sheetName val="Note9-9_61"/>
      <sheetName val="Note_9_7-9_81"/>
      <sheetName val="Notes10-10_4_21"/>
      <sheetName val="10_5-11_31"/>
      <sheetName val="Note_121"/>
      <sheetName val="Note12_3-15_11"/>
      <sheetName val="Note16-21_11"/>
      <sheetName val="Note22-22_71"/>
      <sheetName val="Notes25-26_11"/>
      <sheetName val="Notes26_2-321"/>
      <sheetName val="Sheet1_(2)1"/>
      <sheetName val="Notes41-42_11"/>
      <sheetName val="Notes42_2-441"/>
      <sheetName val="Note_4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FINAL"/>
      <sheetName val="liab-june"/>
      <sheetName val="JUNE ADJ"/>
      <sheetName val="asset-june"/>
      <sheetName val="Assets 2003"/>
      <sheetName val="Liabiliteis 2003"/>
      <sheetName val="income-june"/>
      <sheetName val="exp-june"/>
      <sheetName val="tax june"/>
      <sheetName val="MOVEMENT"/>
      <sheetName val="Defeered Working "/>
      <sheetName val="Balance Sheet"/>
      <sheetName val="Revised P&amp;L2001-03 (3)"/>
      <sheetName val="CashFlow"/>
      <sheetName val="Statement of Ch"/>
      <sheetName val="N1-5.11"/>
      <sheetName val="Note6-8.2"/>
      <sheetName val="Note9-9.1"/>
      <sheetName val="Note 9-9.1A"/>
      <sheetName val="Note 9-9.1B"/>
      <sheetName val="Note9.2-9.5"/>
      <sheetName val="Notes10-10.4.2"/>
      <sheetName val="10.5-11.3"/>
      <sheetName val="Note 12 "/>
      <sheetName val="Note12.3-15.1 "/>
      <sheetName val="Note16-22.1.1"/>
      <sheetName val="Note22-23"/>
      <sheetName val="Notes24-26.1"/>
      <sheetName val="Notes26.2-32"/>
      <sheetName val="Notes33-34"/>
      <sheetName val="Notes35-36"/>
      <sheetName val="Notes37"/>
      <sheetName val="Notes38-42.1 (3)"/>
      <sheetName val="Notes38-42.1 (2)"/>
      <sheetName val="Part-A"/>
      <sheetName val="Part-B"/>
      <sheetName val="Part-C"/>
      <sheetName val="working"/>
      <sheetName val="G-10"/>
      <sheetName val="Annex A"/>
      <sheetName val="annex a1"/>
      <sheetName val="Annex B"/>
      <sheetName val="annex b1"/>
      <sheetName val="Annex c"/>
      <sheetName val="Annex d"/>
      <sheetName val="CASH LC"/>
      <sheetName val="INLAND LC"/>
      <sheetName val="CREDIT DA"/>
      <sheetName val="AIDS LOANS"/>
      <sheetName val="OTHER"/>
      <sheetName val="contingent liabilities"/>
      <sheetName val="note 40"/>
      <sheetName val="Annex-1"/>
      <sheetName val="Note1-5"/>
      <sheetName val="Currency-expo"/>
      <sheetName val="Sheet9"/>
      <sheetName val="Sheet1  (2)"/>
      <sheetName val="summary"/>
      <sheetName val="BIFURCATION OF EXPENSES"/>
      <sheetName val="Adjustment"/>
      <sheetName val="Defeered Working"/>
      <sheetName val="StaggerProvisionworking"/>
      <sheetName val="RetainedEarning"/>
      <sheetName val="Revised Computa.Tax for 2002"/>
      <sheetName val="Revised Com.TaxJul-Dec01 "/>
      <sheetName val="Rev WKGJul-Dec01"/>
      <sheetName val="p&amp;l"/>
      <sheetName val="Revised Tax-2003 "/>
      <sheetName val="Tax "/>
      <sheetName val="Notes1-5 (3)"/>
      <sheetName val="P&amp;L 2002"/>
      <sheetName val="P&amp;L 2003"/>
      <sheetName val="Revised P&amp;L2001-03"/>
      <sheetName val="Sheet2- assets"/>
      <sheetName val="auditors adjustment"/>
      <sheetName val="Sheet1 -liabilities"/>
      <sheetName val="StaggerProvisionworking (2)"/>
      <sheetName val="adjustments-sumair"/>
      <sheetName val="Income (2)"/>
      <sheetName val="Expenses (2)"/>
      <sheetName val="Defeered Working (2)"/>
      <sheetName val="Revised P&amp;L2001-03 (2)"/>
      <sheetName val="Note 9.6-9.9 (2)"/>
      <sheetName val="ISSUES"/>
      <sheetName val="PIB-HL"/>
      <sheetName val="F-HL"/>
      <sheetName val="Income"/>
      <sheetName val="Expenses"/>
      <sheetName val="MTM-F"/>
      <sheetName val="adjustments"/>
      <sheetName val="marchIncome"/>
      <sheetName val="marchExpenses"/>
      <sheetName val="march liabl"/>
      <sheetName val="march assets"/>
      <sheetName val="Notes1-5"/>
      <sheetName val="CPMLETE TB - original"/>
      <sheetName val="Feast"/>
      <sheetName val="Pral Choc"/>
      <sheetName val="Currency"/>
      <sheetName val="DropDown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1"/>
      <sheetName val="TRY-POS2"/>
      <sheetName val="HIGH3"/>
      <sheetName val="SUMM4"/>
      <sheetName val="SUMM5"/>
      <sheetName val="SPRED6"/>
      <sheetName val="INV-B7"/>
      <sheetName val="INV-M8"/>
      <sheetName val="WARR9"/>
      <sheetName val="BOA10"/>
      <sheetName val="GRP"/>
      <sheetName val="NOSTRO12"/>
      <sheetName val="SBP13"/>
      <sheetName val="DPOSTS14"/>
      <sheetName val="GR-DEP15"/>
      <sheetName val="FE2516"/>
      <sheetName val="GR-2517"/>
      <sheetName val="PLCMENT18"/>
      <sheetName val="CVR-FEE19"/>
      <sheetName val="PARTY20"/>
      <sheetName val="GAP21"/>
      <sheetName val="AC-#22"/>
      <sheetName val="UBAL23"/>
      <sheetName val="UINC24"/>
      <sheetName val="UCASH25"/>
      <sheetName val="UEPS26"/>
      <sheetName val="URES27"/>
      <sheetName val="DEP-SUM28"/>
      <sheetName val="UFULL29"/>
      <sheetName val="URATIO30"/>
      <sheetName val="RES31"/>
      <sheetName val="GRAPH11"/>
      <sheetName val="Notes1-5"/>
      <sheetName val="Balance Sheet"/>
      <sheetName val="Income Statement"/>
      <sheetName val="Corporate $ Rates"/>
      <sheetName val="A"/>
      <sheetName val="Lists"/>
      <sheetName val="Main"/>
      <sheetName val="RM - Karachi"/>
      <sheetName val="2000 Variables"/>
      <sheetName val="Sheet1"/>
      <sheetName val="Lookup Sheets"/>
      <sheetName val="Cheque Printing Demo"/>
      <sheetName val="code"/>
      <sheetName val="Balance_Sheet"/>
      <sheetName val="Income_Statement"/>
      <sheetName val="Corporate_$_Rates"/>
      <sheetName val="Lookup_Sheets"/>
      <sheetName val="REVISE GM"/>
      <sheetName val="FY"/>
      <sheetName val="DEPOLAR"/>
      <sheetName val="RM_-_Karachi"/>
      <sheetName val="2000_Variables"/>
      <sheetName val="Cheque_Printing_Demo"/>
      <sheetName val="Main Data"/>
      <sheetName val="Genome"/>
      <sheetName val="BankSmart"/>
      <sheetName val="TDR"/>
      <sheetName val="TermLoan"/>
      <sheetName val="Balance_Sheet1"/>
      <sheetName val="Income_Statement1"/>
      <sheetName val="Corporate_$_Rates1"/>
      <sheetName val="Lookup_Sheets1"/>
      <sheetName val="REVISE_GM"/>
      <sheetName val="Sajad requireds"/>
      <sheetName val="OS"/>
      <sheetName val="Part D1 (b)"/>
      <sheetName val="GLADIS"/>
      <sheetName val="GLIB6"/>
      <sheetName val="Sheet2"/>
      <sheetName val="EVL1296O"/>
      <sheetName val="EVL1296X"/>
      <sheetName val="EVL1297O"/>
      <sheetName val="EVL1297X"/>
      <sheetName val="total p&amp;l"/>
      <sheetName val="Input"/>
      <sheetName val="toyota pl ckd"/>
      <sheetName val="BUDGET 2003"/>
      <sheetName val="10.1"/>
      <sheetName val="ISSUES"/>
      <sheetName val="F-HL"/>
      <sheetName val="PIB-HL"/>
      <sheetName val="Related Parties "/>
      <sheetName val="DATA"/>
      <sheetName val="GPRS inputs"/>
      <sheetName val="NSS inputs"/>
      <sheetName val="Financial inputs"/>
      <sheetName val="Parameters"/>
      <sheetName val="General inputs"/>
      <sheetName val="BSS inputs"/>
      <sheetName val="NW Impl Svces"/>
      <sheetName val="Bank"/>
      <sheetName val="25-May-09"/>
      <sheetName val="June,04"/>
      <sheetName val="Stat. of Asset n liabilities"/>
    </sheetNames>
    <sheetDataSet>
      <sheetData sheetId="0">
        <row r="260">
          <cell r="AA260" t="str">
            <v>BOA  LONDON</v>
          </cell>
        </row>
      </sheetData>
      <sheetData sheetId="1">
        <row r="260">
          <cell r="AA260" t="str">
            <v>BOA  LONDON</v>
          </cell>
        </row>
      </sheetData>
      <sheetData sheetId="2">
        <row r="260">
          <cell r="AA260" t="str">
            <v>BOA  LONDON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60">
          <cell r="AA260" t="str">
            <v>BOA  LONDON</v>
          </cell>
        </row>
      </sheetData>
      <sheetData sheetId="10">
        <row r="260">
          <cell r="AA260" t="str">
            <v>BOA  LONDON</v>
          </cell>
        </row>
      </sheetData>
      <sheetData sheetId="11" refreshError="1">
        <row r="260">
          <cell r="AA260" t="str">
            <v>BOA  LONDON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Notes"/>
    </sheetNames>
    <sheetDataSet>
      <sheetData sheetId="0"/>
      <sheetData sheetId="1"/>
      <sheetData sheetId="2">
        <row r="979">
          <cell r="W979">
            <v>669266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</sheet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KIBOR"/>
      <sheetName val="Ratings"/>
      <sheetName val="CAR &amp; Cr Risk"/>
      <sheetName val="Op-Risk"/>
      <sheetName val="CR-4"/>
      <sheetName val="CR-3"/>
      <sheetName val="CR-2"/>
      <sheetName val="FX Charge"/>
      <sheetName val="Gen &amp; Sp Risk"/>
      <sheetName val="Forwards"/>
      <sheetName val="MTM"/>
      <sheetName val="KSEW"/>
      <sheetName val="WAPDA"/>
      <sheetName val="SSGC"/>
      <sheetName val="Shahmurad"/>
      <sheetName val="Security Leasing"/>
      <sheetName val="Amtex"/>
      <sheetName val="Century paper"/>
      <sheetName val="Sitara Chemical"/>
      <sheetName val="EngroChemical"/>
      <sheetName val="Sitara Energy"/>
      <sheetName val="HBFC"/>
      <sheetName val="Sitara Energy II"/>
      <sheetName val="Kolson"/>
      <sheetName val="Maple Leaf"/>
      <sheetName val="Al zamin"/>
      <sheetName val="F-1"/>
      <sheetName val="F-2"/>
      <sheetName val="F-3"/>
      <sheetName val="Cust"/>
      <sheetName val="Basel II"/>
      <sheetName val="Currency"/>
      <sheetName val="Non-Statistical Sampling"/>
      <sheetName val="AR Drop Downs"/>
      <sheetName val="DropDown"/>
      <sheetName val="Cons "/>
      <sheetName val="Sheet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G1">
            <v>10000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KIBOR"/>
      <sheetName val="Ratings"/>
      <sheetName val="CAR &amp; Cr Risk"/>
      <sheetName val="Op-Risk"/>
      <sheetName val="CR-4"/>
      <sheetName val="CR-3"/>
      <sheetName val="CR-2"/>
      <sheetName val="FX Charge"/>
      <sheetName val="Gen &amp; Sp Risk"/>
      <sheetName val="Forwards"/>
      <sheetName val="MTM"/>
      <sheetName val="KSEW"/>
      <sheetName val="WAPDA"/>
      <sheetName val="SSGC"/>
      <sheetName val="Shahmurad"/>
      <sheetName val="Security Leasing"/>
      <sheetName val="Amtex"/>
      <sheetName val="Century paper"/>
      <sheetName val="Sitara Chemical"/>
      <sheetName val="EngroChemical"/>
      <sheetName val="Sitara Energy"/>
      <sheetName val="HBFC"/>
      <sheetName val="Sitara Energy II"/>
      <sheetName val="Kolson"/>
      <sheetName val="Maple Leaf"/>
      <sheetName val="Al za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G1">
            <v>10000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urchase"/>
      <sheetName val="Brokers"/>
      <sheetName val="Symbols"/>
      <sheetName val="INPUT LEDGER"/>
      <sheetName val="Purchase"/>
      <sheetName val="Sale"/>
      <sheetName val="Resealed Broker"/>
      <sheetName val="Released Scrip"/>
      <sheetName val="UN-RELEASED Scrip"/>
      <sheetName val="UN-RELEASED Broker"/>
      <sheetName val="Summary"/>
      <sheetName val="Scrip Position"/>
      <sheetName val="NCCPL Exposure"/>
      <sheetName val="Exposure-Previous"/>
      <sheetName val="Var-Previous"/>
      <sheetName val="VAR"/>
      <sheetName val="Market Rate"/>
      <sheetName val="Broker"/>
      <sheetName val="OrderSheet"/>
      <sheetName val="CODE LIBRARY"/>
      <sheetName val="Sheet2"/>
      <sheetName val="Fresh CFS File"/>
      <sheetName val="Cutt"/>
      <sheetName val="Cons "/>
      <sheetName val="tbprice"/>
    </sheetNames>
    <sheetDataSet>
      <sheetData sheetId="0">
        <row r="1">
          <cell r="F1" t="str">
            <v>O/S PURCHASES</v>
          </cell>
        </row>
        <row r="3">
          <cell r="F3" t="str">
            <v>Pur-OGDC-1000</v>
          </cell>
        </row>
        <row r="4">
          <cell r="F4" t="str">
            <v>Pur-PPL-1001</v>
          </cell>
        </row>
        <row r="5">
          <cell r="F5" t="str">
            <v/>
          </cell>
        </row>
        <row r="6">
          <cell r="F6" t="str">
            <v/>
          </cell>
        </row>
        <row r="7">
          <cell r="F7" t="str">
            <v/>
          </cell>
        </row>
        <row r="8">
          <cell r="F8" t="str">
            <v/>
          </cell>
        </row>
        <row r="9">
          <cell r="F9" t="str">
            <v/>
          </cell>
        </row>
        <row r="10">
          <cell r="F10" t="str">
            <v/>
          </cell>
        </row>
        <row r="11">
          <cell r="F11" t="str">
            <v/>
          </cell>
        </row>
        <row r="12">
          <cell r="F12" t="str">
            <v/>
          </cell>
        </row>
        <row r="13">
          <cell r="F13" t="str">
            <v/>
          </cell>
        </row>
        <row r="14">
          <cell r="F14" t="str">
            <v/>
          </cell>
        </row>
        <row r="15">
          <cell r="F15" t="str">
            <v/>
          </cell>
        </row>
        <row r="16">
          <cell r="F16" t="str">
            <v/>
          </cell>
        </row>
        <row r="17">
          <cell r="F17" t="str">
            <v/>
          </cell>
        </row>
        <row r="18">
          <cell r="F18" t="str">
            <v/>
          </cell>
        </row>
        <row r="19">
          <cell r="F19" t="str">
            <v/>
          </cell>
        </row>
        <row r="20">
          <cell r="F20" t="str">
            <v/>
          </cell>
        </row>
        <row r="21">
          <cell r="F21" t="str">
            <v/>
          </cell>
        </row>
        <row r="22">
          <cell r="F22" t="str">
            <v/>
          </cell>
        </row>
        <row r="23">
          <cell r="F23" t="str">
            <v/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3">
          <cell r="F33" t="str">
            <v/>
          </cell>
        </row>
        <row r="34">
          <cell r="F34" t="str">
            <v/>
          </cell>
        </row>
        <row r="35"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  <row r="39">
          <cell r="F39" t="str">
            <v/>
          </cell>
        </row>
        <row r="40">
          <cell r="F40" t="str">
            <v/>
          </cell>
        </row>
        <row r="41">
          <cell r="F41" t="str">
            <v/>
          </cell>
        </row>
        <row r="42">
          <cell r="F42" t="str">
            <v/>
          </cell>
        </row>
        <row r="43">
          <cell r="F43" t="str">
            <v/>
          </cell>
        </row>
        <row r="44">
          <cell r="F44" t="str">
            <v/>
          </cell>
        </row>
        <row r="45">
          <cell r="F45" t="str">
            <v/>
          </cell>
        </row>
        <row r="46">
          <cell r="F46" t="str">
            <v/>
          </cell>
        </row>
        <row r="47">
          <cell r="F47" t="str">
            <v/>
          </cell>
        </row>
        <row r="48">
          <cell r="F48" t="str">
            <v/>
          </cell>
        </row>
        <row r="49">
          <cell r="F49" t="str">
            <v/>
          </cell>
        </row>
        <row r="50">
          <cell r="F50" t="str">
            <v/>
          </cell>
        </row>
        <row r="51">
          <cell r="F51" t="str">
            <v/>
          </cell>
        </row>
        <row r="52">
          <cell r="F52" t="str">
            <v/>
          </cell>
        </row>
        <row r="53">
          <cell r="F53" t="str">
            <v/>
          </cell>
        </row>
        <row r="54">
          <cell r="F54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 t="str">
            <v/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 t="str">
            <v/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 t="str">
            <v/>
          </cell>
        </row>
        <row r="74">
          <cell r="F74" t="str">
            <v/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 t="str">
            <v/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 t="str">
            <v/>
          </cell>
        </row>
        <row r="90">
          <cell r="F90" t="str">
            <v/>
          </cell>
        </row>
        <row r="91">
          <cell r="F91" t="str">
            <v/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 t="str">
            <v/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 t="str">
            <v/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 t="str">
            <v/>
          </cell>
        </row>
        <row r="110">
          <cell r="F110" t="str">
            <v/>
          </cell>
        </row>
        <row r="111">
          <cell r="F111" t="str">
            <v/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 t="str">
            <v/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 t="str">
            <v/>
          </cell>
        </row>
        <row r="120">
          <cell r="F120" t="str">
            <v/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 t="str">
            <v/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F571" t="str">
            <v/>
          </cell>
        </row>
        <row r="572">
          <cell r="F572" t="str">
            <v/>
          </cell>
        </row>
        <row r="573">
          <cell r="F573" t="str">
            <v/>
          </cell>
        </row>
        <row r="574">
          <cell r="F574" t="str">
            <v/>
          </cell>
        </row>
        <row r="575">
          <cell r="F575" t="str">
            <v/>
          </cell>
        </row>
        <row r="576">
          <cell r="F576" t="str">
            <v/>
          </cell>
        </row>
        <row r="577">
          <cell r="F577" t="str">
            <v/>
          </cell>
        </row>
        <row r="578">
          <cell r="F578" t="str">
            <v/>
          </cell>
        </row>
        <row r="579">
          <cell r="F579" t="str">
            <v/>
          </cell>
        </row>
        <row r="580">
          <cell r="F580" t="str">
            <v/>
          </cell>
        </row>
        <row r="581">
          <cell r="F581" t="str">
            <v/>
          </cell>
        </row>
        <row r="582">
          <cell r="F582" t="str">
            <v/>
          </cell>
        </row>
        <row r="583">
          <cell r="F583" t="str">
            <v/>
          </cell>
        </row>
        <row r="584">
          <cell r="F584" t="str">
            <v/>
          </cell>
        </row>
        <row r="585">
          <cell r="F585" t="str">
            <v/>
          </cell>
        </row>
        <row r="586">
          <cell r="F586" t="str">
            <v/>
          </cell>
        </row>
        <row r="587">
          <cell r="F587" t="str">
            <v/>
          </cell>
        </row>
        <row r="588">
          <cell r="F588" t="str">
            <v/>
          </cell>
        </row>
        <row r="589">
          <cell r="F589" t="str">
            <v/>
          </cell>
        </row>
        <row r="590">
          <cell r="F590" t="str">
            <v/>
          </cell>
        </row>
        <row r="591">
          <cell r="F591" t="str">
            <v/>
          </cell>
        </row>
        <row r="592">
          <cell r="F592" t="str">
            <v/>
          </cell>
        </row>
        <row r="593">
          <cell r="F593" t="str">
            <v/>
          </cell>
        </row>
        <row r="594">
          <cell r="F594" t="str">
            <v/>
          </cell>
        </row>
        <row r="595">
          <cell r="F595" t="str">
            <v/>
          </cell>
        </row>
        <row r="596">
          <cell r="F596" t="str">
            <v/>
          </cell>
        </row>
        <row r="597">
          <cell r="F597" t="str">
            <v/>
          </cell>
        </row>
        <row r="598">
          <cell r="F598" t="str">
            <v/>
          </cell>
        </row>
        <row r="599">
          <cell r="F599" t="str">
            <v/>
          </cell>
        </row>
        <row r="600">
          <cell r="F600" t="str">
            <v/>
          </cell>
        </row>
        <row r="601">
          <cell r="F601" t="str">
            <v/>
          </cell>
        </row>
        <row r="602">
          <cell r="F602" t="str">
            <v/>
          </cell>
        </row>
        <row r="603">
          <cell r="F603" t="str">
            <v/>
          </cell>
        </row>
        <row r="604">
          <cell r="F604" t="str">
            <v/>
          </cell>
        </row>
        <row r="605">
          <cell r="F605" t="str">
            <v/>
          </cell>
        </row>
        <row r="606">
          <cell r="F606" t="str">
            <v/>
          </cell>
        </row>
        <row r="607">
          <cell r="F607" t="str">
            <v/>
          </cell>
        </row>
        <row r="608">
          <cell r="F608" t="str">
            <v/>
          </cell>
        </row>
        <row r="609">
          <cell r="F609" t="str">
            <v/>
          </cell>
        </row>
        <row r="610">
          <cell r="F610" t="str">
            <v/>
          </cell>
        </row>
        <row r="611">
          <cell r="F611" t="str">
            <v/>
          </cell>
        </row>
        <row r="612">
          <cell r="F612" t="str">
            <v/>
          </cell>
        </row>
        <row r="613">
          <cell r="F613" t="str">
            <v/>
          </cell>
        </row>
        <row r="614">
          <cell r="F614" t="str">
            <v/>
          </cell>
        </row>
        <row r="615">
          <cell r="F615" t="str">
            <v/>
          </cell>
        </row>
        <row r="616">
          <cell r="F616" t="str">
            <v/>
          </cell>
        </row>
        <row r="617">
          <cell r="F617" t="str">
            <v/>
          </cell>
        </row>
        <row r="618">
          <cell r="F618" t="str">
            <v/>
          </cell>
        </row>
        <row r="619">
          <cell r="F619" t="str">
            <v/>
          </cell>
        </row>
        <row r="620">
          <cell r="F620" t="str">
            <v/>
          </cell>
        </row>
        <row r="621">
          <cell r="F621" t="str">
            <v/>
          </cell>
        </row>
        <row r="622">
          <cell r="F622" t="str">
            <v/>
          </cell>
        </row>
        <row r="623">
          <cell r="F623" t="str">
            <v/>
          </cell>
        </row>
        <row r="624">
          <cell r="F624" t="str">
            <v/>
          </cell>
        </row>
        <row r="625">
          <cell r="F625" t="str">
            <v/>
          </cell>
        </row>
        <row r="626">
          <cell r="F626" t="str">
            <v/>
          </cell>
        </row>
        <row r="627">
          <cell r="F627" t="str">
            <v/>
          </cell>
        </row>
        <row r="628">
          <cell r="F628" t="str">
            <v/>
          </cell>
        </row>
        <row r="629">
          <cell r="F629" t="str">
            <v/>
          </cell>
        </row>
        <row r="630">
          <cell r="F630" t="str">
            <v/>
          </cell>
        </row>
        <row r="631">
          <cell r="F631" t="str">
            <v/>
          </cell>
        </row>
        <row r="632">
          <cell r="F632" t="str">
            <v/>
          </cell>
        </row>
        <row r="633">
          <cell r="F633" t="str">
            <v/>
          </cell>
        </row>
        <row r="634">
          <cell r="F634" t="str">
            <v/>
          </cell>
        </row>
        <row r="635">
          <cell r="F635" t="str">
            <v/>
          </cell>
        </row>
        <row r="636">
          <cell r="F636" t="str">
            <v/>
          </cell>
        </row>
        <row r="637">
          <cell r="F637" t="str">
            <v/>
          </cell>
        </row>
        <row r="638">
          <cell r="F638" t="str">
            <v/>
          </cell>
        </row>
        <row r="639">
          <cell r="F639" t="str">
            <v/>
          </cell>
        </row>
        <row r="640">
          <cell r="F640" t="str">
            <v/>
          </cell>
        </row>
        <row r="641">
          <cell r="F641" t="str">
            <v/>
          </cell>
        </row>
        <row r="642">
          <cell r="F642" t="str">
            <v/>
          </cell>
        </row>
        <row r="643">
          <cell r="F643" t="str">
            <v/>
          </cell>
        </row>
        <row r="644">
          <cell r="F644" t="str">
            <v/>
          </cell>
        </row>
        <row r="645">
          <cell r="F645" t="str">
            <v/>
          </cell>
        </row>
        <row r="646">
          <cell r="F646" t="str">
            <v/>
          </cell>
        </row>
        <row r="647">
          <cell r="F647" t="str">
            <v/>
          </cell>
        </row>
        <row r="648">
          <cell r="F648" t="str">
            <v/>
          </cell>
        </row>
        <row r="649">
          <cell r="F649" t="str">
            <v/>
          </cell>
        </row>
        <row r="650">
          <cell r="F650" t="str">
            <v/>
          </cell>
        </row>
        <row r="651">
          <cell r="F651" t="str">
            <v/>
          </cell>
        </row>
        <row r="652">
          <cell r="F652" t="str">
            <v/>
          </cell>
        </row>
        <row r="653">
          <cell r="F653" t="str">
            <v/>
          </cell>
        </row>
        <row r="654">
          <cell r="F654" t="str">
            <v/>
          </cell>
        </row>
        <row r="655">
          <cell r="F655" t="str">
            <v/>
          </cell>
        </row>
        <row r="656">
          <cell r="F656" t="str">
            <v/>
          </cell>
        </row>
        <row r="657">
          <cell r="F657" t="str">
            <v/>
          </cell>
        </row>
        <row r="658">
          <cell r="F658" t="str">
            <v/>
          </cell>
        </row>
        <row r="659">
          <cell r="F659" t="str">
            <v/>
          </cell>
        </row>
        <row r="660">
          <cell r="F660" t="str">
            <v/>
          </cell>
        </row>
        <row r="661">
          <cell r="F661" t="str">
            <v/>
          </cell>
        </row>
        <row r="662">
          <cell r="F662" t="str">
            <v/>
          </cell>
        </row>
        <row r="663">
          <cell r="F663" t="str">
            <v/>
          </cell>
        </row>
        <row r="664">
          <cell r="F664" t="str">
            <v/>
          </cell>
        </row>
        <row r="665">
          <cell r="F665" t="str">
            <v/>
          </cell>
        </row>
        <row r="666">
          <cell r="F666" t="str">
            <v/>
          </cell>
        </row>
        <row r="667">
          <cell r="F667" t="str">
            <v/>
          </cell>
        </row>
        <row r="668">
          <cell r="F668" t="str">
            <v/>
          </cell>
        </row>
        <row r="669">
          <cell r="F669" t="str">
            <v/>
          </cell>
        </row>
        <row r="670">
          <cell r="F670" t="str">
            <v/>
          </cell>
        </row>
        <row r="671">
          <cell r="F671" t="str">
            <v/>
          </cell>
        </row>
        <row r="672">
          <cell r="F672" t="str">
            <v/>
          </cell>
        </row>
        <row r="673">
          <cell r="F673" t="str">
            <v/>
          </cell>
        </row>
        <row r="674">
          <cell r="F674" t="str">
            <v/>
          </cell>
        </row>
        <row r="675">
          <cell r="F675" t="str">
            <v/>
          </cell>
        </row>
        <row r="676">
          <cell r="F676" t="str">
            <v/>
          </cell>
        </row>
        <row r="677">
          <cell r="F677" t="str">
            <v/>
          </cell>
        </row>
        <row r="678">
          <cell r="F678" t="str">
            <v/>
          </cell>
        </row>
        <row r="679">
          <cell r="F679" t="str">
            <v/>
          </cell>
        </row>
        <row r="680">
          <cell r="F680" t="str">
            <v/>
          </cell>
        </row>
        <row r="681">
          <cell r="F681" t="str">
            <v/>
          </cell>
        </row>
        <row r="682">
          <cell r="F682" t="str">
            <v/>
          </cell>
        </row>
        <row r="683">
          <cell r="F683" t="str">
            <v/>
          </cell>
        </row>
        <row r="684">
          <cell r="F684" t="str">
            <v/>
          </cell>
        </row>
        <row r="685">
          <cell r="F685" t="str">
            <v/>
          </cell>
        </row>
        <row r="686">
          <cell r="F686" t="str">
            <v/>
          </cell>
        </row>
        <row r="687">
          <cell r="F687" t="str">
            <v/>
          </cell>
        </row>
        <row r="688">
          <cell r="F688" t="str">
            <v/>
          </cell>
        </row>
        <row r="689">
          <cell r="F689" t="str">
            <v/>
          </cell>
        </row>
        <row r="690">
          <cell r="F690" t="str">
            <v/>
          </cell>
        </row>
        <row r="691">
          <cell r="F691" t="str">
            <v/>
          </cell>
        </row>
        <row r="692">
          <cell r="F692" t="str">
            <v/>
          </cell>
        </row>
        <row r="693">
          <cell r="F693" t="str">
            <v/>
          </cell>
        </row>
        <row r="694">
          <cell r="F694" t="str">
            <v/>
          </cell>
        </row>
        <row r="695">
          <cell r="F695" t="str">
            <v/>
          </cell>
        </row>
        <row r="696">
          <cell r="F696" t="str">
            <v/>
          </cell>
        </row>
        <row r="697">
          <cell r="F697" t="str">
            <v/>
          </cell>
        </row>
        <row r="698">
          <cell r="F698" t="str">
            <v/>
          </cell>
        </row>
        <row r="699">
          <cell r="F699" t="str">
            <v/>
          </cell>
        </row>
        <row r="700">
          <cell r="F700" t="str">
            <v/>
          </cell>
        </row>
        <row r="701">
          <cell r="F701" t="str">
            <v/>
          </cell>
        </row>
        <row r="702">
          <cell r="F702" t="str">
            <v/>
          </cell>
        </row>
        <row r="703">
          <cell r="F703" t="str">
            <v/>
          </cell>
        </row>
        <row r="704">
          <cell r="F704" t="str">
            <v/>
          </cell>
        </row>
        <row r="705">
          <cell r="F705" t="str">
            <v/>
          </cell>
        </row>
        <row r="706">
          <cell r="F706" t="str">
            <v/>
          </cell>
        </row>
        <row r="707">
          <cell r="F707" t="str">
            <v/>
          </cell>
        </row>
        <row r="708">
          <cell r="F708" t="str">
            <v/>
          </cell>
        </row>
        <row r="709">
          <cell r="F709" t="str">
            <v/>
          </cell>
        </row>
        <row r="710">
          <cell r="F710" t="str">
            <v/>
          </cell>
        </row>
        <row r="711">
          <cell r="F711" t="str">
            <v/>
          </cell>
        </row>
        <row r="712">
          <cell r="F712" t="str">
            <v/>
          </cell>
        </row>
        <row r="713">
          <cell r="F713" t="str">
            <v/>
          </cell>
        </row>
        <row r="714">
          <cell r="F714" t="str">
            <v/>
          </cell>
        </row>
        <row r="715">
          <cell r="F715" t="str">
            <v/>
          </cell>
        </row>
        <row r="716">
          <cell r="F716" t="str">
            <v/>
          </cell>
        </row>
        <row r="717">
          <cell r="F717" t="str">
            <v/>
          </cell>
        </row>
        <row r="718">
          <cell r="F718" t="str">
            <v/>
          </cell>
        </row>
        <row r="719">
          <cell r="F719" t="str">
            <v/>
          </cell>
        </row>
        <row r="720">
          <cell r="F720" t="str">
            <v/>
          </cell>
        </row>
        <row r="721">
          <cell r="F721" t="str">
            <v/>
          </cell>
        </row>
        <row r="722">
          <cell r="F722" t="str">
            <v/>
          </cell>
        </row>
        <row r="723">
          <cell r="F723" t="str">
            <v/>
          </cell>
        </row>
        <row r="724">
          <cell r="F724" t="str">
            <v/>
          </cell>
        </row>
        <row r="725">
          <cell r="F725" t="str">
            <v/>
          </cell>
        </row>
        <row r="726">
          <cell r="F726" t="str">
            <v/>
          </cell>
        </row>
        <row r="727">
          <cell r="F727" t="str">
            <v/>
          </cell>
        </row>
        <row r="728">
          <cell r="F728" t="str">
            <v/>
          </cell>
        </row>
        <row r="729">
          <cell r="F729" t="str">
            <v/>
          </cell>
        </row>
        <row r="730">
          <cell r="F730" t="str">
            <v/>
          </cell>
        </row>
        <row r="731">
          <cell r="F731" t="str">
            <v/>
          </cell>
        </row>
        <row r="732">
          <cell r="F732" t="str">
            <v/>
          </cell>
        </row>
        <row r="733">
          <cell r="F733" t="str">
            <v/>
          </cell>
        </row>
        <row r="734">
          <cell r="F734" t="str">
            <v/>
          </cell>
        </row>
        <row r="735">
          <cell r="F735" t="str">
            <v/>
          </cell>
        </row>
        <row r="736">
          <cell r="F736" t="str">
            <v/>
          </cell>
        </row>
        <row r="737">
          <cell r="F737" t="str">
            <v/>
          </cell>
        </row>
        <row r="738">
          <cell r="F738" t="str">
            <v/>
          </cell>
        </row>
        <row r="739">
          <cell r="F739" t="str">
            <v/>
          </cell>
        </row>
        <row r="740">
          <cell r="F740" t="str">
            <v/>
          </cell>
        </row>
        <row r="741">
          <cell r="F741" t="str">
            <v/>
          </cell>
        </row>
        <row r="742">
          <cell r="F742" t="str">
            <v/>
          </cell>
        </row>
        <row r="743">
          <cell r="F743" t="str">
            <v/>
          </cell>
        </row>
        <row r="744">
          <cell r="F744" t="str">
            <v/>
          </cell>
        </row>
        <row r="745">
          <cell r="F745" t="str">
            <v/>
          </cell>
        </row>
        <row r="746">
          <cell r="F746" t="str">
            <v/>
          </cell>
        </row>
        <row r="747">
          <cell r="F747" t="str">
            <v/>
          </cell>
        </row>
        <row r="748">
          <cell r="F748" t="str">
            <v/>
          </cell>
        </row>
        <row r="749">
          <cell r="F749" t="str">
            <v/>
          </cell>
        </row>
        <row r="750">
          <cell r="F750" t="str">
            <v/>
          </cell>
        </row>
        <row r="751">
          <cell r="F751" t="str">
            <v/>
          </cell>
        </row>
        <row r="752">
          <cell r="F752" t="str">
            <v/>
          </cell>
        </row>
        <row r="753">
          <cell r="F753" t="str">
            <v/>
          </cell>
        </row>
        <row r="754">
          <cell r="F754" t="str">
            <v/>
          </cell>
        </row>
        <row r="755">
          <cell r="F755" t="str">
            <v/>
          </cell>
        </row>
        <row r="756">
          <cell r="F756" t="str">
            <v/>
          </cell>
        </row>
        <row r="757">
          <cell r="F757" t="str">
            <v/>
          </cell>
        </row>
        <row r="758">
          <cell r="F758" t="str">
            <v/>
          </cell>
        </row>
        <row r="759">
          <cell r="F759" t="str">
            <v/>
          </cell>
        </row>
        <row r="760">
          <cell r="F760" t="str">
            <v/>
          </cell>
        </row>
        <row r="761">
          <cell r="F761" t="str">
            <v/>
          </cell>
        </row>
        <row r="762">
          <cell r="F762" t="str">
            <v/>
          </cell>
        </row>
        <row r="763">
          <cell r="F763" t="str">
            <v/>
          </cell>
        </row>
        <row r="764">
          <cell r="F764" t="str">
            <v/>
          </cell>
        </row>
        <row r="765">
          <cell r="F765" t="str">
            <v/>
          </cell>
        </row>
        <row r="766">
          <cell r="F766" t="str">
            <v/>
          </cell>
        </row>
        <row r="767">
          <cell r="F767" t="str">
            <v/>
          </cell>
        </row>
        <row r="768">
          <cell r="F768" t="str">
            <v/>
          </cell>
        </row>
        <row r="769">
          <cell r="F769" t="str">
            <v/>
          </cell>
        </row>
        <row r="770">
          <cell r="F770" t="str">
            <v/>
          </cell>
        </row>
        <row r="771">
          <cell r="F771" t="str">
            <v/>
          </cell>
        </row>
        <row r="772">
          <cell r="F772" t="str">
            <v/>
          </cell>
        </row>
        <row r="773">
          <cell r="F773" t="str">
            <v/>
          </cell>
        </row>
        <row r="774">
          <cell r="F774" t="str">
            <v/>
          </cell>
        </row>
        <row r="775">
          <cell r="F775" t="str">
            <v/>
          </cell>
        </row>
        <row r="776">
          <cell r="F776" t="str">
            <v/>
          </cell>
        </row>
        <row r="777">
          <cell r="F777" t="str">
            <v/>
          </cell>
        </row>
        <row r="778">
          <cell r="F778" t="str">
            <v/>
          </cell>
        </row>
        <row r="779">
          <cell r="F779" t="str">
            <v/>
          </cell>
        </row>
        <row r="780">
          <cell r="F780" t="str">
            <v/>
          </cell>
        </row>
        <row r="781">
          <cell r="F781" t="str">
            <v/>
          </cell>
        </row>
        <row r="782">
          <cell r="F782" t="str">
            <v/>
          </cell>
        </row>
        <row r="783">
          <cell r="F783" t="str">
            <v/>
          </cell>
        </row>
        <row r="784">
          <cell r="F784" t="str">
            <v/>
          </cell>
        </row>
        <row r="785">
          <cell r="F785" t="str">
            <v/>
          </cell>
        </row>
        <row r="786">
          <cell r="F786" t="str">
            <v/>
          </cell>
        </row>
        <row r="787">
          <cell r="F787" t="str">
            <v/>
          </cell>
        </row>
        <row r="788">
          <cell r="F788" t="str">
            <v/>
          </cell>
        </row>
        <row r="789">
          <cell r="F789" t="str">
            <v/>
          </cell>
        </row>
        <row r="790">
          <cell r="F790" t="str">
            <v/>
          </cell>
        </row>
        <row r="791">
          <cell r="F791" t="str">
            <v/>
          </cell>
        </row>
        <row r="792">
          <cell r="F792" t="str">
            <v/>
          </cell>
        </row>
        <row r="793">
          <cell r="F793" t="str">
            <v/>
          </cell>
        </row>
        <row r="794">
          <cell r="F794" t="str">
            <v/>
          </cell>
        </row>
        <row r="795">
          <cell r="F795" t="str">
            <v/>
          </cell>
        </row>
        <row r="796">
          <cell r="F796" t="str">
            <v/>
          </cell>
        </row>
        <row r="797">
          <cell r="F797" t="str">
            <v/>
          </cell>
        </row>
        <row r="798">
          <cell r="F798" t="str">
            <v/>
          </cell>
        </row>
        <row r="799">
          <cell r="F799" t="str">
            <v/>
          </cell>
        </row>
        <row r="800">
          <cell r="F800" t="str">
            <v/>
          </cell>
        </row>
        <row r="801">
          <cell r="F801" t="str">
            <v/>
          </cell>
        </row>
        <row r="802">
          <cell r="F802" t="str">
            <v/>
          </cell>
        </row>
        <row r="803">
          <cell r="F803" t="str">
            <v/>
          </cell>
        </row>
        <row r="804">
          <cell r="F804" t="str">
            <v/>
          </cell>
        </row>
        <row r="805">
          <cell r="F805" t="str">
            <v/>
          </cell>
        </row>
        <row r="806">
          <cell r="F806" t="str">
            <v/>
          </cell>
        </row>
        <row r="807">
          <cell r="F807" t="str">
            <v/>
          </cell>
        </row>
        <row r="808">
          <cell r="F808" t="str">
            <v/>
          </cell>
        </row>
        <row r="809">
          <cell r="F809" t="str">
            <v/>
          </cell>
        </row>
        <row r="810">
          <cell r="F810" t="str">
            <v/>
          </cell>
        </row>
        <row r="811">
          <cell r="F811" t="str">
            <v/>
          </cell>
        </row>
        <row r="812">
          <cell r="F812" t="str">
            <v/>
          </cell>
        </row>
        <row r="813">
          <cell r="F813" t="str">
            <v/>
          </cell>
        </row>
        <row r="814">
          <cell r="F814" t="str">
            <v/>
          </cell>
        </row>
        <row r="815">
          <cell r="F815" t="str">
            <v/>
          </cell>
        </row>
        <row r="816">
          <cell r="F816" t="str">
            <v/>
          </cell>
        </row>
        <row r="817">
          <cell r="F817" t="str">
            <v/>
          </cell>
        </row>
        <row r="818">
          <cell r="F818" t="str">
            <v/>
          </cell>
        </row>
        <row r="819">
          <cell r="F819" t="str">
            <v/>
          </cell>
        </row>
        <row r="820">
          <cell r="F820" t="str">
            <v/>
          </cell>
        </row>
        <row r="821">
          <cell r="F821" t="str">
            <v/>
          </cell>
        </row>
        <row r="822">
          <cell r="F822" t="str">
            <v/>
          </cell>
        </row>
        <row r="823">
          <cell r="F823" t="str">
            <v/>
          </cell>
        </row>
        <row r="824">
          <cell r="F824" t="str">
            <v/>
          </cell>
        </row>
        <row r="825">
          <cell r="F825" t="str">
            <v/>
          </cell>
        </row>
        <row r="826">
          <cell r="F826" t="str">
            <v/>
          </cell>
        </row>
        <row r="827">
          <cell r="F827" t="str">
            <v/>
          </cell>
        </row>
        <row r="828">
          <cell r="F828" t="str">
            <v/>
          </cell>
        </row>
        <row r="829">
          <cell r="F829" t="str">
            <v/>
          </cell>
        </row>
        <row r="830">
          <cell r="F830" t="str">
            <v/>
          </cell>
        </row>
        <row r="831">
          <cell r="F831" t="str">
            <v/>
          </cell>
        </row>
        <row r="832">
          <cell r="F832" t="str">
            <v/>
          </cell>
        </row>
        <row r="833">
          <cell r="F833" t="str">
            <v/>
          </cell>
        </row>
        <row r="834">
          <cell r="F834" t="str">
            <v/>
          </cell>
        </row>
        <row r="835">
          <cell r="F835" t="str">
            <v/>
          </cell>
        </row>
        <row r="836">
          <cell r="F836" t="str">
            <v/>
          </cell>
        </row>
        <row r="837">
          <cell r="F837" t="str">
            <v/>
          </cell>
        </row>
        <row r="838">
          <cell r="F838" t="str">
            <v/>
          </cell>
        </row>
        <row r="839">
          <cell r="F839" t="str">
            <v/>
          </cell>
        </row>
        <row r="840">
          <cell r="F840" t="str">
            <v/>
          </cell>
        </row>
        <row r="841">
          <cell r="F841" t="str">
            <v/>
          </cell>
        </row>
        <row r="842">
          <cell r="F842" t="str">
            <v/>
          </cell>
        </row>
        <row r="843">
          <cell r="F843" t="str">
            <v/>
          </cell>
        </row>
        <row r="844">
          <cell r="F844" t="str">
            <v/>
          </cell>
        </row>
        <row r="845">
          <cell r="F845" t="str">
            <v/>
          </cell>
        </row>
        <row r="846">
          <cell r="F846" t="str">
            <v/>
          </cell>
        </row>
        <row r="847">
          <cell r="F847" t="str">
            <v/>
          </cell>
        </row>
        <row r="848">
          <cell r="F848" t="str">
            <v/>
          </cell>
        </row>
        <row r="849">
          <cell r="F849" t="str">
            <v/>
          </cell>
        </row>
        <row r="850">
          <cell r="F850" t="str">
            <v/>
          </cell>
        </row>
        <row r="851">
          <cell r="F851" t="str">
            <v/>
          </cell>
        </row>
        <row r="852">
          <cell r="F852" t="str">
            <v/>
          </cell>
        </row>
        <row r="853">
          <cell r="F853" t="str">
            <v/>
          </cell>
        </row>
        <row r="854">
          <cell r="F854" t="str">
            <v/>
          </cell>
        </row>
        <row r="855">
          <cell r="F855" t="str">
            <v/>
          </cell>
        </row>
        <row r="856">
          <cell r="F856" t="str">
            <v/>
          </cell>
        </row>
        <row r="857">
          <cell r="F857" t="str">
            <v/>
          </cell>
        </row>
        <row r="858">
          <cell r="F858" t="str">
            <v/>
          </cell>
        </row>
        <row r="859">
          <cell r="F859" t="str">
            <v/>
          </cell>
        </row>
        <row r="860">
          <cell r="F860" t="str">
            <v/>
          </cell>
        </row>
        <row r="861">
          <cell r="F861" t="str">
            <v/>
          </cell>
        </row>
        <row r="862">
          <cell r="F862" t="str">
            <v/>
          </cell>
        </row>
        <row r="863">
          <cell r="F863" t="str">
            <v/>
          </cell>
        </row>
        <row r="864">
          <cell r="F864" t="str">
            <v/>
          </cell>
        </row>
        <row r="865">
          <cell r="F865" t="str">
            <v/>
          </cell>
        </row>
        <row r="866">
          <cell r="F866" t="str">
            <v/>
          </cell>
        </row>
        <row r="867">
          <cell r="F867" t="str">
            <v/>
          </cell>
        </row>
        <row r="868">
          <cell r="F868" t="str">
            <v/>
          </cell>
        </row>
        <row r="869">
          <cell r="F869" t="str">
            <v/>
          </cell>
        </row>
        <row r="870">
          <cell r="F870" t="str">
            <v/>
          </cell>
        </row>
        <row r="871">
          <cell r="F871" t="str">
            <v/>
          </cell>
        </row>
        <row r="872">
          <cell r="F872" t="str">
            <v/>
          </cell>
        </row>
        <row r="873">
          <cell r="F873" t="str">
            <v/>
          </cell>
        </row>
        <row r="874">
          <cell r="F874" t="str">
            <v/>
          </cell>
        </row>
        <row r="875">
          <cell r="F875" t="str">
            <v/>
          </cell>
        </row>
        <row r="876">
          <cell r="F876" t="str">
            <v/>
          </cell>
        </row>
        <row r="877">
          <cell r="F877" t="str">
            <v/>
          </cell>
        </row>
        <row r="878">
          <cell r="F878" t="str">
            <v/>
          </cell>
        </row>
        <row r="879">
          <cell r="F879" t="str">
            <v/>
          </cell>
        </row>
        <row r="880">
          <cell r="F880" t="str">
            <v/>
          </cell>
        </row>
        <row r="881">
          <cell r="F881" t="str">
            <v/>
          </cell>
        </row>
        <row r="882">
          <cell r="F882" t="str">
            <v/>
          </cell>
        </row>
        <row r="883">
          <cell r="F883" t="str">
            <v/>
          </cell>
        </row>
        <row r="884">
          <cell r="F884" t="str">
            <v/>
          </cell>
        </row>
        <row r="885">
          <cell r="F885" t="str">
            <v/>
          </cell>
        </row>
        <row r="886">
          <cell r="F886" t="str">
            <v/>
          </cell>
        </row>
        <row r="887">
          <cell r="F887" t="str">
            <v/>
          </cell>
        </row>
        <row r="888">
          <cell r="F888" t="str">
            <v/>
          </cell>
        </row>
        <row r="889">
          <cell r="F889" t="str">
            <v/>
          </cell>
        </row>
        <row r="890">
          <cell r="F890" t="str">
            <v/>
          </cell>
        </row>
        <row r="891">
          <cell r="F891" t="str">
            <v/>
          </cell>
        </row>
        <row r="892">
          <cell r="F892" t="str">
            <v/>
          </cell>
        </row>
        <row r="893">
          <cell r="F893" t="str">
            <v/>
          </cell>
        </row>
        <row r="894">
          <cell r="F894" t="str">
            <v/>
          </cell>
        </row>
        <row r="895">
          <cell r="F895" t="str">
            <v/>
          </cell>
        </row>
        <row r="896">
          <cell r="F896" t="str">
            <v/>
          </cell>
        </row>
        <row r="897">
          <cell r="F897" t="str">
            <v/>
          </cell>
        </row>
        <row r="898">
          <cell r="F898" t="str">
            <v/>
          </cell>
        </row>
        <row r="899">
          <cell r="F899" t="str">
            <v/>
          </cell>
        </row>
        <row r="900">
          <cell r="F900" t="str">
            <v/>
          </cell>
        </row>
        <row r="901">
          <cell r="F901" t="str">
            <v/>
          </cell>
        </row>
        <row r="902">
          <cell r="F902" t="str">
            <v/>
          </cell>
        </row>
        <row r="903">
          <cell r="F903" t="str">
            <v/>
          </cell>
        </row>
        <row r="904">
          <cell r="F904" t="str">
            <v/>
          </cell>
        </row>
        <row r="905">
          <cell r="F905" t="str">
            <v/>
          </cell>
        </row>
        <row r="906">
          <cell r="F906" t="str">
            <v/>
          </cell>
        </row>
        <row r="907">
          <cell r="F907" t="str">
            <v/>
          </cell>
        </row>
        <row r="908">
          <cell r="F908" t="str">
            <v/>
          </cell>
        </row>
        <row r="909">
          <cell r="F909" t="str">
            <v/>
          </cell>
        </row>
        <row r="910">
          <cell r="F910" t="str">
            <v/>
          </cell>
        </row>
        <row r="911">
          <cell r="F911" t="str">
            <v/>
          </cell>
        </row>
        <row r="912">
          <cell r="F912" t="str">
            <v/>
          </cell>
        </row>
        <row r="913">
          <cell r="F913" t="str">
            <v/>
          </cell>
        </row>
        <row r="914">
          <cell r="F914" t="str">
            <v/>
          </cell>
        </row>
        <row r="915">
          <cell r="F915" t="str">
            <v/>
          </cell>
        </row>
        <row r="916">
          <cell r="F916" t="str">
            <v/>
          </cell>
        </row>
        <row r="917">
          <cell r="F917" t="str">
            <v/>
          </cell>
        </row>
        <row r="918">
          <cell r="F918" t="str">
            <v/>
          </cell>
        </row>
        <row r="919">
          <cell r="F919" t="str">
            <v/>
          </cell>
        </row>
        <row r="920">
          <cell r="F920" t="str">
            <v/>
          </cell>
        </row>
        <row r="921">
          <cell r="F921" t="str">
            <v/>
          </cell>
        </row>
        <row r="922">
          <cell r="F922" t="str">
            <v/>
          </cell>
        </row>
        <row r="923">
          <cell r="F923" t="str">
            <v/>
          </cell>
        </row>
        <row r="924">
          <cell r="F924" t="str">
            <v/>
          </cell>
        </row>
        <row r="925">
          <cell r="F925" t="str">
            <v/>
          </cell>
        </row>
        <row r="926">
          <cell r="F926" t="str">
            <v/>
          </cell>
        </row>
        <row r="927">
          <cell r="F927" t="str">
            <v/>
          </cell>
        </row>
        <row r="928">
          <cell r="F928" t="str">
            <v/>
          </cell>
        </row>
        <row r="929">
          <cell r="F929" t="str">
            <v/>
          </cell>
        </row>
        <row r="930">
          <cell r="F930" t="str">
            <v/>
          </cell>
        </row>
        <row r="931">
          <cell r="F931" t="str">
            <v/>
          </cell>
        </row>
        <row r="932">
          <cell r="F932" t="str">
            <v/>
          </cell>
        </row>
        <row r="933">
          <cell r="F933" t="str">
            <v/>
          </cell>
        </row>
        <row r="934">
          <cell r="F934" t="str">
            <v/>
          </cell>
        </row>
        <row r="935">
          <cell r="F935" t="str">
            <v/>
          </cell>
        </row>
        <row r="936">
          <cell r="F936" t="str">
            <v/>
          </cell>
        </row>
        <row r="937">
          <cell r="F937" t="str">
            <v/>
          </cell>
        </row>
        <row r="938">
          <cell r="F938" t="str">
            <v/>
          </cell>
        </row>
        <row r="939">
          <cell r="F939" t="str">
            <v/>
          </cell>
        </row>
        <row r="940">
          <cell r="F940" t="str">
            <v/>
          </cell>
        </row>
        <row r="941">
          <cell r="F941" t="str">
            <v/>
          </cell>
        </row>
        <row r="942">
          <cell r="F942" t="str">
            <v/>
          </cell>
        </row>
        <row r="943">
          <cell r="F943" t="str">
            <v/>
          </cell>
        </row>
        <row r="944">
          <cell r="F944" t="str">
            <v/>
          </cell>
        </row>
        <row r="945">
          <cell r="F945" t="str">
            <v/>
          </cell>
        </row>
        <row r="946">
          <cell r="F946" t="str">
            <v/>
          </cell>
        </row>
        <row r="947">
          <cell r="F947" t="str">
            <v/>
          </cell>
        </row>
        <row r="948">
          <cell r="F948" t="str">
            <v/>
          </cell>
        </row>
        <row r="949">
          <cell r="F949" t="str">
            <v/>
          </cell>
        </row>
        <row r="950">
          <cell r="F950" t="str">
            <v/>
          </cell>
        </row>
        <row r="951">
          <cell r="F951" t="str">
            <v/>
          </cell>
        </row>
        <row r="952">
          <cell r="F952" t="str">
            <v/>
          </cell>
        </row>
        <row r="953">
          <cell r="F953" t="str">
            <v/>
          </cell>
        </row>
        <row r="954">
          <cell r="F954" t="str">
            <v/>
          </cell>
        </row>
        <row r="955">
          <cell r="F955" t="str">
            <v/>
          </cell>
        </row>
        <row r="956">
          <cell r="F956" t="str">
            <v/>
          </cell>
        </row>
        <row r="957">
          <cell r="F957" t="str">
            <v/>
          </cell>
        </row>
        <row r="958">
          <cell r="F958" t="str">
            <v/>
          </cell>
        </row>
        <row r="959">
          <cell r="F959" t="str">
            <v/>
          </cell>
        </row>
        <row r="960">
          <cell r="F960" t="str">
            <v/>
          </cell>
        </row>
        <row r="961">
          <cell r="F961" t="str">
            <v/>
          </cell>
        </row>
        <row r="962">
          <cell r="F962" t="str">
            <v/>
          </cell>
        </row>
        <row r="963">
          <cell r="F963" t="str">
            <v/>
          </cell>
        </row>
        <row r="964">
          <cell r="F964" t="str">
            <v/>
          </cell>
        </row>
        <row r="965">
          <cell r="F965" t="str">
            <v/>
          </cell>
        </row>
        <row r="966">
          <cell r="F966" t="str">
            <v/>
          </cell>
        </row>
        <row r="967">
          <cell r="F967" t="str">
            <v/>
          </cell>
        </row>
        <row r="968">
          <cell r="F968" t="str">
            <v/>
          </cell>
        </row>
        <row r="969">
          <cell r="F969" t="str">
            <v/>
          </cell>
        </row>
        <row r="970">
          <cell r="F970" t="str">
            <v/>
          </cell>
        </row>
        <row r="971">
          <cell r="F971" t="str">
            <v/>
          </cell>
        </row>
        <row r="972">
          <cell r="F972" t="str">
            <v/>
          </cell>
        </row>
        <row r="973">
          <cell r="F973" t="str">
            <v/>
          </cell>
        </row>
        <row r="974">
          <cell r="F974" t="str">
            <v/>
          </cell>
        </row>
        <row r="975">
          <cell r="F975" t="str">
            <v/>
          </cell>
        </row>
        <row r="976">
          <cell r="F976" t="str">
            <v/>
          </cell>
        </row>
        <row r="977">
          <cell r="F977" t="str">
            <v/>
          </cell>
        </row>
        <row r="978">
          <cell r="F978" t="str">
            <v/>
          </cell>
        </row>
        <row r="979">
          <cell r="F979" t="str">
            <v/>
          </cell>
        </row>
        <row r="980">
          <cell r="F980" t="str">
            <v/>
          </cell>
        </row>
        <row r="981">
          <cell r="F981" t="str">
            <v/>
          </cell>
        </row>
        <row r="982">
          <cell r="F982" t="str">
            <v/>
          </cell>
        </row>
        <row r="983">
          <cell r="F983" t="str">
            <v/>
          </cell>
        </row>
        <row r="984">
          <cell r="F984" t="str">
            <v/>
          </cell>
        </row>
        <row r="985">
          <cell r="F985" t="str">
            <v/>
          </cell>
        </row>
        <row r="986">
          <cell r="F986" t="str">
            <v/>
          </cell>
        </row>
        <row r="987">
          <cell r="F987" t="str">
            <v/>
          </cell>
        </row>
        <row r="988">
          <cell r="F988" t="str">
            <v/>
          </cell>
        </row>
        <row r="989">
          <cell r="F989" t="str">
            <v/>
          </cell>
        </row>
        <row r="990">
          <cell r="F990" t="str">
            <v/>
          </cell>
        </row>
        <row r="991">
          <cell r="F991" t="str">
            <v/>
          </cell>
        </row>
        <row r="992">
          <cell r="F992" t="str">
            <v/>
          </cell>
        </row>
        <row r="993">
          <cell r="F993" t="str">
            <v/>
          </cell>
        </row>
        <row r="994">
          <cell r="F994" t="str">
            <v/>
          </cell>
        </row>
        <row r="995">
          <cell r="F995" t="str">
            <v/>
          </cell>
        </row>
        <row r="996">
          <cell r="F996" t="str">
            <v/>
          </cell>
        </row>
        <row r="997">
          <cell r="F997" t="str">
            <v/>
          </cell>
        </row>
        <row r="998">
          <cell r="F998" t="str">
            <v/>
          </cell>
        </row>
      </sheetData>
      <sheetData sheetId="1">
        <row r="1">
          <cell r="F1" t="str">
            <v>Approved Brokers List</v>
          </cell>
        </row>
        <row r="4">
          <cell r="I4">
            <v>39164</v>
          </cell>
        </row>
        <row r="5">
          <cell r="I5">
            <v>39308</v>
          </cell>
        </row>
        <row r="6">
          <cell r="I6">
            <v>39203</v>
          </cell>
        </row>
        <row r="7">
          <cell r="I7">
            <v>39118</v>
          </cell>
        </row>
        <row r="8">
          <cell r="I8">
            <v>39441</v>
          </cell>
        </row>
      </sheetData>
      <sheetData sheetId="2">
        <row r="4">
          <cell r="H4" t="str">
            <v>AHSL</v>
          </cell>
        </row>
        <row r="5">
          <cell r="H5" t="str">
            <v>AICL</v>
          </cell>
        </row>
        <row r="6">
          <cell r="H6" t="str">
            <v>ANL</v>
          </cell>
        </row>
        <row r="7">
          <cell r="H7" t="str">
            <v>ATRL</v>
          </cell>
        </row>
        <row r="8">
          <cell r="H8" t="str">
            <v>BAFL</v>
          </cell>
        </row>
        <row r="9">
          <cell r="H9" t="str">
            <v>BAHL</v>
          </cell>
        </row>
        <row r="10">
          <cell r="H10" t="str">
            <v>BOP</v>
          </cell>
        </row>
        <row r="11">
          <cell r="H11" t="str">
            <v>DGKC</v>
          </cell>
        </row>
        <row r="12">
          <cell r="H12" t="str">
            <v>ENGRO</v>
          </cell>
        </row>
        <row r="13">
          <cell r="H13" t="str">
            <v>FABL</v>
          </cell>
        </row>
        <row r="14">
          <cell r="H14" t="str">
            <v>FCCL</v>
          </cell>
        </row>
        <row r="15">
          <cell r="H15" t="str">
            <v>FFBL</v>
          </cell>
        </row>
        <row r="16">
          <cell r="H16" t="str">
            <v>FFC</v>
          </cell>
        </row>
        <row r="17">
          <cell r="H17" t="str">
            <v>HUBC</v>
          </cell>
        </row>
        <row r="18">
          <cell r="H18" t="str">
            <v>KAPCO</v>
          </cell>
        </row>
        <row r="19">
          <cell r="H19" t="str">
            <v>LUCK</v>
          </cell>
        </row>
        <row r="20">
          <cell r="H20" t="str">
            <v>MCB</v>
          </cell>
        </row>
        <row r="21">
          <cell r="H21" t="str">
            <v>NBP</v>
          </cell>
        </row>
        <row r="22">
          <cell r="H22" t="str">
            <v>NML</v>
          </cell>
        </row>
        <row r="23">
          <cell r="H23" t="str">
            <v>OGDC</v>
          </cell>
        </row>
        <row r="24">
          <cell r="H24" t="str">
            <v>PICB</v>
          </cell>
        </row>
        <row r="25">
          <cell r="H25" t="str">
            <v>POL</v>
          </cell>
        </row>
        <row r="26">
          <cell r="H26" t="str">
            <v>PPL</v>
          </cell>
        </row>
        <row r="27">
          <cell r="H27" t="str">
            <v>PSO</v>
          </cell>
        </row>
        <row r="28">
          <cell r="H28" t="str">
            <v>PTC</v>
          </cell>
        </row>
        <row r="29">
          <cell r="H29" t="str">
            <v>SHEL</v>
          </cell>
        </row>
        <row r="30">
          <cell r="H30" t="str">
            <v>SNGP</v>
          </cell>
        </row>
        <row r="31">
          <cell r="H31" t="str">
            <v>SSGC</v>
          </cell>
        </row>
        <row r="32">
          <cell r="H32" t="str">
            <v>UBL</v>
          </cell>
        </row>
        <row r="33">
          <cell r="H33" t="str">
            <v/>
          </cell>
        </row>
        <row r="34">
          <cell r="H34" t="str">
            <v/>
          </cell>
        </row>
        <row r="35">
          <cell r="H35" t="str">
            <v/>
          </cell>
        </row>
        <row r="36">
          <cell r="H36" t="str">
            <v/>
          </cell>
        </row>
        <row r="37">
          <cell r="H37" t="str">
            <v/>
          </cell>
        </row>
        <row r="38">
          <cell r="H38" t="str">
            <v/>
          </cell>
        </row>
        <row r="39">
          <cell r="H39" t="str">
            <v/>
          </cell>
        </row>
        <row r="40">
          <cell r="H40" t="str">
            <v/>
          </cell>
        </row>
        <row r="41">
          <cell r="H41" t="str">
            <v/>
          </cell>
        </row>
        <row r="42">
          <cell r="H42" t="str">
            <v/>
          </cell>
        </row>
        <row r="43">
          <cell r="H43" t="str">
            <v/>
          </cell>
        </row>
        <row r="44">
          <cell r="H44" t="str">
            <v/>
          </cell>
        </row>
        <row r="45">
          <cell r="H45" t="str">
            <v/>
          </cell>
        </row>
        <row r="46">
          <cell r="H46" t="str">
            <v/>
          </cell>
        </row>
        <row r="47">
          <cell r="H47" t="str">
            <v/>
          </cell>
        </row>
        <row r="48">
          <cell r="H48" t="str">
            <v/>
          </cell>
        </row>
        <row r="49">
          <cell r="H49" t="str">
            <v/>
          </cell>
        </row>
        <row r="50">
          <cell r="H50" t="str">
            <v/>
          </cell>
        </row>
        <row r="51">
          <cell r="H51" t="str">
            <v/>
          </cell>
        </row>
        <row r="52">
          <cell r="H52" t="str">
            <v/>
          </cell>
        </row>
        <row r="53">
          <cell r="H53" t="str">
            <v/>
          </cell>
        </row>
        <row r="54">
          <cell r="H54" t="str">
            <v/>
          </cell>
        </row>
        <row r="55">
          <cell r="H55" t="str">
            <v/>
          </cell>
        </row>
        <row r="56">
          <cell r="H56" t="str">
            <v/>
          </cell>
        </row>
        <row r="57">
          <cell r="H57" t="str">
            <v/>
          </cell>
        </row>
        <row r="58">
          <cell r="H58" t="str">
            <v/>
          </cell>
        </row>
        <row r="59">
          <cell r="H59" t="str">
            <v/>
          </cell>
        </row>
        <row r="60">
          <cell r="H60" t="str">
            <v/>
          </cell>
        </row>
        <row r="61">
          <cell r="H61" t="str">
            <v/>
          </cell>
        </row>
        <row r="62">
          <cell r="H62" t="str">
            <v/>
          </cell>
        </row>
        <row r="63">
          <cell r="H63" t="str">
            <v/>
          </cell>
        </row>
        <row r="64">
          <cell r="H64" t="str">
            <v/>
          </cell>
        </row>
        <row r="65">
          <cell r="H65" t="str">
            <v/>
          </cell>
        </row>
        <row r="66">
          <cell r="H66" t="str">
            <v/>
          </cell>
        </row>
        <row r="67">
          <cell r="H67" t="str">
            <v/>
          </cell>
        </row>
        <row r="68">
          <cell r="H68" t="str">
            <v/>
          </cell>
        </row>
        <row r="69">
          <cell r="H69" t="str">
            <v/>
          </cell>
        </row>
        <row r="70">
          <cell r="H70" t="str">
            <v/>
          </cell>
        </row>
        <row r="71">
          <cell r="H71" t="str">
            <v/>
          </cell>
        </row>
        <row r="72">
          <cell r="H72" t="str">
            <v/>
          </cell>
        </row>
        <row r="73">
          <cell r="H73" t="str">
            <v/>
          </cell>
        </row>
        <row r="74">
          <cell r="H74" t="str">
            <v/>
          </cell>
        </row>
        <row r="75">
          <cell r="H75" t="str">
            <v/>
          </cell>
        </row>
        <row r="76">
          <cell r="H76" t="str">
            <v/>
          </cell>
        </row>
        <row r="77">
          <cell r="H77" t="str">
            <v/>
          </cell>
        </row>
        <row r="78">
          <cell r="H78" t="str">
            <v/>
          </cell>
        </row>
        <row r="79">
          <cell r="H79" t="str">
            <v/>
          </cell>
        </row>
        <row r="80">
          <cell r="H80" t="str">
            <v/>
          </cell>
        </row>
        <row r="81">
          <cell r="H81" t="str">
            <v/>
          </cell>
        </row>
        <row r="82">
          <cell r="H82" t="str">
            <v/>
          </cell>
        </row>
        <row r="83">
          <cell r="H83" t="str">
            <v/>
          </cell>
        </row>
        <row r="84">
          <cell r="H84" t="str">
            <v/>
          </cell>
        </row>
        <row r="85">
          <cell r="H85" t="str">
            <v/>
          </cell>
        </row>
        <row r="86">
          <cell r="H86" t="str">
            <v/>
          </cell>
        </row>
        <row r="87">
          <cell r="H87" t="str">
            <v/>
          </cell>
        </row>
        <row r="88">
          <cell r="H88" t="str">
            <v/>
          </cell>
        </row>
        <row r="89">
          <cell r="H89" t="str">
            <v/>
          </cell>
        </row>
        <row r="90">
          <cell r="H90" t="str">
            <v/>
          </cell>
        </row>
        <row r="91">
          <cell r="H91" t="str">
            <v/>
          </cell>
        </row>
        <row r="92">
          <cell r="H92" t="str">
            <v/>
          </cell>
        </row>
        <row r="93">
          <cell r="H93" t="str">
            <v/>
          </cell>
        </row>
        <row r="94">
          <cell r="H94" t="str">
            <v/>
          </cell>
        </row>
        <row r="95">
          <cell r="H95" t="str">
            <v/>
          </cell>
        </row>
        <row r="96">
          <cell r="H96" t="str">
            <v/>
          </cell>
        </row>
        <row r="97">
          <cell r="H97" t="str">
            <v/>
          </cell>
        </row>
        <row r="98">
          <cell r="H98" t="str">
            <v/>
          </cell>
        </row>
        <row r="99">
          <cell r="H99" t="str">
            <v/>
          </cell>
        </row>
        <row r="100">
          <cell r="H100" t="str">
            <v/>
          </cell>
        </row>
        <row r="101">
          <cell r="H101" t="str">
            <v/>
          </cell>
        </row>
        <row r="102">
          <cell r="H102" t="str">
            <v/>
          </cell>
        </row>
        <row r="103">
          <cell r="H103" t="str">
            <v/>
          </cell>
        </row>
        <row r="104">
          <cell r="H104" t="str">
            <v/>
          </cell>
        </row>
        <row r="105">
          <cell r="H105" t="str">
            <v/>
          </cell>
        </row>
        <row r="106">
          <cell r="H106" t="str">
            <v/>
          </cell>
        </row>
        <row r="107">
          <cell r="H107" t="str">
            <v/>
          </cell>
        </row>
        <row r="108">
          <cell r="H108" t="str">
            <v/>
          </cell>
        </row>
        <row r="109">
          <cell r="H109" t="str">
            <v/>
          </cell>
        </row>
        <row r="110">
          <cell r="H110" t="str">
            <v/>
          </cell>
        </row>
        <row r="111">
          <cell r="H111" t="str">
            <v/>
          </cell>
        </row>
        <row r="112">
          <cell r="H112" t="str">
            <v/>
          </cell>
        </row>
        <row r="113">
          <cell r="H113" t="str">
            <v/>
          </cell>
        </row>
        <row r="114">
          <cell r="H114" t="str">
            <v/>
          </cell>
        </row>
        <row r="115">
          <cell r="H115" t="str">
            <v/>
          </cell>
        </row>
        <row r="116">
          <cell r="H116" t="str">
            <v/>
          </cell>
        </row>
        <row r="117">
          <cell r="H117" t="str">
            <v/>
          </cell>
        </row>
        <row r="118">
          <cell r="H118" t="str">
            <v/>
          </cell>
        </row>
        <row r="119">
          <cell r="H119" t="str">
            <v/>
          </cell>
        </row>
        <row r="120">
          <cell r="H120" t="str">
            <v/>
          </cell>
        </row>
        <row r="121">
          <cell r="H121" t="str">
            <v/>
          </cell>
        </row>
        <row r="122">
          <cell r="H122" t="str">
            <v/>
          </cell>
        </row>
        <row r="123">
          <cell r="H123" t="str">
            <v/>
          </cell>
        </row>
        <row r="124">
          <cell r="H124" t="str">
            <v/>
          </cell>
        </row>
        <row r="125">
          <cell r="H125" t="str">
            <v/>
          </cell>
        </row>
        <row r="126">
          <cell r="H126" t="str">
            <v/>
          </cell>
        </row>
        <row r="127">
          <cell r="H127" t="str">
            <v/>
          </cell>
        </row>
        <row r="128">
          <cell r="H128" t="str">
            <v/>
          </cell>
        </row>
        <row r="129">
          <cell r="H129" t="str">
            <v/>
          </cell>
        </row>
        <row r="130">
          <cell r="H130" t="str">
            <v/>
          </cell>
        </row>
        <row r="131">
          <cell r="H131" t="str">
            <v/>
          </cell>
        </row>
        <row r="132">
          <cell r="H132" t="str">
            <v/>
          </cell>
        </row>
        <row r="133">
          <cell r="H133" t="str">
            <v/>
          </cell>
        </row>
        <row r="134">
          <cell r="H134" t="str">
            <v/>
          </cell>
        </row>
        <row r="135">
          <cell r="H135" t="str">
            <v/>
          </cell>
        </row>
        <row r="136">
          <cell r="H136" t="str">
            <v/>
          </cell>
        </row>
        <row r="137">
          <cell r="H137" t="str">
            <v/>
          </cell>
        </row>
        <row r="138">
          <cell r="H138" t="str">
            <v/>
          </cell>
        </row>
        <row r="139">
          <cell r="H139" t="str">
            <v/>
          </cell>
        </row>
        <row r="140">
          <cell r="H140" t="str">
            <v/>
          </cell>
        </row>
        <row r="141">
          <cell r="H141" t="str">
            <v/>
          </cell>
        </row>
        <row r="142">
          <cell r="H142" t="str">
            <v/>
          </cell>
        </row>
        <row r="143">
          <cell r="H143" t="str">
            <v/>
          </cell>
        </row>
        <row r="144">
          <cell r="H144" t="str">
            <v/>
          </cell>
        </row>
        <row r="145">
          <cell r="H145" t="str">
            <v/>
          </cell>
        </row>
        <row r="146">
          <cell r="H146" t="str">
            <v/>
          </cell>
        </row>
        <row r="147">
          <cell r="H147" t="str">
            <v/>
          </cell>
        </row>
        <row r="148">
          <cell r="H148" t="str">
            <v/>
          </cell>
        </row>
        <row r="149">
          <cell r="H149" t="str">
            <v/>
          </cell>
        </row>
        <row r="150">
          <cell r="H150" t="str">
            <v/>
          </cell>
        </row>
        <row r="151">
          <cell r="H151" t="str">
            <v/>
          </cell>
        </row>
        <row r="152">
          <cell r="H152" t="str">
            <v/>
          </cell>
        </row>
        <row r="153">
          <cell r="H153" t="str">
            <v/>
          </cell>
        </row>
        <row r="154">
          <cell r="H154" t="str">
            <v/>
          </cell>
        </row>
        <row r="155">
          <cell r="H155" t="str">
            <v/>
          </cell>
        </row>
        <row r="156">
          <cell r="H156" t="str">
            <v/>
          </cell>
        </row>
        <row r="157">
          <cell r="H157" t="str">
            <v/>
          </cell>
        </row>
        <row r="158">
          <cell r="H158" t="str">
            <v/>
          </cell>
        </row>
        <row r="159">
          <cell r="H159" t="str">
            <v/>
          </cell>
        </row>
        <row r="160">
          <cell r="H160" t="str">
            <v/>
          </cell>
        </row>
        <row r="161">
          <cell r="H161" t="str">
            <v/>
          </cell>
        </row>
        <row r="162">
          <cell r="H162" t="str">
            <v/>
          </cell>
        </row>
        <row r="163">
          <cell r="H163" t="str">
            <v/>
          </cell>
        </row>
        <row r="164">
          <cell r="H164" t="str">
            <v/>
          </cell>
        </row>
        <row r="165">
          <cell r="H165" t="str">
            <v/>
          </cell>
        </row>
        <row r="166">
          <cell r="H166" t="str">
            <v/>
          </cell>
        </row>
        <row r="167">
          <cell r="H167" t="str">
            <v/>
          </cell>
        </row>
        <row r="168">
          <cell r="H168" t="str">
            <v/>
          </cell>
        </row>
        <row r="169">
          <cell r="H169" t="str">
            <v/>
          </cell>
        </row>
        <row r="170">
          <cell r="H170" t="str">
            <v/>
          </cell>
        </row>
        <row r="171">
          <cell r="H171" t="str">
            <v/>
          </cell>
        </row>
        <row r="172">
          <cell r="H172" t="str">
            <v/>
          </cell>
        </row>
        <row r="173">
          <cell r="H173" t="str">
            <v/>
          </cell>
        </row>
        <row r="174">
          <cell r="H174" t="str">
            <v/>
          </cell>
        </row>
        <row r="175">
          <cell r="H175" t="str">
            <v/>
          </cell>
        </row>
        <row r="176">
          <cell r="H176" t="str">
            <v/>
          </cell>
        </row>
        <row r="177">
          <cell r="H177" t="str">
            <v/>
          </cell>
        </row>
        <row r="178">
          <cell r="H178" t="str">
            <v/>
          </cell>
        </row>
        <row r="179">
          <cell r="H179" t="str">
            <v/>
          </cell>
        </row>
        <row r="180">
          <cell r="H180" t="str">
            <v/>
          </cell>
        </row>
        <row r="181">
          <cell r="H181" t="str">
            <v/>
          </cell>
        </row>
        <row r="182">
          <cell r="H182" t="str">
            <v/>
          </cell>
        </row>
        <row r="183">
          <cell r="H183" t="str">
            <v/>
          </cell>
        </row>
        <row r="184">
          <cell r="H184" t="str">
            <v/>
          </cell>
        </row>
        <row r="185">
          <cell r="H185" t="str">
            <v/>
          </cell>
        </row>
        <row r="186">
          <cell r="H186" t="str">
            <v/>
          </cell>
        </row>
        <row r="187">
          <cell r="H187" t="str">
            <v/>
          </cell>
        </row>
        <row r="188">
          <cell r="H188" t="str">
            <v/>
          </cell>
        </row>
        <row r="189">
          <cell r="H189" t="str">
            <v/>
          </cell>
        </row>
        <row r="190">
          <cell r="H190" t="str">
            <v/>
          </cell>
        </row>
        <row r="191">
          <cell r="H191" t="str">
            <v/>
          </cell>
        </row>
        <row r="192">
          <cell r="H192" t="str">
            <v/>
          </cell>
        </row>
        <row r="193">
          <cell r="H193" t="str">
            <v/>
          </cell>
        </row>
        <row r="194">
          <cell r="H194" t="str">
            <v/>
          </cell>
        </row>
        <row r="195">
          <cell r="H195" t="str">
            <v/>
          </cell>
        </row>
        <row r="196">
          <cell r="H196" t="str">
            <v/>
          </cell>
        </row>
        <row r="197">
          <cell r="H197" t="str">
            <v/>
          </cell>
        </row>
        <row r="198">
          <cell r="H198" t="str">
            <v/>
          </cell>
        </row>
        <row r="199">
          <cell r="H199" t="str">
            <v/>
          </cell>
        </row>
        <row r="200">
          <cell r="H200" t="str">
            <v/>
          </cell>
        </row>
        <row r="201">
          <cell r="H201" t="str">
            <v/>
          </cell>
        </row>
        <row r="202">
          <cell r="H202" t="str">
            <v/>
          </cell>
        </row>
        <row r="203">
          <cell r="H203" t="str">
            <v/>
          </cell>
        </row>
        <row r="204">
          <cell r="H204" t="str">
            <v/>
          </cell>
        </row>
        <row r="205">
          <cell r="H205" t="str">
            <v/>
          </cell>
        </row>
        <row r="206">
          <cell r="H206" t="str">
            <v/>
          </cell>
        </row>
        <row r="207">
          <cell r="H207" t="str">
            <v/>
          </cell>
        </row>
        <row r="208">
          <cell r="H208" t="str">
            <v/>
          </cell>
        </row>
        <row r="209">
          <cell r="H209" t="str">
            <v/>
          </cell>
        </row>
        <row r="210">
          <cell r="H210" t="str">
            <v/>
          </cell>
        </row>
        <row r="211">
          <cell r="H211" t="str">
            <v/>
          </cell>
        </row>
        <row r="212">
          <cell r="H212" t="str">
            <v/>
          </cell>
        </row>
        <row r="213">
          <cell r="H213" t="str">
            <v/>
          </cell>
        </row>
        <row r="214">
          <cell r="H214" t="str">
            <v/>
          </cell>
        </row>
        <row r="215">
          <cell r="H215" t="str">
            <v/>
          </cell>
        </row>
        <row r="216">
          <cell r="H216" t="str">
            <v/>
          </cell>
        </row>
        <row r="217">
          <cell r="H217" t="str">
            <v/>
          </cell>
        </row>
        <row r="218">
          <cell r="H218" t="str">
            <v/>
          </cell>
        </row>
        <row r="219">
          <cell r="H219" t="str">
            <v/>
          </cell>
        </row>
        <row r="220">
          <cell r="H220" t="str">
            <v/>
          </cell>
        </row>
        <row r="221">
          <cell r="H221" t="str">
            <v/>
          </cell>
        </row>
        <row r="222">
          <cell r="H222" t="str">
            <v/>
          </cell>
        </row>
        <row r="223">
          <cell r="H223" t="str">
            <v/>
          </cell>
        </row>
        <row r="224">
          <cell r="H224" t="str">
            <v/>
          </cell>
        </row>
        <row r="225">
          <cell r="H225" t="str">
            <v/>
          </cell>
        </row>
        <row r="226">
          <cell r="H226" t="str">
            <v/>
          </cell>
        </row>
        <row r="227">
          <cell r="H227" t="str">
            <v/>
          </cell>
        </row>
        <row r="228">
          <cell r="H228" t="str">
            <v/>
          </cell>
        </row>
        <row r="229">
          <cell r="H229" t="str">
            <v/>
          </cell>
        </row>
        <row r="230">
          <cell r="H230" t="str">
            <v/>
          </cell>
        </row>
        <row r="231">
          <cell r="H231" t="str">
            <v/>
          </cell>
        </row>
        <row r="232">
          <cell r="H232" t="str">
            <v/>
          </cell>
        </row>
        <row r="233">
          <cell r="H233" t="str">
            <v/>
          </cell>
        </row>
        <row r="234">
          <cell r="H234" t="str">
            <v/>
          </cell>
        </row>
        <row r="235">
          <cell r="H235" t="str">
            <v/>
          </cell>
        </row>
        <row r="236">
          <cell r="H236" t="str">
            <v/>
          </cell>
        </row>
        <row r="237">
          <cell r="H237" t="str">
            <v/>
          </cell>
        </row>
        <row r="238">
          <cell r="H238" t="str">
            <v/>
          </cell>
        </row>
        <row r="239">
          <cell r="H239" t="str">
            <v/>
          </cell>
        </row>
        <row r="240">
          <cell r="H240" t="str">
            <v/>
          </cell>
        </row>
        <row r="241">
          <cell r="H241" t="str">
            <v/>
          </cell>
        </row>
        <row r="242">
          <cell r="H242" t="str">
            <v/>
          </cell>
        </row>
        <row r="243">
          <cell r="H243" t="str">
            <v/>
          </cell>
        </row>
        <row r="244">
          <cell r="H244" t="str">
            <v/>
          </cell>
        </row>
        <row r="245">
          <cell r="H245" t="str">
            <v/>
          </cell>
        </row>
        <row r="246">
          <cell r="H246" t="str">
            <v/>
          </cell>
        </row>
        <row r="247">
          <cell r="H247" t="str">
            <v/>
          </cell>
        </row>
        <row r="248">
          <cell r="H248" t="str">
            <v/>
          </cell>
        </row>
        <row r="249">
          <cell r="H249" t="str">
            <v/>
          </cell>
        </row>
        <row r="250">
          <cell r="H250" t="str">
            <v/>
          </cell>
        </row>
        <row r="251">
          <cell r="H251" t="str">
            <v/>
          </cell>
        </row>
        <row r="252">
          <cell r="H252" t="str">
            <v/>
          </cell>
        </row>
        <row r="253">
          <cell r="H253" t="str">
            <v/>
          </cell>
        </row>
        <row r="254">
          <cell r="H254" t="str">
            <v/>
          </cell>
        </row>
        <row r="255">
          <cell r="H255" t="str">
            <v/>
          </cell>
        </row>
        <row r="256">
          <cell r="H256" t="str">
            <v/>
          </cell>
        </row>
        <row r="257">
          <cell r="H257" t="str">
            <v/>
          </cell>
        </row>
        <row r="258">
          <cell r="H258" t="str">
            <v/>
          </cell>
        </row>
        <row r="259">
          <cell r="H259" t="str">
            <v/>
          </cell>
        </row>
        <row r="260">
          <cell r="H260" t="str">
            <v/>
          </cell>
        </row>
        <row r="261">
          <cell r="H261" t="str">
            <v/>
          </cell>
        </row>
        <row r="262">
          <cell r="H262" t="str">
            <v/>
          </cell>
        </row>
        <row r="263">
          <cell r="H263" t="str">
            <v/>
          </cell>
        </row>
        <row r="264">
          <cell r="H264" t="str">
            <v/>
          </cell>
        </row>
        <row r="265">
          <cell r="H265" t="str">
            <v/>
          </cell>
        </row>
        <row r="266">
          <cell r="H266" t="str">
            <v/>
          </cell>
        </row>
        <row r="267">
          <cell r="H267" t="str">
            <v/>
          </cell>
        </row>
        <row r="268">
          <cell r="H268" t="str">
            <v/>
          </cell>
        </row>
        <row r="269">
          <cell r="H269" t="str">
            <v/>
          </cell>
        </row>
        <row r="270">
          <cell r="H270" t="str">
            <v/>
          </cell>
        </row>
        <row r="271">
          <cell r="H271" t="str">
            <v/>
          </cell>
        </row>
        <row r="272">
          <cell r="H272" t="str">
            <v/>
          </cell>
        </row>
        <row r="273">
          <cell r="H273" t="str">
            <v/>
          </cell>
        </row>
        <row r="274">
          <cell r="H274" t="str">
            <v/>
          </cell>
        </row>
        <row r="275">
          <cell r="H275" t="str">
            <v/>
          </cell>
        </row>
        <row r="276">
          <cell r="H276" t="str">
            <v/>
          </cell>
        </row>
        <row r="277">
          <cell r="H277" t="str">
            <v/>
          </cell>
        </row>
        <row r="278">
          <cell r="H278" t="str">
            <v/>
          </cell>
        </row>
        <row r="279">
          <cell r="H279" t="str">
            <v/>
          </cell>
        </row>
        <row r="280">
          <cell r="H280" t="str">
            <v/>
          </cell>
        </row>
        <row r="281">
          <cell r="H281" t="str">
            <v/>
          </cell>
        </row>
        <row r="282">
          <cell r="H282" t="str">
            <v/>
          </cell>
        </row>
        <row r="283">
          <cell r="H283" t="str">
            <v/>
          </cell>
        </row>
        <row r="284">
          <cell r="H284" t="str">
            <v/>
          </cell>
        </row>
        <row r="285">
          <cell r="H285" t="str">
            <v/>
          </cell>
        </row>
        <row r="286">
          <cell r="H286" t="str">
            <v/>
          </cell>
        </row>
        <row r="287">
          <cell r="H287" t="str">
            <v/>
          </cell>
        </row>
        <row r="288">
          <cell r="H288" t="str">
            <v/>
          </cell>
        </row>
        <row r="289">
          <cell r="H289" t="str">
            <v/>
          </cell>
        </row>
        <row r="290">
          <cell r="H290" t="str">
            <v/>
          </cell>
        </row>
        <row r="291">
          <cell r="H291" t="str">
            <v/>
          </cell>
        </row>
        <row r="292">
          <cell r="H292" t="str">
            <v/>
          </cell>
        </row>
        <row r="293">
          <cell r="H293" t="str">
            <v/>
          </cell>
        </row>
        <row r="294">
          <cell r="H294" t="str">
            <v/>
          </cell>
        </row>
        <row r="295">
          <cell r="H295" t="str">
            <v/>
          </cell>
        </row>
        <row r="296">
          <cell r="H296" t="str">
            <v/>
          </cell>
        </row>
        <row r="297">
          <cell r="H297" t="str">
            <v/>
          </cell>
        </row>
        <row r="298">
          <cell r="H298" t="str">
            <v/>
          </cell>
        </row>
        <row r="299">
          <cell r="H299" t="str">
            <v/>
          </cell>
        </row>
        <row r="300">
          <cell r="H300" t="str">
            <v/>
          </cell>
        </row>
        <row r="301">
          <cell r="H301" t="str">
            <v/>
          </cell>
        </row>
        <row r="302">
          <cell r="H302" t="str">
            <v/>
          </cell>
        </row>
        <row r="303">
          <cell r="H303" t="str">
            <v/>
          </cell>
        </row>
        <row r="304">
          <cell r="H304" t="str">
            <v/>
          </cell>
        </row>
        <row r="305">
          <cell r="H305" t="str">
            <v/>
          </cell>
        </row>
        <row r="306">
          <cell r="H306" t="str">
            <v/>
          </cell>
        </row>
        <row r="307">
          <cell r="H307" t="str">
            <v/>
          </cell>
        </row>
        <row r="308">
          <cell r="H308" t="str">
            <v/>
          </cell>
        </row>
        <row r="309">
          <cell r="H309" t="str">
            <v/>
          </cell>
        </row>
        <row r="310">
          <cell r="H310" t="str">
            <v/>
          </cell>
        </row>
        <row r="311">
          <cell r="H311" t="str">
            <v/>
          </cell>
        </row>
        <row r="312">
          <cell r="H312" t="str">
            <v/>
          </cell>
        </row>
        <row r="313">
          <cell r="H313" t="str">
            <v/>
          </cell>
        </row>
        <row r="314">
          <cell r="H314" t="str">
            <v/>
          </cell>
        </row>
        <row r="315">
          <cell r="H315" t="str">
            <v/>
          </cell>
        </row>
        <row r="316">
          <cell r="H316" t="str">
            <v/>
          </cell>
        </row>
        <row r="317">
          <cell r="H317" t="str">
            <v/>
          </cell>
        </row>
        <row r="318">
          <cell r="H318" t="str">
            <v/>
          </cell>
        </row>
        <row r="319">
          <cell r="H319" t="str">
            <v/>
          </cell>
        </row>
        <row r="320">
          <cell r="H320" t="str">
            <v/>
          </cell>
        </row>
        <row r="321">
          <cell r="H321" t="str">
            <v/>
          </cell>
        </row>
        <row r="322">
          <cell r="H322" t="str">
            <v/>
          </cell>
        </row>
        <row r="323">
          <cell r="H323" t="str">
            <v/>
          </cell>
        </row>
        <row r="324">
          <cell r="H324" t="str">
            <v/>
          </cell>
        </row>
        <row r="325">
          <cell r="H325" t="str">
            <v/>
          </cell>
        </row>
        <row r="326">
          <cell r="H326" t="str">
            <v/>
          </cell>
        </row>
        <row r="327">
          <cell r="H327" t="str">
            <v/>
          </cell>
        </row>
        <row r="328">
          <cell r="H328" t="str">
            <v/>
          </cell>
        </row>
        <row r="329">
          <cell r="H329" t="str">
            <v/>
          </cell>
        </row>
        <row r="330">
          <cell r="H330" t="str">
            <v/>
          </cell>
        </row>
        <row r="331">
          <cell r="H331" t="str">
            <v/>
          </cell>
        </row>
        <row r="332">
          <cell r="H332" t="str">
            <v/>
          </cell>
        </row>
        <row r="333">
          <cell r="H333" t="str">
            <v/>
          </cell>
        </row>
        <row r="334">
          <cell r="H334" t="str">
            <v/>
          </cell>
        </row>
        <row r="335">
          <cell r="H335" t="str">
            <v/>
          </cell>
        </row>
        <row r="336">
          <cell r="H336" t="str">
            <v/>
          </cell>
        </row>
        <row r="337">
          <cell r="H337" t="str">
            <v/>
          </cell>
        </row>
        <row r="338">
          <cell r="H338" t="str">
            <v/>
          </cell>
        </row>
        <row r="339">
          <cell r="H339" t="str">
            <v/>
          </cell>
        </row>
        <row r="340">
          <cell r="H340" t="str">
            <v/>
          </cell>
        </row>
        <row r="341">
          <cell r="H341" t="str">
            <v/>
          </cell>
        </row>
        <row r="342">
          <cell r="H342" t="str">
            <v/>
          </cell>
        </row>
        <row r="343">
          <cell r="H343" t="str">
            <v/>
          </cell>
        </row>
        <row r="344">
          <cell r="H344" t="str">
            <v/>
          </cell>
        </row>
        <row r="345">
          <cell r="H345" t="str">
            <v/>
          </cell>
        </row>
        <row r="346">
          <cell r="H346" t="str">
            <v/>
          </cell>
        </row>
        <row r="347">
          <cell r="H347" t="str">
            <v/>
          </cell>
        </row>
        <row r="348">
          <cell r="H348" t="str">
            <v/>
          </cell>
        </row>
        <row r="349">
          <cell r="H349" t="str">
            <v/>
          </cell>
        </row>
        <row r="350">
          <cell r="H350" t="str">
            <v/>
          </cell>
        </row>
        <row r="351">
          <cell r="H351" t="str">
            <v/>
          </cell>
        </row>
        <row r="352">
          <cell r="H352" t="str">
            <v/>
          </cell>
        </row>
        <row r="353">
          <cell r="H353" t="str">
            <v/>
          </cell>
        </row>
        <row r="354">
          <cell r="H354" t="str">
            <v/>
          </cell>
        </row>
        <row r="355">
          <cell r="H355" t="str">
            <v/>
          </cell>
        </row>
        <row r="356">
          <cell r="H356" t="str">
            <v/>
          </cell>
        </row>
        <row r="357">
          <cell r="H357" t="str">
            <v/>
          </cell>
        </row>
        <row r="358">
          <cell r="H358" t="str">
            <v/>
          </cell>
        </row>
        <row r="359">
          <cell r="H359" t="str">
            <v/>
          </cell>
        </row>
        <row r="360">
          <cell r="H360" t="str">
            <v/>
          </cell>
        </row>
        <row r="361">
          <cell r="H361" t="str">
            <v/>
          </cell>
        </row>
        <row r="362">
          <cell r="H362" t="str">
            <v/>
          </cell>
        </row>
        <row r="363">
          <cell r="H363" t="str">
            <v/>
          </cell>
        </row>
        <row r="364">
          <cell r="H364" t="str">
            <v/>
          </cell>
        </row>
        <row r="365">
          <cell r="H365" t="str">
            <v/>
          </cell>
        </row>
        <row r="366">
          <cell r="H366" t="str">
            <v/>
          </cell>
        </row>
        <row r="367">
          <cell r="H367" t="str">
            <v/>
          </cell>
        </row>
        <row r="368">
          <cell r="H368" t="str">
            <v/>
          </cell>
        </row>
        <row r="369">
          <cell r="H369" t="str">
            <v/>
          </cell>
        </row>
        <row r="370">
          <cell r="H370" t="str">
            <v/>
          </cell>
        </row>
        <row r="371">
          <cell r="H371" t="str">
            <v/>
          </cell>
        </row>
        <row r="372">
          <cell r="H372" t="str">
            <v/>
          </cell>
        </row>
        <row r="373">
          <cell r="H373" t="str">
            <v/>
          </cell>
        </row>
        <row r="374">
          <cell r="H374" t="str">
            <v/>
          </cell>
        </row>
        <row r="375">
          <cell r="H375" t="str">
            <v/>
          </cell>
        </row>
        <row r="376">
          <cell r="H376" t="str">
            <v/>
          </cell>
        </row>
        <row r="377">
          <cell r="H377" t="str">
            <v/>
          </cell>
        </row>
        <row r="378">
          <cell r="H378" t="str">
            <v/>
          </cell>
        </row>
        <row r="379">
          <cell r="H379" t="str">
            <v/>
          </cell>
        </row>
        <row r="380">
          <cell r="H380" t="str">
            <v/>
          </cell>
        </row>
        <row r="381">
          <cell r="H381" t="str">
            <v/>
          </cell>
        </row>
        <row r="382">
          <cell r="H382" t="str">
            <v/>
          </cell>
        </row>
        <row r="383">
          <cell r="H383" t="str">
            <v/>
          </cell>
        </row>
        <row r="384">
          <cell r="H384" t="str">
            <v/>
          </cell>
        </row>
        <row r="385">
          <cell r="H385" t="str">
            <v/>
          </cell>
        </row>
        <row r="386">
          <cell r="H386" t="str">
            <v/>
          </cell>
        </row>
        <row r="387">
          <cell r="H387" t="str">
            <v/>
          </cell>
        </row>
        <row r="388">
          <cell r="H388" t="str">
            <v/>
          </cell>
        </row>
        <row r="389">
          <cell r="H389" t="str">
            <v/>
          </cell>
        </row>
        <row r="390">
          <cell r="H390" t="str">
            <v/>
          </cell>
        </row>
        <row r="391">
          <cell r="H391" t="str">
            <v/>
          </cell>
        </row>
        <row r="392">
          <cell r="H392" t="str">
            <v/>
          </cell>
        </row>
        <row r="393">
          <cell r="H393" t="str">
            <v/>
          </cell>
        </row>
        <row r="394">
          <cell r="H394" t="str">
            <v/>
          </cell>
        </row>
        <row r="395">
          <cell r="H395" t="str">
            <v/>
          </cell>
        </row>
        <row r="396">
          <cell r="H396" t="str">
            <v/>
          </cell>
        </row>
        <row r="397">
          <cell r="H397" t="str">
            <v/>
          </cell>
        </row>
        <row r="398">
          <cell r="H398" t="str">
            <v/>
          </cell>
        </row>
        <row r="399">
          <cell r="H399" t="str">
            <v/>
          </cell>
        </row>
        <row r="400">
          <cell r="H400" t="str">
            <v/>
          </cell>
        </row>
        <row r="401">
          <cell r="H401" t="str">
            <v/>
          </cell>
        </row>
        <row r="402">
          <cell r="H402" t="str">
            <v/>
          </cell>
        </row>
        <row r="403">
          <cell r="H403" t="str">
            <v/>
          </cell>
        </row>
        <row r="404">
          <cell r="H404" t="str">
            <v/>
          </cell>
        </row>
        <row r="405">
          <cell r="H405" t="str">
            <v/>
          </cell>
        </row>
        <row r="406">
          <cell r="H406" t="str">
            <v/>
          </cell>
        </row>
        <row r="407">
          <cell r="H407" t="str">
            <v/>
          </cell>
        </row>
        <row r="408">
          <cell r="H408" t="str">
            <v/>
          </cell>
        </row>
        <row r="409">
          <cell r="H409" t="str">
            <v/>
          </cell>
        </row>
        <row r="410">
          <cell r="H410" t="str">
            <v/>
          </cell>
        </row>
        <row r="411">
          <cell r="H411" t="str">
            <v/>
          </cell>
        </row>
        <row r="412">
          <cell r="H412" t="str">
            <v/>
          </cell>
        </row>
        <row r="413">
          <cell r="H413" t="str">
            <v/>
          </cell>
        </row>
        <row r="414">
          <cell r="H414" t="str">
            <v/>
          </cell>
        </row>
        <row r="415">
          <cell r="H415" t="str">
            <v/>
          </cell>
        </row>
        <row r="416">
          <cell r="H416" t="str">
            <v/>
          </cell>
        </row>
        <row r="417">
          <cell r="H417" t="str">
            <v/>
          </cell>
        </row>
        <row r="418">
          <cell r="H418" t="str">
            <v/>
          </cell>
        </row>
        <row r="419">
          <cell r="H419" t="str">
            <v/>
          </cell>
        </row>
        <row r="420">
          <cell r="H420" t="str">
            <v/>
          </cell>
        </row>
        <row r="421">
          <cell r="H421" t="str">
            <v/>
          </cell>
        </row>
        <row r="422">
          <cell r="H422" t="str">
            <v/>
          </cell>
        </row>
        <row r="423">
          <cell r="H423" t="str">
            <v/>
          </cell>
        </row>
        <row r="424">
          <cell r="H424" t="str">
            <v/>
          </cell>
        </row>
        <row r="425">
          <cell r="H425" t="str">
            <v/>
          </cell>
        </row>
        <row r="426">
          <cell r="H426" t="str">
            <v/>
          </cell>
        </row>
        <row r="427">
          <cell r="H427" t="str">
            <v/>
          </cell>
        </row>
        <row r="428">
          <cell r="H428" t="str">
            <v/>
          </cell>
        </row>
        <row r="429">
          <cell r="H429" t="str">
            <v/>
          </cell>
        </row>
        <row r="430">
          <cell r="H430" t="str">
            <v/>
          </cell>
        </row>
        <row r="431">
          <cell r="H431" t="str">
            <v/>
          </cell>
        </row>
        <row r="432">
          <cell r="H432" t="str">
            <v/>
          </cell>
        </row>
        <row r="433">
          <cell r="H433" t="str">
            <v/>
          </cell>
        </row>
        <row r="434">
          <cell r="H434" t="str">
            <v/>
          </cell>
        </row>
        <row r="435">
          <cell r="H435" t="str">
            <v/>
          </cell>
        </row>
        <row r="436">
          <cell r="H436" t="str">
            <v/>
          </cell>
        </row>
        <row r="437">
          <cell r="H437" t="str">
            <v/>
          </cell>
        </row>
        <row r="438">
          <cell r="H438" t="str">
            <v/>
          </cell>
        </row>
        <row r="439">
          <cell r="H439" t="str">
            <v/>
          </cell>
        </row>
        <row r="440">
          <cell r="H440" t="str">
            <v/>
          </cell>
        </row>
        <row r="441">
          <cell r="H441" t="str">
            <v/>
          </cell>
        </row>
        <row r="442">
          <cell r="H442" t="str">
            <v/>
          </cell>
        </row>
        <row r="443">
          <cell r="H443" t="str">
            <v/>
          </cell>
        </row>
        <row r="444">
          <cell r="H444" t="str">
            <v/>
          </cell>
        </row>
        <row r="445">
          <cell r="H445" t="str">
            <v/>
          </cell>
        </row>
        <row r="446">
          <cell r="H446" t="str">
            <v/>
          </cell>
        </row>
        <row r="447">
          <cell r="H447" t="str">
            <v/>
          </cell>
        </row>
        <row r="448">
          <cell r="H448" t="str">
            <v/>
          </cell>
        </row>
        <row r="449">
          <cell r="H449" t="str">
            <v/>
          </cell>
        </row>
        <row r="450">
          <cell r="H450" t="str">
            <v/>
          </cell>
        </row>
        <row r="451">
          <cell r="H451" t="str">
            <v/>
          </cell>
        </row>
        <row r="452">
          <cell r="H452" t="str">
            <v/>
          </cell>
        </row>
        <row r="453">
          <cell r="H453" t="str">
            <v/>
          </cell>
        </row>
        <row r="454">
          <cell r="H454" t="str">
            <v/>
          </cell>
        </row>
        <row r="455">
          <cell r="H455" t="str">
            <v/>
          </cell>
        </row>
        <row r="456">
          <cell r="H456" t="str">
            <v/>
          </cell>
        </row>
        <row r="457">
          <cell r="H457" t="str">
            <v/>
          </cell>
        </row>
        <row r="458">
          <cell r="H458" t="str">
            <v/>
          </cell>
        </row>
        <row r="459">
          <cell r="H459" t="str">
            <v/>
          </cell>
        </row>
        <row r="460">
          <cell r="H460" t="str">
            <v/>
          </cell>
        </row>
        <row r="461">
          <cell r="H461" t="str">
            <v/>
          </cell>
        </row>
        <row r="462">
          <cell r="H462" t="str">
            <v/>
          </cell>
        </row>
        <row r="463">
          <cell r="H463" t="str">
            <v/>
          </cell>
        </row>
        <row r="464">
          <cell r="H464" t="str">
            <v/>
          </cell>
        </row>
        <row r="465">
          <cell r="H465" t="str">
            <v/>
          </cell>
        </row>
        <row r="466">
          <cell r="H466" t="str">
            <v/>
          </cell>
        </row>
        <row r="467">
          <cell r="H467" t="str">
            <v/>
          </cell>
        </row>
        <row r="468">
          <cell r="H468" t="str">
            <v/>
          </cell>
        </row>
        <row r="469">
          <cell r="H469" t="str">
            <v/>
          </cell>
        </row>
        <row r="470">
          <cell r="H470" t="str">
            <v/>
          </cell>
        </row>
        <row r="471">
          <cell r="H471" t="str">
            <v/>
          </cell>
        </row>
        <row r="472">
          <cell r="H472" t="str">
            <v/>
          </cell>
        </row>
        <row r="473">
          <cell r="H473" t="str">
            <v/>
          </cell>
        </row>
        <row r="474">
          <cell r="H474" t="str">
            <v/>
          </cell>
        </row>
        <row r="475">
          <cell r="H475" t="str">
            <v/>
          </cell>
        </row>
        <row r="476">
          <cell r="H476" t="str">
            <v/>
          </cell>
        </row>
        <row r="477">
          <cell r="H477" t="str">
            <v/>
          </cell>
        </row>
        <row r="478">
          <cell r="H478" t="str">
            <v/>
          </cell>
        </row>
        <row r="479">
          <cell r="H479" t="str">
            <v/>
          </cell>
        </row>
        <row r="480">
          <cell r="H480" t="str">
            <v/>
          </cell>
        </row>
        <row r="481">
          <cell r="H481" t="str">
            <v/>
          </cell>
        </row>
        <row r="482">
          <cell r="H482" t="str">
            <v/>
          </cell>
        </row>
        <row r="483">
          <cell r="H483" t="str">
            <v/>
          </cell>
        </row>
        <row r="484">
          <cell r="H484" t="str">
            <v/>
          </cell>
        </row>
        <row r="485">
          <cell r="H485" t="str">
            <v/>
          </cell>
        </row>
        <row r="486">
          <cell r="H486" t="str">
            <v/>
          </cell>
        </row>
        <row r="487">
          <cell r="H487" t="str">
            <v/>
          </cell>
        </row>
        <row r="488">
          <cell r="H488" t="str">
            <v/>
          </cell>
        </row>
        <row r="489">
          <cell r="H489" t="str">
            <v/>
          </cell>
        </row>
        <row r="490">
          <cell r="H490" t="str">
            <v/>
          </cell>
        </row>
        <row r="491">
          <cell r="H491" t="str">
            <v/>
          </cell>
        </row>
        <row r="492">
          <cell r="H492" t="str">
            <v/>
          </cell>
        </row>
        <row r="493">
          <cell r="H493" t="str">
            <v/>
          </cell>
        </row>
        <row r="494">
          <cell r="H494" t="str">
            <v/>
          </cell>
        </row>
        <row r="495">
          <cell r="H495" t="str">
            <v/>
          </cell>
        </row>
        <row r="496">
          <cell r="H496" t="str">
            <v/>
          </cell>
        </row>
        <row r="497">
          <cell r="H497" t="str">
            <v/>
          </cell>
        </row>
        <row r="498">
          <cell r="H498" t="str">
            <v/>
          </cell>
        </row>
        <row r="499">
          <cell r="H499" t="str">
            <v/>
          </cell>
        </row>
        <row r="500">
          <cell r="H500" t="str">
            <v/>
          </cell>
        </row>
      </sheetData>
      <sheetData sheetId="3"/>
      <sheetData sheetId="4">
        <row r="1">
          <cell r="A1" t="str">
            <v>PURCHASE (PLACEMENT)</v>
          </cell>
        </row>
        <row r="2">
          <cell r="A2" t="str">
            <v>Purchase ID</v>
          </cell>
          <cell r="C2" t="str">
            <v>Symbols</v>
          </cell>
          <cell r="D2" t="str">
            <v>Status</v>
          </cell>
          <cell r="E2" t="str">
            <v>Trade Date</v>
          </cell>
          <cell r="F2" t="str">
            <v>Trade Settlement Date</v>
          </cell>
          <cell r="G2" t="str">
            <v>Quantity</v>
          </cell>
          <cell r="H2" t="str">
            <v>Rate</v>
          </cell>
          <cell r="I2" t="str">
            <v>Broker</v>
          </cell>
          <cell r="J2" t="str">
            <v>Amount</v>
          </cell>
          <cell r="K2" t="str">
            <v>CFS Rate</v>
          </cell>
          <cell r="L2" t="str">
            <v>Un-Released Quantity</v>
          </cell>
          <cell r="M2" t="str">
            <v>Per Day Rate</v>
          </cell>
          <cell r="N2" t="str">
            <v>Per Day Rate</v>
          </cell>
          <cell r="O2" t="str">
            <v>Days</v>
          </cell>
          <cell r="S2" t="str">
            <v>Unreleased Scrip</v>
          </cell>
          <cell r="T2" t="str">
            <v>Unreleased Broker</v>
          </cell>
        </row>
        <row r="3">
          <cell r="N3">
            <v>0.03</v>
          </cell>
        </row>
        <row r="4">
          <cell r="A4" t="str">
            <v>Pur-OGDC-1000</v>
          </cell>
          <cell r="B4">
            <v>1000</v>
          </cell>
          <cell r="C4" t="str">
            <v>OGDC</v>
          </cell>
          <cell r="D4" t="str">
            <v>O/S</v>
          </cell>
          <cell r="E4">
            <v>39589</v>
          </cell>
          <cell r="F4">
            <v>39591</v>
          </cell>
          <cell r="G4">
            <v>375000</v>
          </cell>
          <cell r="H4">
            <v>132.25</v>
          </cell>
          <cell r="I4" t="str">
            <v>Invest &amp; Finance Securities</v>
          </cell>
          <cell r="J4">
            <v>49593750</v>
          </cell>
          <cell r="K4">
            <v>0.14760000000000001</v>
          </cell>
          <cell r="L4">
            <v>375000</v>
          </cell>
          <cell r="M4">
            <v>5.3499999999999999E-2</v>
          </cell>
          <cell r="N4">
            <v>1.6000000000000001E-3</v>
          </cell>
          <cell r="O4">
            <v>-1</v>
          </cell>
          <cell r="S4" t="str">
            <v/>
          </cell>
          <cell r="T4" t="str">
            <v/>
          </cell>
        </row>
        <row r="5">
          <cell r="A5" t="str">
            <v>Pur-PPL-1001</v>
          </cell>
          <cell r="B5">
            <v>1001</v>
          </cell>
          <cell r="C5" t="str">
            <v>PPL</v>
          </cell>
          <cell r="D5" t="str">
            <v>O/S</v>
          </cell>
          <cell r="E5">
            <v>39589</v>
          </cell>
          <cell r="F5">
            <v>39591</v>
          </cell>
          <cell r="G5">
            <v>180000</v>
          </cell>
          <cell r="H5">
            <v>270.5</v>
          </cell>
          <cell r="I5" t="str">
            <v>Invest &amp; Finance Securities</v>
          </cell>
          <cell r="J5">
            <v>48690000</v>
          </cell>
          <cell r="K5">
            <v>0.14369999999999999</v>
          </cell>
          <cell r="L5">
            <v>180000</v>
          </cell>
          <cell r="M5">
            <v>0.1065</v>
          </cell>
          <cell r="N5">
            <v>3.2000000000000002E-3</v>
          </cell>
          <cell r="O5">
            <v>-1</v>
          </cell>
          <cell r="S5" t="str">
            <v/>
          </cell>
          <cell r="T5" t="str">
            <v/>
          </cell>
        </row>
        <row r="6">
          <cell r="A6" t="str">
            <v/>
          </cell>
          <cell r="B6">
            <v>1002</v>
          </cell>
          <cell r="D6" t="str">
            <v/>
          </cell>
          <cell r="F6" t="str">
            <v/>
          </cell>
          <cell r="J6">
            <v>0</v>
          </cell>
          <cell r="L6">
            <v>0</v>
          </cell>
          <cell r="M6">
            <v>0</v>
          </cell>
          <cell r="N6">
            <v>0</v>
          </cell>
          <cell r="O6" t="str">
            <v/>
          </cell>
          <cell r="S6" t="str">
            <v/>
          </cell>
          <cell r="T6" t="str">
            <v/>
          </cell>
        </row>
        <row r="7">
          <cell r="A7" t="str">
            <v/>
          </cell>
          <cell r="B7">
            <v>1003</v>
          </cell>
          <cell r="D7" t="str">
            <v/>
          </cell>
          <cell r="F7" t="str">
            <v/>
          </cell>
          <cell r="J7">
            <v>0</v>
          </cell>
          <cell r="L7">
            <v>0</v>
          </cell>
          <cell r="M7">
            <v>0</v>
          </cell>
          <cell r="N7">
            <v>0</v>
          </cell>
          <cell r="O7" t="str">
            <v/>
          </cell>
          <cell r="S7" t="str">
            <v/>
          </cell>
          <cell r="T7" t="str">
            <v/>
          </cell>
        </row>
        <row r="8">
          <cell r="A8" t="str">
            <v/>
          </cell>
          <cell r="B8">
            <v>1004</v>
          </cell>
          <cell r="D8" t="str">
            <v/>
          </cell>
          <cell r="F8" t="str">
            <v/>
          </cell>
          <cell r="J8">
            <v>0</v>
          </cell>
          <cell r="L8">
            <v>0</v>
          </cell>
          <cell r="M8">
            <v>0</v>
          </cell>
          <cell r="N8">
            <v>0</v>
          </cell>
          <cell r="O8" t="str">
            <v/>
          </cell>
          <cell r="S8" t="str">
            <v/>
          </cell>
          <cell r="T8" t="str">
            <v/>
          </cell>
        </row>
        <row r="9">
          <cell r="A9" t="str">
            <v/>
          </cell>
          <cell r="B9">
            <v>1005</v>
          </cell>
          <cell r="D9" t="str">
            <v/>
          </cell>
          <cell r="F9" t="str">
            <v/>
          </cell>
          <cell r="J9">
            <v>0</v>
          </cell>
          <cell r="L9">
            <v>0</v>
          </cell>
          <cell r="M9">
            <v>0</v>
          </cell>
          <cell r="N9">
            <v>0</v>
          </cell>
          <cell r="O9" t="str">
            <v/>
          </cell>
          <cell r="S9" t="str">
            <v/>
          </cell>
          <cell r="T9" t="str">
            <v/>
          </cell>
        </row>
        <row r="10">
          <cell r="A10" t="str">
            <v/>
          </cell>
          <cell r="B10">
            <v>1006</v>
          </cell>
          <cell r="D10" t="str">
            <v/>
          </cell>
          <cell r="F10" t="str">
            <v/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/>
          </cell>
          <cell r="S10" t="str">
            <v/>
          </cell>
          <cell r="T10" t="str">
            <v/>
          </cell>
        </row>
        <row r="11">
          <cell r="A11" t="str">
            <v/>
          </cell>
          <cell r="B11">
            <v>1007</v>
          </cell>
          <cell r="D11" t="str">
            <v/>
          </cell>
          <cell r="F11" t="str">
            <v/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 t="str">
            <v/>
          </cell>
          <cell r="S11" t="str">
            <v/>
          </cell>
          <cell r="T11" t="str">
            <v/>
          </cell>
        </row>
        <row r="12">
          <cell r="A12" t="str">
            <v/>
          </cell>
          <cell r="B12">
            <v>1008</v>
          </cell>
          <cell r="D12" t="str">
            <v/>
          </cell>
          <cell r="F12" t="str">
            <v/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/>
          </cell>
          <cell r="S12" t="str">
            <v/>
          </cell>
          <cell r="T12" t="str">
            <v/>
          </cell>
        </row>
        <row r="13">
          <cell r="A13" t="str">
            <v/>
          </cell>
          <cell r="B13">
            <v>1009</v>
          </cell>
          <cell r="D13" t="str">
            <v/>
          </cell>
          <cell r="F13" t="str">
            <v/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/>
          </cell>
          <cell r="S13" t="str">
            <v/>
          </cell>
          <cell r="T13" t="str">
            <v/>
          </cell>
        </row>
        <row r="14">
          <cell r="A14" t="str">
            <v/>
          </cell>
          <cell r="B14">
            <v>1010</v>
          </cell>
          <cell r="D14" t="str">
            <v/>
          </cell>
          <cell r="F14" t="str">
            <v/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/>
          </cell>
          <cell r="S14" t="str">
            <v/>
          </cell>
          <cell r="T14" t="str">
            <v/>
          </cell>
        </row>
        <row r="15">
          <cell r="A15" t="str">
            <v/>
          </cell>
          <cell r="B15">
            <v>1011</v>
          </cell>
          <cell r="D15" t="str">
            <v/>
          </cell>
          <cell r="F15" t="str">
            <v/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/>
          </cell>
          <cell r="S15" t="str">
            <v/>
          </cell>
          <cell r="T15" t="str">
            <v/>
          </cell>
        </row>
        <row r="16">
          <cell r="A16" t="str">
            <v/>
          </cell>
          <cell r="B16">
            <v>1012</v>
          </cell>
          <cell r="D16" t="str">
            <v/>
          </cell>
          <cell r="F16" t="str">
            <v/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/>
          </cell>
          <cell r="S16" t="str">
            <v/>
          </cell>
          <cell r="T16" t="str">
            <v/>
          </cell>
        </row>
        <row r="17">
          <cell r="A17" t="str">
            <v/>
          </cell>
          <cell r="B17">
            <v>1013</v>
          </cell>
          <cell r="D17" t="str">
            <v/>
          </cell>
          <cell r="F17" t="str">
            <v/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/>
          </cell>
          <cell r="S17" t="str">
            <v/>
          </cell>
          <cell r="T17" t="str">
            <v/>
          </cell>
        </row>
        <row r="18">
          <cell r="A18" t="str">
            <v/>
          </cell>
          <cell r="B18">
            <v>1014</v>
          </cell>
          <cell r="D18" t="str">
            <v/>
          </cell>
          <cell r="F18" t="str">
            <v/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/>
          </cell>
          <cell r="S18" t="str">
            <v/>
          </cell>
          <cell r="T18" t="str">
            <v/>
          </cell>
        </row>
        <row r="19">
          <cell r="A19" t="str">
            <v/>
          </cell>
          <cell r="B19">
            <v>1015</v>
          </cell>
          <cell r="D19" t="str">
            <v/>
          </cell>
          <cell r="F19" t="str">
            <v/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/>
          </cell>
          <cell r="S19" t="str">
            <v/>
          </cell>
          <cell r="T19" t="str">
            <v/>
          </cell>
        </row>
        <row r="20">
          <cell r="A20" t="str">
            <v/>
          </cell>
          <cell r="B20">
            <v>1016</v>
          </cell>
          <cell r="D20" t="str">
            <v/>
          </cell>
          <cell r="F20" t="str">
            <v/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/>
          </cell>
          <cell r="S20" t="str">
            <v/>
          </cell>
          <cell r="T20" t="str">
            <v/>
          </cell>
        </row>
        <row r="21">
          <cell r="A21" t="str">
            <v/>
          </cell>
          <cell r="B21">
            <v>1017</v>
          </cell>
          <cell r="D21" t="str">
            <v/>
          </cell>
          <cell r="F21" t="str">
            <v/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/>
          </cell>
          <cell r="S21" t="str">
            <v/>
          </cell>
          <cell r="T21" t="str">
            <v/>
          </cell>
        </row>
        <row r="22">
          <cell r="A22" t="str">
            <v/>
          </cell>
          <cell r="B22">
            <v>1018</v>
          </cell>
          <cell r="D22" t="str">
            <v/>
          </cell>
          <cell r="F22" t="str">
            <v/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/>
          </cell>
          <cell r="S22" t="str">
            <v/>
          </cell>
          <cell r="T22" t="str">
            <v/>
          </cell>
        </row>
        <row r="23">
          <cell r="A23" t="str">
            <v/>
          </cell>
          <cell r="B23">
            <v>1019</v>
          </cell>
          <cell r="D23" t="str">
            <v/>
          </cell>
          <cell r="F23" t="str">
            <v/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/>
          </cell>
          <cell r="S23" t="str">
            <v/>
          </cell>
          <cell r="T23" t="str">
            <v/>
          </cell>
        </row>
        <row r="24">
          <cell r="A24" t="str">
            <v/>
          </cell>
          <cell r="B24">
            <v>1020</v>
          </cell>
          <cell r="D24" t="str">
            <v/>
          </cell>
          <cell r="F24" t="str">
            <v/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/>
          </cell>
          <cell r="S24" t="str">
            <v/>
          </cell>
          <cell r="T24" t="str">
            <v/>
          </cell>
        </row>
        <row r="25">
          <cell r="A25" t="str">
            <v/>
          </cell>
          <cell r="B25">
            <v>1021</v>
          </cell>
          <cell r="D25" t="str">
            <v/>
          </cell>
          <cell r="F25" t="str">
            <v/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/>
          </cell>
          <cell r="S25" t="str">
            <v/>
          </cell>
          <cell r="T25" t="str">
            <v/>
          </cell>
        </row>
        <row r="26">
          <cell r="A26" t="str">
            <v/>
          </cell>
          <cell r="B26">
            <v>1022</v>
          </cell>
          <cell r="D26" t="str">
            <v/>
          </cell>
          <cell r="F26" t="str">
            <v/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/>
          </cell>
          <cell r="S26" t="str">
            <v/>
          </cell>
          <cell r="T26" t="str">
            <v/>
          </cell>
        </row>
        <row r="27">
          <cell r="A27" t="str">
            <v/>
          </cell>
          <cell r="B27">
            <v>1023</v>
          </cell>
          <cell r="D27" t="str">
            <v/>
          </cell>
          <cell r="F27" t="str">
            <v/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/>
          </cell>
          <cell r="S27" t="str">
            <v/>
          </cell>
          <cell r="T27" t="str">
            <v/>
          </cell>
        </row>
        <row r="28">
          <cell r="A28" t="str">
            <v/>
          </cell>
          <cell r="B28">
            <v>1024</v>
          </cell>
          <cell r="D28" t="str">
            <v/>
          </cell>
          <cell r="F28" t="str">
            <v/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/>
          </cell>
          <cell r="S28" t="str">
            <v/>
          </cell>
          <cell r="T28" t="str">
            <v/>
          </cell>
        </row>
        <row r="29">
          <cell r="A29" t="str">
            <v/>
          </cell>
          <cell r="B29">
            <v>1025</v>
          </cell>
          <cell r="D29" t="str">
            <v/>
          </cell>
          <cell r="F29" t="str">
            <v/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/>
          </cell>
          <cell r="S29" t="str">
            <v/>
          </cell>
          <cell r="T29" t="str">
            <v/>
          </cell>
        </row>
        <row r="30">
          <cell r="A30" t="str">
            <v/>
          </cell>
          <cell r="B30">
            <v>1026</v>
          </cell>
          <cell r="D30" t="str">
            <v/>
          </cell>
          <cell r="F30" t="str">
            <v/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/>
          </cell>
          <cell r="S30" t="str">
            <v/>
          </cell>
          <cell r="T30" t="str">
            <v/>
          </cell>
        </row>
        <row r="31">
          <cell r="A31" t="str">
            <v/>
          </cell>
          <cell r="B31">
            <v>1027</v>
          </cell>
          <cell r="D31" t="str">
            <v/>
          </cell>
          <cell r="F31" t="str">
            <v/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/>
          </cell>
          <cell r="S31" t="str">
            <v/>
          </cell>
          <cell r="T31" t="str">
            <v/>
          </cell>
        </row>
        <row r="32">
          <cell r="A32" t="str">
            <v/>
          </cell>
          <cell r="B32">
            <v>1028</v>
          </cell>
          <cell r="D32" t="str">
            <v/>
          </cell>
          <cell r="F32" t="str">
            <v/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/>
          </cell>
          <cell r="S32" t="str">
            <v/>
          </cell>
          <cell r="T32" t="str">
            <v/>
          </cell>
        </row>
        <row r="33">
          <cell r="A33" t="str">
            <v/>
          </cell>
          <cell r="B33">
            <v>1029</v>
          </cell>
          <cell r="D33" t="str">
            <v/>
          </cell>
          <cell r="F33" t="str">
            <v/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/>
          </cell>
          <cell r="S33" t="str">
            <v/>
          </cell>
          <cell r="T33" t="str">
            <v/>
          </cell>
        </row>
        <row r="34">
          <cell r="A34" t="str">
            <v/>
          </cell>
          <cell r="B34">
            <v>1030</v>
          </cell>
          <cell r="D34" t="str">
            <v/>
          </cell>
          <cell r="F34" t="str">
            <v/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/>
          </cell>
          <cell r="S34" t="str">
            <v/>
          </cell>
          <cell r="T34" t="str">
            <v/>
          </cell>
        </row>
        <row r="35">
          <cell r="A35" t="str">
            <v/>
          </cell>
          <cell r="B35">
            <v>1031</v>
          </cell>
          <cell r="D35" t="str">
            <v/>
          </cell>
          <cell r="F35" t="str">
            <v/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/>
          </cell>
          <cell r="S35" t="str">
            <v/>
          </cell>
          <cell r="T35" t="str">
            <v/>
          </cell>
        </row>
        <row r="36">
          <cell r="A36" t="str">
            <v/>
          </cell>
          <cell r="B36">
            <v>1032</v>
          </cell>
          <cell r="D36" t="str">
            <v/>
          </cell>
          <cell r="F36" t="str">
            <v/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/>
          </cell>
          <cell r="S36" t="str">
            <v/>
          </cell>
          <cell r="T36" t="str">
            <v/>
          </cell>
        </row>
        <row r="37">
          <cell r="A37" t="str">
            <v/>
          </cell>
          <cell r="B37">
            <v>1033</v>
          </cell>
          <cell r="D37" t="str">
            <v/>
          </cell>
          <cell r="F37" t="str">
            <v/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/>
          </cell>
          <cell r="S37" t="str">
            <v/>
          </cell>
          <cell r="T37" t="str">
            <v/>
          </cell>
        </row>
        <row r="38">
          <cell r="A38" t="str">
            <v/>
          </cell>
          <cell r="B38">
            <v>1034</v>
          </cell>
          <cell r="D38" t="str">
            <v/>
          </cell>
          <cell r="F38" t="str">
            <v/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/>
          </cell>
          <cell r="S38" t="str">
            <v/>
          </cell>
          <cell r="T38" t="str">
            <v/>
          </cell>
        </row>
        <row r="39">
          <cell r="A39" t="str">
            <v/>
          </cell>
          <cell r="B39">
            <v>1035</v>
          </cell>
          <cell r="D39" t="str">
            <v/>
          </cell>
          <cell r="F39" t="str">
            <v/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/>
          </cell>
          <cell r="S39" t="str">
            <v/>
          </cell>
          <cell r="T39" t="str">
            <v/>
          </cell>
        </row>
        <row r="40">
          <cell r="A40" t="str">
            <v/>
          </cell>
          <cell r="B40">
            <v>1036</v>
          </cell>
          <cell r="D40" t="str">
            <v/>
          </cell>
          <cell r="F40" t="str">
            <v/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 t="str">
            <v/>
          </cell>
          <cell r="S40" t="str">
            <v/>
          </cell>
          <cell r="T40" t="str">
            <v/>
          </cell>
        </row>
        <row r="41">
          <cell r="A41" t="str">
            <v/>
          </cell>
          <cell r="B41">
            <v>1037</v>
          </cell>
          <cell r="D41" t="str">
            <v/>
          </cell>
          <cell r="F41" t="str">
            <v/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/>
          </cell>
          <cell r="S41" t="str">
            <v/>
          </cell>
          <cell r="T41" t="str">
            <v/>
          </cell>
        </row>
        <row r="42">
          <cell r="A42" t="str">
            <v/>
          </cell>
          <cell r="B42">
            <v>1038</v>
          </cell>
          <cell r="D42" t="str">
            <v/>
          </cell>
          <cell r="F42" t="str">
            <v/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/>
          </cell>
          <cell r="S42" t="str">
            <v/>
          </cell>
          <cell r="T42" t="str">
            <v/>
          </cell>
        </row>
        <row r="43">
          <cell r="A43" t="str">
            <v/>
          </cell>
          <cell r="B43">
            <v>1039</v>
          </cell>
          <cell r="D43" t="str">
            <v/>
          </cell>
          <cell r="F43" t="str">
            <v/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/>
          </cell>
          <cell r="S43" t="str">
            <v/>
          </cell>
          <cell r="T43" t="str">
            <v/>
          </cell>
        </row>
        <row r="44">
          <cell r="A44" t="str">
            <v/>
          </cell>
          <cell r="B44">
            <v>1040</v>
          </cell>
          <cell r="D44" t="str">
            <v/>
          </cell>
          <cell r="F44" t="str">
            <v/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/>
          </cell>
          <cell r="S44" t="str">
            <v/>
          </cell>
          <cell r="T44" t="str">
            <v/>
          </cell>
        </row>
        <row r="45">
          <cell r="A45" t="str">
            <v/>
          </cell>
          <cell r="B45">
            <v>1041</v>
          </cell>
          <cell r="D45" t="str">
            <v/>
          </cell>
          <cell r="F45" t="str">
            <v/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/>
          </cell>
          <cell r="S45" t="str">
            <v/>
          </cell>
          <cell r="T45" t="str">
            <v/>
          </cell>
        </row>
        <row r="46">
          <cell r="A46" t="str">
            <v/>
          </cell>
          <cell r="B46">
            <v>1042</v>
          </cell>
          <cell r="D46" t="str">
            <v/>
          </cell>
          <cell r="F46" t="str">
            <v/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/>
          </cell>
          <cell r="S46" t="str">
            <v/>
          </cell>
          <cell r="T46" t="str">
            <v/>
          </cell>
        </row>
        <row r="47">
          <cell r="A47" t="str">
            <v/>
          </cell>
          <cell r="B47">
            <v>1043</v>
          </cell>
          <cell r="D47" t="str">
            <v/>
          </cell>
          <cell r="F47" t="str">
            <v/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/>
          </cell>
          <cell r="S47" t="str">
            <v/>
          </cell>
          <cell r="T47" t="str">
            <v/>
          </cell>
        </row>
        <row r="48">
          <cell r="A48" t="str">
            <v/>
          </cell>
          <cell r="B48">
            <v>1044</v>
          </cell>
          <cell r="D48" t="str">
            <v/>
          </cell>
          <cell r="F48" t="str">
            <v/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/>
          </cell>
          <cell r="S48" t="str">
            <v/>
          </cell>
          <cell r="T48" t="str">
            <v/>
          </cell>
        </row>
        <row r="49">
          <cell r="A49" t="str">
            <v/>
          </cell>
          <cell r="B49">
            <v>1045</v>
          </cell>
          <cell r="D49" t="str">
            <v/>
          </cell>
          <cell r="F49" t="str">
            <v/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/>
          </cell>
          <cell r="S49" t="str">
            <v/>
          </cell>
          <cell r="T49" t="str">
            <v/>
          </cell>
        </row>
        <row r="50">
          <cell r="A50" t="str">
            <v/>
          </cell>
          <cell r="B50">
            <v>1046</v>
          </cell>
          <cell r="D50" t="str">
            <v/>
          </cell>
          <cell r="F50" t="str">
            <v/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/>
          </cell>
          <cell r="S50" t="str">
            <v/>
          </cell>
          <cell r="T50" t="str">
            <v/>
          </cell>
        </row>
        <row r="51">
          <cell r="A51" t="str">
            <v/>
          </cell>
          <cell r="B51">
            <v>1047</v>
          </cell>
          <cell r="D51" t="str">
            <v/>
          </cell>
          <cell r="F51" t="str">
            <v/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/>
          </cell>
          <cell r="S51" t="str">
            <v/>
          </cell>
          <cell r="T51" t="str">
            <v/>
          </cell>
        </row>
        <row r="52">
          <cell r="A52" t="str">
            <v/>
          </cell>
          <cell r="B52">
            <v>1048</v>
          </cell>
          <cell r="D52" t="str">
            <v/>
          </cell>
          <cell r="F52" t="str">
            <v/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 t="str">
            <v/>
          </cell>
          <cell r="S52" t="str">
            <v/>
          </cell>
          <cell r="T52" t="str">
            <v/>
          </cell>
        </row>
        <row r="53">
          <cell r="A53" t="str">
            <v/>
          </cell>
          <cell r="B53">
            <v>1049</v>
          </cell>
          <cell r="D53" t="str">
            <v/>
          </cell>
          <cell r="F53" t="str">
            <v/>
          </cell>
          <cell r="J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/>
          </cell>
          <cell r="S53" t="str">
            <v/>
          </cell>
          <cell r="T53" t="str">
            <v/>
          </cell>
        </row>
        <row r="54">
          <cell r="A54" t="str">
            <v/>
          </cell>
          <cell r="B54">
            <v>1050</v>
          </cell>
          <cell r="D54" t="str">
            <v/>
          </cell>
          <cell r="F54" t="str">
            <v/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/>
          </cell>
          <cell r="S54" t="str">
            <v/>
          </cell>
          <cell r="T54" t="str">
            <v/>
          </cell>
        </row>
        <row r="55">
          <cell r="A55" t="str">
            <v/>
          </cell>
          <cell r="B55">
            <v>1051</v>
          </cell>
          <cell r="D55" t="str">
            <v/>
          </cell>
          <cell r="F55" t="str">
            <v/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/>
          </cell>
          <cell r="S55" t="str">
            <v/>
          </cell>
          <cell r="T55" t="str">
            <v/>
          </cell>
        </row>
        <row r="56">
          <cell r="A56" t="str">
            <v/>
          </cell>
          <cell r="B56">
            <v>1052</v>
          </cell>
          <cell r="D56" t="str">
            <v/>
          </cell>
          <cell r="F56" t="str">
            <v/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/>
          </cell>
          <cell r="S56" t="str">
            <v/>
          </cell>
          <cell r="T56" t="str">
            <v/>
          </cell>
        </row>
        <row r="57">
          <cell r="A57" t="str">
            <v/>
          </cell>
          <cell r="B57">
            <v>1053</v>
          </cell>
          <cell r="D57" t="str">
            <v/>
          </cell>
          <cell r="F57" t="str">
            <v/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/>
          </cell>
          <cell r="S57" t="str">
            <v/>
          </cell>
          <cell r="T57" t="str">
            <v/>
          </cell>
        </row>
        <row r="58">
          <cell r="A58" t="str">
            <v/>
          </cell>
          <cell r="B58">
            <v>1054</v>
          </cell>
          <cell r="D58" t="str">
            <v/>
          </cell>
          <cell r="F58" t="str">
            <v/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/>
          </cell>
          <cell r="S58" t="str">
            <v/>
          </cell>
          <cell r="T58" t="str">
            <v/>
          </cell>
        </row>
        <row r="59">
          <cell r="A59" t="str">
            <v/>
          </cell>
          <cell r="B59">
            <v>1055</v>
          </cell>
          <cell r="D59" t="str">
            <v/>
          </cell>
          <cell r="F59" t="str">
            <v/>
          </cell>
          <cell r="J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/>
          </cell>
          <cell r="S59" t="str">
            <v/>
          </cell>
          <cell r="T59" t="str">
            <v/>
          </cell>
        </row>
        <row r="60">
          <cell r="A60" t="str">
            <v/>
          </cell>
          <cell r="B60">
            <v>1056</v>
          </cell>
          <cell r="D60" t="str">
            <v/>
          </cell>
          <cell r="F60" t="str">
            <v/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/>
          </cell>
          <cell r="S60" t="str">
            <v/>
          </cell>
          <cell r="T60" t="str">
            <v/>
          </cell>
        </row>
        <row r="61">
          <cell r="A61" t="str">
            <v/>
          </cell>
          <cell r="B61">
            <v>1057</v>
          </cell>
          <cell r="D61" t="str">
            <v/>
          </cell>
          <cell r="F61" t="str">
            <v/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/>
          </cell>
          <cell r="S61" t="str">
            <v/>
          </cell>
          <cell r="T61" t="str">
            <v/>
          </cell>
        </row>
        <row r="62">
          <cell r="A62" t="str">
            <v/>
          </cell>
          <cell r="B62">
            <v>1058</v>
          </cell>
          <cell r="D62" t="str">
            <v/>
          </cell>
          <cell r="F62" t="str">
            <v/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S62" t="str">
            <v/>
          </cell>
          <cell r="T62" t="str">
            <v/>
          </cell>
        </row>
        <row r="63">
          <cell r="A63" t="str">
            <v/>
          </cell>
          <cell r="B63">
            <v>1059</v>
          </cell>
          <cell r="D63" t="str">
            <v/>
          </cell>
          <cell r="F63" t="str">
            <v/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S63" t="str">
            <v/>
          </cell>
          <cell r="T63" t="str">
            <v/>
          </cell>
        </row>
        <row r="64">
          <cell r="A64" t="str">
            <v/>
          </cell>
          <cell r="B64">
            <v>1060</v>
          </cell>
          <cell r="D64" t="str">
            <v/>
          </cell>
          <cell r="F64" t="str">
            <v/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S64" t="str">
            <v/>
          </cell>
          <cell r="T64" t="str">
            <v/>
          </cell>
        </row>
        <row r="65">
          <cell r="A65" t="str">
            <v/>
          </cell>
          <cell r="B65">
            <v>1061</v>
          </cell>
          <cell r="D65" t="str">
            <v/>
          </cell>
          <cell r="F65" t="str">
            <v/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S65" t="str">
            <v/>
          </cell>
          <cell r="T65" t="str">
            <v/>
          </cell>
        </row>
        <row r="66">
          <cell r="A66" t="str">
            <v/>
          </cell>
          <cell r="B66">
            <v>1062</v>
          </cell>
          <cell r="D66" t="str">
            <v/>
          </cell>
          <cell r="F66" t="str">
            <v/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S66" t="str">
            <v/>
          </cell>
          <cell r="T66" t="str">
            <v/>
          </cell>
        </row>
        <row r="67">
          <cell r="A67" t="str">
            <v/>
          </cell>
          <cell r="B67">
            <v>1063</v>
          </cell>
          <cell r="D67" t="str">
            <v/>
          </cell>
          <cell r="F67" t="str">
            <v/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S67" t="str">
            <v/>
          </cell>
          <cell r="T67" t="str">
            <v/>
          </cell>
        </row>
        <row r="68">
          <cell r="A68" t="str">
            <v/>
          </cell>
          <cell r="B68">
            <v>1064</v>
          </cell>
          <cell r="D68" t="str">
            <v/>
          </cell>
          <cell r="F68" t="str">
            <v/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S68" t="str">
            <v/>
          </cell>
          <cell r="T68" t="str">
            <v/>
          </cell>
        </row>
        <row r="69">
          <cell r="A69" t="str">
            <v/>
          </cell>
          <cell r="B69">
            <v>1065</v>
          </cell>
          <cell r="D69" t="str">
            <v/>
          </cell>
          <cell r="F69" t="str">
            <v/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S69" t="str">
            <v/>
          </cell>
          <cell r="T69" t="str">
            <v/>
          </cell>
        </row>
        <row r="70">
          <cell r="A70" t="str">
            <v/>
          </cell>
          <cell r="B70">
            <v>1066</v>
          </cell>
          <cell r="D70" t="str">
            <v/>
          </cell>
          <cell r="F70" t="str">
            <v/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S70" t="str">
            <v/>
          </cell>
          <cell r="T70" t="str">
            <v/>
          </cell>
        </row>
        <row r="71">
          <cell r="A71" t="str">
            <v/>
          </cell>
          <cell r="B71">
            <v>1067</v>
          </cell>
          <cell r="D71" t="str">
            <v/>
          </cell>
          <cell r="F71" t="str">
            <v/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S71" t="str">
            <v/>
          </cell>
          <cell r="T71" t="str">
            <v/>
          </cell>
        </row>
        <row r="72">
          <cell r="A72" t="str">
            <v/>
          </cell>
          <cell r="B72">
            <v>1068</v>
          </cell>
          <cell r="D72" t="str">
            <v/>
          </cell>
          <cell r="F72" t="str">
            <v/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S72" t="str">
            <v/>
          </cell>
          <cell r="T72" t="str">
            <v/>
          </cell>
        </row>
        <row r="73">
          <cell r="A73" t="str">
            <v/>
          </cell>
          <cell r="B73">
            <v>1069</v>
          </cell>
          <cell r="D73" t="str">
            <v/>
          </cell>
          <cell r="F73" t="str">
            <v/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S73" t="str">
            <v/>
          </cell>
          <cell r="T73" t="str">
            <v/>
          </cell>
        </row>
        <row r="74">
          <cell r="A74" t="str">
            <v/>
          </cell>
          <cell r="B74">
            <v>1070</v>
          </cell>
          <cell r="D74" t="str">
            <v/>
          </cell>
          <cell r="F74" t="str">
            <v/>
          </cell>
          <cell r="J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S74" t="str">
            <v/>
          </cell>
          <cell r="T74" t="str">
            <v/>
          </cell>
        </row>
        <row r="75">
          <cell r="A75" t="str">
            <v/>
          </cell>
          <cell r="B75">
            <v>1071</v>
          </cell>
          <cell r="D75" t="str">
            <v/>
          </cell>
          <cell r="F75" t="str">
            <v/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S75" t="str">
            <v/>
          </cell>
          <cell r="T75" t="str">
            <v/>
          </cell>
        </row>
        <row r="76">
          <cell r="A76" t="str">
            <v/>
          </cell>
          <cell r="B76">
            <v>1072</v>
          </cell>
          <cell r="D76" t="str">
            <v/>
          </cell>
          <cell r="F76" t="str">
            <v/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S76" t="str">
            <v/>
          </cell>
          <cell r="T76" t="str">
            <v/>
          </cell>
        </row>
        <row r="77">
          <cell r="A77" t="str">
            <v/>
          </cell>
          <cell r="B77">
            <v>1073</v>
          </cell>
          <cell r="D77" t="str">
            <v/>
          </cell>
          <cell r="F77" t="str">
            <v/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S77" t="str">
            <v/>
          </cell>
          <cell r="T77" t="str">
            <v/>
          </cell>
        </row>
        <row r="78">
          <cell r="A78" t="str">
            <v/>
          </cell>
          <cell r="B78">
            <v>1074</v>
          </cell>
          <cell r="D78" t="str">
            <v/>
          </cell>
          <cell r="F78" t="str">
            <v/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S78" t="str">
            <v/>
          </cell>
          <cell r="T78" t="str">
            <v/>
          </cell>
        </row>
        <row r="79">
          <cell r="A79" t="str">
            <v/>
          </cell>
          <cell r="B79">
            <v>1075</v>
          </cell>
          <cell r="D79" t="str">
            <v/>
          </cell>
          <cell r="F79" t="str">
            <v/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S79" t="str">
            <v/>
          </cell>
          <cell r="T79" t="str">
            <v/>
          </cell>
        </row>
        <row r="80">
          <cell r="A80" t="str">
            <v/>
          </cell>
          <cell r="B80">
            <v>1076</v>
          </cell>
          <cell r="D80" t="str">
            <v/>
          </cell>
          <cell r="F80" t="str">
            <v/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S80" t="str">
            <v/>
          </cell>
          <cell r="T80" t="str">
            <v/>
          </cell>
        </row>
        <row r="81">
          <cell r="A81" t="str">
            <v/>
          </cell>
          <cell r="B81">
            <v>1077</v>
          </cell>
          <cell r="D81" t="str">
            <v/>
          </cell>
          <cell r="F81" t="str">
            <v/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S81" t="str">
            <v/>
          </cell>
          <cell r="T81" t="str">
            <v/>
          </cell>
        </row>
        <row r="82">
          <cell r="A82" t="str">
            <v/>
          </cell>
          <cell r="B82">
            <v>1078</v>
          </cell>
          <cell r="D82" t="str">
            <v/>
          </cell>
          <cell r="F82" t="str">
            <v/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S82" t="str">
            <v/>
          </cell>
          <cell r="T82" t="str">
            <v/>
          </cell>
        </row>
        <row r="83">
          <cell r="A83" t="str">
            <v/>
          </cell>
          <cell r="B83">
            <v>1079</v>
          </cell>
          <cell r="D83" t="str">
            <v/>
          </cell>
          <cell r="F83" t="str">
            <v/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S83" t="str">
            <v/>
          </cell>
          <cell r="T83" t="str">
            <v/>
          </cell>
        </row>
        <row r="84">
          <cell r="A84" t="str">
            <v/>
          </cell>
          <cell r="B84">
            <v>1080</v>
          </cell>
          <cell r="D84" t="str">
            <v/>
          </cell>
          <cell r="F84" t="str">
            <v/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S84" t="str">
            <v/>
          </cell>
          <cell r="T84" t="str">
            <v/>
          </cell>
        </row>
        <row r="85">
          <cell r="A85" t="str">
            <v/>
          </cell>
          <cell r="B85">
            <v>1081</v>
          </cell>
          <cell r="D85" t="str">
            <v/>
          </cell>
          <cell r="F85" t="str">
            <v/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S85" t="str">
            <v/>
          </cell>
          <cell r="T85" t="str">
            <v/>
          </cell>
        </row>
        <row r="86">
          <cell r="A86" t="str">
            <v/>
          </cell>
          <cell r="B86">
            <v>1082</v>
          </cell>
          <cell r="D86" t="str">
            <v/>
          </cell>
          <cell r="F86" t="str">
            <v/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S86" t="str">
            <v/>
          </cell>
          <cell r="T86" t="str">
            <v/>
          </cell>
        </row>
        <row r="87">
          <cell r="A87" t="str">
            <v/>
          </cell>
          <cell r="B87">
            <v>1083</v>
          </cell>
          <cell r="D87" t="str">
            <v/>
          </cell>
          <cell r="F87" t="str">
            <v/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S87" t="str">
            <v/>
          </cell>
          <cell r="T87" t="str">
            <v/>
          </cell>
        </row>
        <row r="88">
          <cell r="A88" t="str">
            <v/>
          </cell>
          <cell r="B88">
            <v>1084</v>
          </cell>
          <cell r="D88" t="str">
            <v/>
          </cell>
          <cell r="F88" t="str">
            <v/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S88" t="str">
            <v/>
          </cell>
          <cell r="T88" t="str">
            <v/>
          </cell>
        </row>
        <row r="89">
          <cell r="A89" t="str">
            <v/>
          </cell>
          <cell r="B89">
            <v>1085</v>
          </cell>
          <cell r="D89" t="str">
            <v/>
          </cell>
          <cell r="F89" t="str">
            <v/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S89" t="str">
            <v/>
          </cell>
          <cell r="T89" t="str">
            <v/>
          </cell>
        </row>
        <row r="90">
          <cell r="A90" t="str">
            <v/>
          </cell>
          <cell r="B90">
            <v>1086</v>
          </cell>
          <cell r="D90" t="str">
            <v/>
          </cell>
          <cell r="F90" t="str">
            <v/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S90" t="str">
            <v/>
          </cell>
          <cell r="T90" t="str">
            <v/>
          </cell>
        </row>
        <row r="91">
          <cell r="A91" t="str">
            <v/>
          </cell>
          <cell r="B91">
            <v>1087</v>
          </cell>
          <cell r="D91" t="str">
            <v/>
          </cell>
          <cell r="F91" t="str">
            <v/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S91" t="str">
            <v/>
          </cell>
          <cell r="T91" t="str">
            <v/>
          </cell>
        </row>
        <row r="92">
          <cell r="A92" t="str">
            <v/>
          </cell>
          <cell r="B92">
            <v>1088</v>
          </cell>
          <cell r="D92" t="str">
            <v/>
          </cell>
          <cell r="F92" t="str">
            <v/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S92" t="str">
            <v/>
          </cell>
          <cell r="T92" t="str">
            <v/>
          </cell>
        </row>
        <row r="93">
          <cell r="A93" t="str">
            <v/>
          </cell>
          <cell r="B93">
            <v>1089</v>
          </cell>
          <cell r="D93" t="str">
            <v/>
          </cell>
          <cell r="F93" t="str">
            <v/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S93" t="str">
            <v/>
          </cell>
          <cell r="T93" t="str">
            <v/>
          </cell>
        </row>
        <row r="94">
          <cell r="A94" t="str">
            <v/>
          </cell>
          <cell r="B94">
            <v>1090</v>
          </cell>
          <cell r="D94" t="str">
            <v/>
          </cell>
          <cell r="F94" t="str">
            <v/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S94" t="str">
            <v/>
          </cell>
          <cell r="T94" t="str">
            <v/>
          </cell>
        </row>
        <row r="95">
          <cell r="A95" t="str">
            <v/>
          </cell>
          <cell r="B95">
            <v>1091</v>
          </cell>
          <cell r="D95" t="str">
            <v/>
          </cell>
          <cell r="F95" t="str">
            <v/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S95" t="str">
            <v/>
          </cell>
          <cell r="T95" t="str">
            <v/>
          </cell>
        </row>
        <row r="96">
          <cell r="A96" t="str">
            <v/>
          </cell>
          <cell r="B96">
            <v>1092</v>
          </cell>
          <cell r="D96" t="str">
            <v/>
          </cell>
          <cell r="F96" t="str">
            <v/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S96" t="str">
            <v/>
          </cell>
          <cell r="T96" t="str">
            <v/>
          </cell>
        </row>
        <row r="97">
          <cell r="A97" t="str">
            <v/>
          </cell>
          <cell r="B97">
            <v>1093</v>
          </cell>
          <cell r="D97" t="str">
            <v/>
          </cell>
          <cell r="F97" t="str">
            <v/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S97" t="str">
            <v/>
          </cell>
          <cell r="T97" t="str">
            <v/>
          </cell>
        </row>
        <row r="98">
          <cell r="A98" t="str">
            <v/>
          </cell>
          <cell r="B98">
            <v>1094</v>
          </cell>
          <cell r="D98" t="str">
            <v/>
          </cell>
          <cell r="F98" t="str">
            <v/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S98" t="str">
            <v/>
          </cell>
          <cell r="T98" t="str">
            <v/>
          </cell>
        </row>
        <row r="99">
          <cell r="A99" t="str">
            <v/>
          </cell>
          <cell r="B99">
            <v>1095</v>
          </cell>
          <cell r="D99" t="str">
            <v/>
          </cell>
          <cell r="F99" t="str">
            <v/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S99" t="str">
            <v/>
          </cell>
          <cell r="T99" t="str">
            <v/>
          </cell>
        </row>
        <row r="100">
          <cell r="A100" t="str">
            <v/>
          </cell>
          <cell r="B100">
            <v>1096</v>
          </cell>
          <cell r="D100" t="str">
            <v/>
          </cell>
          <cell r="F100" t="str">
            <v/>
          </cell>
          <cell r="J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S100" t="str">
            <v/>
          </cell>
          <cell r="T100" t="str">
            <v/>
          </cell>
        </row>
        <row r="101">
          <cell r="A101" t="str">
            <v/>
          </cell>
          <cell r="B101">
            <v>1097</v>
          </cell>
          <cell r="D101" t="str">
            <v/>
          </cell>
          <cell r="F101" t="str">
            <v/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S101" t="str">
            <v/>
          </cell>
          <cell r="T101" t="str">
            <v/>
          </cell>
        </row>
        <row r="102">
          <cell r="A102" t="str">
            <v/>
          </cell>
          <cell r="B102">
            <v>1098</v>
          </cell>
          <cell r="D102" t="str">
            <v/>
          </cell>
          <cell r="F102" t="str">
            <v/>
          </cell>
          <cell r="J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S102" t="str">
            <v/>
          </cell>
          <cell r="T102" t="str">
            <v/>
          </cell>
        </row>
        <row r="103">
          <cell r="A103" t="str">
            <v/>
          </cell>
          <cell r="B103">
            <v>1099</v>
          </cell>
          <cell r="D103" t="str">
            <v/>
          </cell>
          <cell r="F103" t="str">
            <v/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S103" t="str">
            <v/>
          </cell>
          <cell r="T103" t="str">
            <v/>
          </cell>
        </row>
        <row r="104">
          <cell r="A104" t="str">
            <v/>
          </cell>
          <cell r="B104">
            <v>1100</v>
          </cell>
          <cell r="D104" t="str">
            <v/>
          </cell>
          <cell r="F104" t="str">
            <v/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O104" t="str">
            <v/>
          </cell>
          <cell r="S104" t="str">
            <v/>
          </cell>
          <cell r="T104" t="str">
            <v/>
          </cell>
        </row>
        <row r="105">
          <cell r="A105" t="str">
            <v/>
          </cell>
          <cell r="B105">
            <v>1101</v>
          </cell>
          <cell r="D105" t="str">
            <v/>
          </cell>
          <cell r="F105" t="str">
            <v/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/>
          </cell>
          <cell r="S105" t="str">
            <v/>
          </cell>
          <cell r="T105" t="str">
            <v/>
          </cell>
        </row>
        <row r="106">
          <cell r="A106" t="str">
            <v/>
          </cell>
          <cell r="B106">
            <v>1102</v>
          </cell>
          <cell r="D106" t="str">
            <v/>
          </cell>
          <cell r="F106" t="str">
            <v/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/>
          </cell>
          <cell r="S106" t="str">
            <v/>
          </cell>
          <cell r="T106" t="str">
            <v/>
          </cell>
        </row>
        <row r="107">
          <cell r="A107" t="str">
            <v/>
          </cell>
          <cell r="B107">
            <v>1103</v>
          </cell>
          <cell r="D107" t="str">
            <v/>
          </cell>
          <cell r="F107" t="str">
            <v/>
          </cell>
          <cell r="J107">
            <v>0</v>
          </cell>
          <cell r="L107">
            <v>0</v>
          </cell>
          <cell r="M107">
            <v>0</v>
          </cell>
          <cell r="N107">
            <v>0</v>
          </cell>
          <cell r="O107" t="str">
            <v/>
          </cell>
          <cell r="S107" t="str">
            <v/>
          </cell>
          <cell r="T107" t="str">
            <v/>
          </cell>
        </row>
        <row r="108">
          <cell r="A108" t="str">
            <v/>
          </cell>
          <cell r="B108">
            <v>1104</v>
          </cell>
          <cell r="D108" t="str">
            <v/>
          </cell>
          <cell r="F108" t="str">
            <v/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/>
          </cell>
          <cell r="S108" t="str">
            <v/>
          </cell>
          <cell r="T108" t="str">
            <v/>
          </cell>
        </row>
        <row r="109">
          <cell r="A109" t="str">
            <v/>
          </cell>
          <cell r="B109">
            <v>1105</v>
          </cell>
          <cell r="D109" t="str">
            <v/>
          </cell>
          <cell r="F109" t="str">
            <v/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 t="str">
            <v/>
          </cell>
          <cell r="S109" t="str">
            <v/>
          </cell>
          <cell r="T109" t="str">
            <v/>
          </cell>
        </row>
        <row r="110">
          <cell r="A110" t="str">
            <v/>
          </cell>
          <cell r="B110">
            <v>1106</v>
          </cell>
          <cell r="D110" t="str">
            <v/>
          </cell>
          <cell r="F110" t="str">
            <v/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  <cell r="O110" t="str">
            <v/>
          </cell>
          <cell r="S110" t="str">
            <v/>
          </cell>
          <cell r="T110" t="str">
            <v/>
          </cell>
        </row>
        <row r="111">
          <cell r="A111" t="str">
            <v/>
          </cell>
          <cell r="B111">
            <v>1107</v>
          </cell>
          <cell r="D111" t="str">
            <v/>
          </cell>
          <cell r="F111" t="str">
            <v/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O111" t="str">
            <v/>
          </cell>
          <cell r="S111" t="str">
            <v/>
          </cell>
          <cell r="T111" t="str">
            <v/>
          </cell>
        </row>
        <row r="112">
          <cell r="A112" t="str">
            <v/>
          </cell>
          <cell r="B112">
            <v>1108</v>
          </cell>
          <cell r="D112" t="str">
            <v/>
          </cell>
          <cell r="F112" t="str">
            <v/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/>
          </cell>
          <cell r="S112" t="str">
            <v/>
          </cell>
          <cell r="T112" t="str">
            <v/>
          </cell>
        </row>
        <row r="113">
          <cell r="A113" t="str">
            <v/>
          </cell>
          <cell r="B113">
            <v>1109</v>
          </cell>
          <cell r="D113" t="str">
            <v/>
          </cell>
          <cell r="F113" t="str">
            <v/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  <cell r="O113" t="str">
            <v/>
          </cell>
          <cell r="S113" t="str">
            <v/>
          </cell>
          <cell r="T113" t="str">
            <v/>
          </cell>
        </row>
        <row r="114">
          <cell r="A114" t="str">
            <v/>
          </cell>
          <cell r="B114">
            <v>1110</v>
          </cell>
          <cell r="D114" t="str">
            <v/>
          </cell>
          <cell r="F114" t="str">
            <v/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O114" t="str">
            <v/>
          </cell>
          <cell r="S114" t="str">
            <v/>
          </cell>
          <cell r="T114" t="str">
            <v/>
          </cell>
        </row>
        <row r="115">
          <cell r="A115" t="str">
            <v/>
          </cell>
          <cell r="B115">
            <v>1111</v>
          </cell>
          <cell r="D115" t="str">
            <v/>
          </cell>
          <cell r="F115" t="str">
            <v/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O115" t="str">
            <v/>
          </cell>
          <cell r="S115" t="str">
            <v/>
          </cell>
          <cell r="T115" t="str">
            <v/>
          </cell>
        </row>
        <row r="116">
          <cell r="A116" t="str">
            <v/>
          </cell>
          <cell r="B116">
            <v>1112</v>
          </cell>
          <cell r="D116" t="str">
            <v/>
          </cell>
          <cell r="F116" t="str">
            <v/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O116" t="str">
            <v/>
          </cell>
          <cell r="S116" t="str">
            <v/>
          </cell>
          <cell r="T116" t="str">
            <v/>
          </cell>
        </row>
        <row r="117">
          <cell r="A117" t="str">
            <v/>
          </cell>
          <cell r="B117">
            <v>1113</v>
          </cell>
          <cell r="D117" t="str">
            <v/>
          </cell>
          <cell r="F117" t="str">
            <v/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 t="str">
            <v/>
          </cell>
          <cell r="S117" t="str">
            <v/>
          </cell>
          <cell r="T117" t="str">
            <v/>
          </cell>
        </row>
        <row r="118">
          <cell r="A118" t="str">
            <v/>
          </cell>
          <cell r="B118">
            <v>1114</v>
          </cell>
          <cell r="D118" t="str">
            <v/>
          </cell>
          <cell r="F118" t="str">
            <v/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/>
          </cell>
          <cell r="S118" t="str">
            <v/>
          </cell>
          <cell r="T118" t="str">
            <v/>
          </cell>
        </row>
        <row r="119">
          <cell r="A119" t="str">
            <v/>
          </cell>
          <cell r="B119">
            <v>1115</v>
          </cell>
          <cell r="D119" t="str">
            <v/>
          </cell>
          <cell r="F119" t="str">
            <v/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O119" t="str">
            <v/>
          </cell>
          <cell r="S119" t="str">
            <v/>
          </cell>
          <cell r="T119" t="str">
            <v/>
          </cell>
        </row>
        <row r="120">
          <cell r="A120" t="str">
            <v/>
          </cell>
          <cell r="B120">
            <v>1116</v>
          </cell>
          <cell r="D120" t="str">
            <v/>
          </cell>
          <cell r="F120" t="str">
            <v/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O120" t="str">
            <v/>
          </cell>
          <cell r="S120" t="str">
            <v/>
          </cell>
          <cell r="T120" t="str">
            <v/>
          </cell>
        </row>
        <row r="121">
          <cell r="A121" t="str">
            <v/>
          </cell>
          <cell r="B121">
            <v>1117</v>
          </cell>
          <cell r="D121" t="str">
            <v/>
          </cell>
          <cell r="F121" t="str">
            <v/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O121" t="str">
            <v/>
          </cell>
          <cell r="S121" t="str">
            <v/>
          </cell>
          <cell r="T121" t="str">
            <v/>
          </cell>
        </row>
        <row r="122">
          <cell r="A122" t="str">
            <v/>
          </cell>
          <cell r="B122">
            <v>1118</v>
          </cell>
          <cell r="D122" t="str">
            <v/>
          </cell>
          <cell r="F122" t="str">
            <v/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O122" t="str">
            <v/>
          </cell>
          <cell r="S122" t="str">
            <v/>
          </cell>
          <cell r="T122" t="str">
            <v/>
          </cell>
        </row>
        <row r="123">
          <cell r="A123" t="str">
            <v/>
          </cell>
          <cell r="B123">
            <v>1119</v>
          </cell>
          <cell r="D123" t="str">
            <v/>
          </cell>
          <cell r="F123" t="str">
            <v/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 t="str">
            <v/>
          </cell>
          <cell r="S123" t="str">
            <v/>
          </cell>
          <cell r="T123" t="str">
            <v/>
          </cell>
        </row>
        <row r="124">
          <cell r="A124" t="str">
            <v/>
          </cell>
          <cell r="B124">
            <v>1120</v>
          </cell>
          <cell r="D124" t="str">
            <v/>
          </cell>
          <cell r="F124" t="str">
            <v/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O124" t="str">
            <v/>
          </cell>
          <cell r="S124" t="str">
            <v/>
          </cell>
          <cell r="T124" t="str">
            <v/>
          </cell>
        </row>
        <row r="125">
          <cell r="A125" t="str">
            <v/>
          </cell>
          <cell r="B125">
            <v>1121</v>
          </cell>
          <cell r="D125" t="str">
            <v/>
          </cell>
          <cell r="F125" t="str">
            <v/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O125" t="str">
            <v/>
          </cell>
          <cell r="S125" t="str">
            <v/>
          </cell>
          <cell r="T125" t="str">
            <v/>
          </cell>
        </row>
        <row r="126">
          <cell r="A126" t="str">
            <v/>
          </cell>
          <cell r="B126">
            <v>1122</v>
          </cell>
          <cell r="D126" t="str">
            <v/>
          </cell>
          <cell r="F126" t="str">
            <v/>
          </cell>
          <cell r="J126">
            <v>0</v>
          </cell>
          <cell r="L126">
            <v>0</v>
          </cell>
          <cell r="M126">
            <v>0</v>
          </cell>
          <cell r="N126">
            <v>0</v>
          </cell>
          <cell r="O126" t="str">
            <v/>
          </cell>
          <cell r="S126" t="str">
            <v/>
          </cell>
          <cell r="T126" t="str">
            <v/>
          </cell>
        </row>
        <row r="127">
          <cell r="A127" t="str">
            <v/>
          </cell>
          <cell r="B127">
            <v>1123</v>
          </cell>
          <cell r="D127" t="str">
            <v/>
          </cell>
          <cell r="F127" t="str">
            <v/>
          </cell>
          <cell r="J127">
            <v>0</v>
          </cell>
          <cell r="L127">
            <v>0</v>
          </cell>
          <cell r="M127">
            <v>0</v>
          </cell>
          <cell r="N127">
            <v>0</v>
          </cell>
          <cell r="O127" t="str">
            <v/>
          </cell>
          <cell r="S127" t="str">
            <v/>
          </cell>
          <cell r="T127" t="str">
            <v/>
          </cell>
        </row>
        <row r="128">
          <cell r="A128" t="str">
            <v/>
          </cell>
          <cell r="B128">
            <v>1124</v>
          </cell>
          <cell r="D128" t="str">
            <v/>
          </cell>
          <cell r="F128" t="str">
            <v/>
          </cell>
          <cell r="J128">
            <v>0</v>
          </cell>
          <cell r="L128">
            <v>0</v>
          </cell>
          <cell r="M128">
            <v>0</v>
          </cell>
          <cell r="N128">
            <v>0</v>
          </cell>
          <cell r="O128" t="str">
            <v/>
          </cell>
          <cell r="S128" t="str">
            <v/>
          </cell>
          <cell r="T128" t="str">
            <v/>
          </cell>
        </row>
        <row r="129">
          <cell r="A129" t="str">
            <v/>
          </cell>
          <cell r="B129">
            <v>1125</v>
          </cell>
          <cell r="D129" t="str">
            <v/>
          </cell>
          <cell r="F129" t="str">
            <v/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 t="str">
            <v/>
          </cell>
          <cell r="S129" t="str">
            <v/>
          </cell>
          <cell r="T129" t="str">
            <v/>
          </cell>
        </row>
        <row r="130">
          <cell r="A130" t="str">
            <v/>
          </cell>
          <cell r="B130">
            <v>1126</v>
          </cell>
          <cell r="D130" t="str">
            <v/>
          </cell>
          <cell r="F130" t="str">
            <v/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 t="str">
            <v/>
          </cell>
          <cell r="S130" t="str">
            <v/>
          </cell>
          <cell r="T130" t="str">
            <v/>
          </cell>
        </row>
        <row r="131">
          <cell r="A131" t="str">
            <v/>
          </cell>
          <cell r="B131">
            <v>1127</v>
          </cell>
          <cell r="D131" t="str">
            <v/>
          </cell>
          <cell r="F131" t="str">
            <v/>
          </cell>
          <cell r="J131">
            <v>0</v>
          </cell>
          <cell r="L131">
            <v>0</v>
          </cell>
          <cell r="M131">
            <v>0</v>
          </cell>
          <cell r="N131">
            <v>0</v>
          </cell>
          <cell r="O131" t="str">
            <v/>
          </cell>
          <cell r="S131" t="str">
            <v/>
          </cell>
          <cell r="T131" t="str">
            <v/>
          </cell>
        </row>
        <row r="132">
          <cell r="A132" t="str">
            <v/>
          </cell>
          <cell r="B132">
            <v>1128</v>
          </cell>
          <cell r="D132" t="str">
            <v/>
          </cell>
          <cell r="F132" t="str">
            <v/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O132" t="str">
            <v/>
          </cell>
          <cell r="S132" t="str">
            <v/>
          </cell>
          <cell r="T132" t="str">
            <v/>
          </cell>
        </row>
        <row r="133">
          <cell r="A133" t="str">
            <v/>
          </cell>
          <cell r="B133">
            <v>1129</v>
          </cell>
          <cell r="D133" t="str">
            <v/>
          </cell>
          <cell r="F133" t="str">
            <v/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 t="str">
            <v/>
          </cell>
          <cell r="S133" t="str">
            <v/>
          </cell>
          <cell r="T133" t="str">
            <v/>
          </cell>
        </row>
        <row r="134">
          <cell r="A134" t="str">
            <v/>
          </cell>
          <cell r="B134">
            <v>1130</v>
          </cell>
          <cell r="D134" t="str">
            <v/>
          </cell>
          <cell r="F134" t="str">
            <v/>
          </cell>
          <cell r="J134">
            <v>0</v>
          </cell>
          <cell r="L134">
            <v>0</v>
          </cell>
          <cell r="M134">
            <v>0</v>
          </cell>
          <cell r="N134">
            <v>0</v>
          </cell>
          <cell r="O134" t="str">
            <v/>
          </cell>
          <cell r="S134" t="str">
            <v/>
          </cell>
          <cell r="T134" t="str">
            <v/>
          </cell>
        </row>
        <row r="135">
          <cell r="A135" t="str">
            <v/>
          </cell>
          <cell r="B135">
            <v>1131</v>
          </cell>
          <cell r="D135" t="str">
            <v/>
          </cell>
          <cell r="F135" t="str">
            <v/>
          </cell>
          <cell r="J135">
            <v>0</v>
          </cell>
          <cell r="L135">
            <v>0</v>
          </cell>
          <cell r="M135">
            <v>0</v>
          </cell>
          <cell r="N135">
            <v>0</v>
          </cell>
          <cell r="O135" t="str">
            <v/>
          </cell>
          <cell r="S135" t="str">
            <v/>
          </cell>
          <cell r="T135" t="str">
            <v/>
          </cell>
        </row>
        <row r="136">
          <cell r="A136" t="str">
            <v/>
          </cell>
          <cell r="B136">
            <v>1132</v>
          </cell>
          <cell r="D136" t="str">
            <v/>
          </cell>
          <cell r="F136" t="str">
            <v/>
          </cell>
          <cell r="J136">
            <v>0</v>
          </cell>
          <cell r="L136">
            <v>0</v>
          </cell>
          <cell r="M136">
            <v>0</v>
          </cell>
          <cell r="N136">
            <v>0</v>
          </cell>
          <cell r="O136" t="str">
            <v/>
          </cell>
          <cell r="S136" t="str">
            <v/>
          </cell>
          <cell r="T136" t="str">
            <v/>
          </cell>
        </row>
        <row r="137">
          <cell r="A137" t="str">
            <v/>
          </cell>
          <cell r="B137">
            <v>1133</v>
          </cell>
          <cell r="D137" t="str">
            <v/>
          </cell>
          <cell r="F137" t="str">
            <v/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/>
          </cell>
          <cell r="S137" t="str">
            <v/>
          </cell>
          <cell r="T137" t="str">
            <v/>
          </cell>
        </row>
        <row r="138">
          <cell r="A138" t="str">
            <v/>
          </cell>
          <cell r="B138">
            <v>1134</v>
          </cell>
          <cell r="D138" t="str">
            <v/>
          </cell>
          <cell r="F138" t="str">
            <v/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O138" t="str">
            <v/>
          </cell>
          <cell r="S138" t="str">
            <v/>
          </cell>
          <cell r="T138" t="str">
            <v/>
          </cell>
        </row>
        <row r="139">
          <cell r="A139" t="str">
            <v/>
          </cell>
          <cell r="B139">
            <v>1135</v>
          </cell>
          <cell r="D139" t="str">
            <v/>
          </cell>
          <cell r="F139" t="str">
            <v/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O139" t="str">
            <v/>
          </cell>
          <cell r="S139" t="str">
            <v/>
          </cell>
          <cell r="T139" t="str">
            <v/>
          </cell>
        </row>
        <row r="140">
          <cell r="A140" t="str">
            <v/>
          </cell>
          <cell r="B140">
            <v>1136</v>
          </cell>
          <cell r="D140" t="str">
            <v/>
          </cell>
          <cell r="F140" t="str">
            <v/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O140" t="str">
            <v/>
          </cell>
          <cell r="S140" t="str">
            <v/>
          </cell>
          <cell r="T140" t="str">
            <v/>
          </cell>
        </row>
        <row r="141">
          <cell r="A141" t="str">
            <v/>
          </cell>
          <cell r="B141">
            <v>1137</v>
          </cell>
          <cell r="D141" t="str">
            <v/>
          </cell>
          <cell r="F141" t="str">
            <v/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O141" t="str">
            <v/>
          </cell>
          <cell r="S141" t="str">
            <v/>
          </cell>
          <cell r="T141" t="str">
            <v/>
          </cell>
        </row>
        <row r="142">
          <cell r="A142" t="str">
            <v/>
          </cell>
          <cell r="B142">
            <v>1138</v>
          </cell>
          <cell r="D142" t="str">
            <v/>
          </cell>
          <cell r="F142" t="str">
            <v/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O142" t="str">
            <v/>
          </cell>
          <cell r="S142" t="str">
            <v/>
          </cell>
          <cell r="T142" t="str">
            <v/>
          </cell>
        </row>
        <row r="143">
          <cell r="A143" t="str">
            <v/>
          </cell>
          <cell r="B143">
            <v>1139</v>
          </cell>
          <cell r="D143" t="str">
            <v/>
          </cell>
          <cell r="F143" t="str">
            <v/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 t="str">
            <v/>
          </cell>
          <cell r="S143" t="str">
            <v/>
          </cell>
          <cell r="T143" t="str">
            <v/>
          </cell>
        </row>
        <row r="144">
          <cell r="A144" t="str">
            <v/>
          </cell>
          <cell r="B144">
            <v>1140</v>
          </cell>
          <cell r="D144" t="str">
            <v/>
          </cell>
          <cell r="F144" t="str">
            <v/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O144" t="str">
            <v/>
          </cell>
          <cell r="S144" t="str">
            <v/>
          </cell>
          <cell r="T144" t="str">
            <v/>
          </cell>
        </row>
        <row r="145">
          <cell r="A145" t="str">
            <v/>
          </cell>
          <cell r="B145">
            <v>1141</v>
          </cell>
          <cell r="D145" t="str">
            <v/>
          </cell>
          <cell r="F145" t="str">
            <v/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 t="str">
            <v/>
          </cell>
          <cell r="S145" t="str">
            <v/>
          </cell>
          <cell r="T145" t="str">
            <v/>
          </cell>
        </row>
        <row r="146">
          <cell r="A146" t="str">
            <v/>
          </cell>
          <cell r="B146">
            <v>1142</v>
          </cell>
          <cell r="D146" t="str">
            <v/>
          </cell>
          <cell r="F146" t="str">
            <v/>
          </cell>
          <cell r="J146">
            <v>0</v>
          </cell>
          <cell r="L146">
            <v>0</v>
          </cell>
          <cell r="M146">
            <v>0</v>
          </cell>
          <cell r="N146">
            <v>0</v>
          </cell>
          <cell r="O146" t="str">
            <v/>
          </cell>
          <cell r="S146" t="str">
            <v/>
          </cell>
          <cell r="T146" t="str">
            <v/>
          </cell>
        </row>
        <row r="147">
          <cell r="A147" t="str">
            <v/>
          </cell>
          <cell r="B147">
            <v>1143</v>
          </cell>
          <cell r="D147" t="str">
            <v/>
          </cell>
          <cell r="F147" t="str">
            <v/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O147" t="str">
            <v/>
          </cell>
          <cell r="S147" t="str">
            <v/>
          </cell>
          <cell r="T147" t="str">
            <v/>
          </cell>
        </row>
        <row r="148">
          <cell r="A148" t="str">
            <v/>
          </cell>
          <cell r="B148">
            <v>1144</v>
          </cell>
          <cell r="D148" t="str">
            <v/>
          </cell>
          <cell r="F148" t="str">
            <v/>
          </cell>
          <cell r="J148">
            <v>0</v>
          </cell>
          <cell r="L148">
            <v>0</v>
          </cell>
          <cell r="M148">
            <v>0</v>
          </cell>
          <cell r="N148">
            <v>0</v>
          </cell>
          <cell r="O148" t="str">
            <v/>
          </cell>
          <cell r="S148" t="str">
            <v/>
          </cell>
          <cell r="T148" t="str">
            <v/>
          </cell>
        </row>
        <row r="149">
          <cell r="A149" t="str">
            <v/>
          </cell>
          <cell r="B149">
            <v>1145</v>
          </cell>
          <cell r="D149" t="str">
            <v/>
          </cell>
          <cell r="F149" t="str">
            <v/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O149" t="str">
            <v/>
          </cell>
          <cell r="S149" t="str">
            <v/>
          </cell>
          <cell r="T149" t="str">
            <v/>
          </cell>
        </row>
        <row r="150">
          <cell r="A150" t="str">
            <v/>
          </cell>
          <cell r="B150">
            <v>1146</v>
          </cell>
          <cell r="D150" t="str">
            <v/>
          </cell>
          <cell r="F150" t="str">
            <v/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O150" t="str">
            <v/>
          </cell>
          <cell r="S150" t="str">
            <v/>
          </cell>
          <cell r="T150" t="str">
            <v/>
          </cell>
        </row>
        <row r="151">
          <cell r="A151" t="str">
            <v/>
          </cell>
          <cell r="B151">
            <v>1147</v>
          </cell>
          <cell r="D151" t="str">
            <v/>
          </cell>
          <cell r="F151" t="str">
            <v/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O151" t="str">
            <v/>
          </cell>
          <cell r="S151" t="str">
            <v/>
          </cell>
          <cell r="T151" t="str">
            <v/>
          </cell>
        </row>
        <row r="152">
          <cell r="A152" t="str">
            <v/>
          </cell>
          <cell r="B152">
            <v>1148</v>
          </cell>
          <cell r="D152" t="str">
            <v/>
          </cell>
          <cell r="F152" t="str">
            <v/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 t="str">
            <v/>
          </cell>
          <cell r="S152" t="str">
            <v/>
          </cell>
          <cell r="T152" t="str">
            <v/>
          </cell>
        </row>
        <row r="153">
          <cell r="A153" t="str">
            <v/>
          </cell>
          <cell r="B153">
            <v>1149</v>
          </cell>
          <cell r="D153" t="str">
            <v/>
          </cell>
          <cell r="F153" t="str">
            <v/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O153" t="str">
            <v/>
          </cell>
          <cell r="S153" t="str">
            <v/>
          </cell>
          <cell r="T153" t="str">
            <v/>
          </cell>
        </row>
        <row r="154">
          <cell r="A154" t="str">
            <v/>
          </cell>
          <cell r="B154">
            <v>1150</v>
          </cell>
          <cell r="D154" t="str">
            <v/>
          </cell>
          <cell r="F154" t="str">
            <v/>
          </cell>
          <cell r="J154">
            <v>0</v>
          </cell>
          <cell r="L154">
            <v>0</v>
          </cell>
          <cell r="M154">
            <v>0</v>
          </cell>
          <cell r="N154">
            <v>0</v>
          </cell>
          <cell r="O154" t="str">
            <v/>
          </cell>
          <cell r="S154" t="str">
            <v/>
          </cell>
          <cell r="T154" t="str">
            <v/>
          </cell>
        </row>
        <row r="155">
          <cell r="A155" t="str">
            <v/>
          </cell>
          <cell r="B155">
            <v>1151</v>
          </cell>
          <cell r="D155" t="str">
            <v/>
          </cell>
          <cell r="F155" t="str">
            <v/>
          </cell>
          <cell r="J155">
            <v>0</v>
          </cell>
          <cell r="L155">
            <v>0</v>
          </cell>
          <cell r="M155">
            <v>0</v>
          </cell>
          <cell r="N155">
            <v>0</v>
          </cell>
          <cell r="O155" t="str">
            <v/>
          </cell>
          <cell r="S155" t="str">
            <v/>
          </cell>
          <cell r="T155" t="str">
            <v/>
          </cell>
        </row>
        <row r="156">
          <cell r="A156" t="str">
            <v/>
          </cell>
          <cell r="B156">
            <v>1152</v>
          </cell>
          <cell r="D156" t="str">
            <v/>
          </cell>
          <cell r="F156" t="str">
            <v/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O156" t="str">
            <v/>
          </cell>
          <cell r="S156" t="str">
            <v/>
          </cell>
          <cell r="T156" t="str">
            <v/>
          </cell>
        </row>
        <row r="157">
          <cell r="A157" t="str">
            <v/>
          </cell>
          <cell r="B157">
            <v>1153</v>
          </cell>
          <cell r="D157" t="str">
            <v/>
          </cell>
          <cell r="F157" t="str">
            <v/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O157" t="str">
            <v/>
          </cell>
          <cell r="S157" t="str">
            <v/>
          </cell>
          <cell r="T157" t="str">
            <v/>
          </cell>
        </row>
        <row r="158">
          <cell r="A158" t="str">
            <v/>
          </cell>
          <cell r="B158">
            <v>1154</v>
          </cell>
          <cell r="D158" t="str">
            <v/>
          </cell>
          <cell r="F158" t="str">
            <v/>
          </cell>
          <cell r="J158">
            <v>0</v>
          </cell>
          <cell r="L158">
            <v>0</v>
          </cell>
          <cell r="M158">
            <v>0</v>
          </cell>
          <cell r="N158">
            <v>0</v>
          </cell>
          <cell r="O158" t="str">
            <v/>
          </cell>
          <cell r="S158" t="str">
            <v/>
          </cell>
          <cell r="T158" t="str">
            <v/>
          </cell>
        </row>
        <row r="159">
          <cell r="A159" t="str">
            <v/>
          </cell>
          <cell r="B159">
            <v>1155</v>
          </cell>
          <cell r="D159" t="str">
            <v/>
          </cell>
          <cell r="F159" t="str">
            <v/>
          </cell>
          <cell r="J159">
            <v>0</v>
          </cell>
          <cell r="L159">
            <v>0</v>
          </cell>
          <cell r="M159">
            <v>0</v>
          </cell>
          <cell r="N159">
            <v>0</v>
          </cell>
          <cell r="O159" t="str">
            <v/>
          </cell>
          <cell r="S159" t="str">
            <v/>
          </cell>
          <cell r="T159" t="str">
            <v/>
          </cell>
        </row>
        <row r="160">
          <cell r="A160" t="str">
            <v/>
          </cell>
          <cell r="B160">
            <v>1156</v>
          </cell>
          <cell r="D160" t="str">
            <v/>
          </cell>
          <cell r="F160" t="str">
            <v/>
          </cell>
          <cell r="J160">
            <v>0</v>
          </cell>
          <cell r="L160">
            <v>0</v>
          </cell>
          <cell r="M160">
            <v>0</v>
          </cell>
          <cell r="N160">
            <v>0</v>
          </cell>
          <cell r="O160" t="str">
            <v/>
          </cell>
          <cell r="S160" t="str">
            <v/>
          </cell>
          <cell r="T160" t="str">
            <v/>
          </cell>
        </row>
        <row r="161">
          <cell r="A161" t="str">
            <v/>
          </cell>
          <cell r="B161">
            <v>1157</v>
          </cell>
          <cell r="D161" t="str">
            <v/>
          </cell>
          <cell r="F161" t="str">
            <v/>
          </cell>
          <cell r="J161">
            <v>0</v>
          </cell>
          <cell r="L161">
            <v>0</v>
          </cell>
          <cell r="M161">
            <v>0</v>
          </cell>
          <cell r="N161">
            <v>0</v>
          </cell>
          <cell r="O161" t="str">
            <v/>
          </cell>
          <cell r="S161" t="str">
            <v/>
          </cell>
          <cell r="T161" t="str">
            <v/>
          </cell>
        </row>
        <row r="162">
          <cell r="A162" t="str">
            <v/>
          </cell>
          <cell r="B162">
            <v>1158</v>
          </cell>
          <cell r="D162" t="str">
            <v/>
          </cell>
          <cell r="F162" t="str">
            <v/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O162" t="str">
            <v/>
          </cell>
          <cell r="S162" t="str">
            <v/>
          </cell>
          <cell r="T162" t="str">
            <v/>
          </cell>
        </row>
        <row r="163">
          <cell r="A163" t="str">
            <v/>
          </cell>
          <cell r="B163">
            <v>1159</v>
          </cell>
          <cell r="D163" t="str">
            <v/>
          </cell>
          <cell r="F163" t="str">
            <v/>
          </cell>
          <cell r="J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/>
          </cell>
          <cell r="S163" t="str">
            <v/>
          </cell>
          <cell r="T163" t="str">
            <v/>
          </cell>
        </row>
        <row r="164">
          <cell r="A164" t="str">
            <v/>
          </cell>
          <cell r="B164">
            <v>1160</v>
          </cell>
          <cell r="D164" t="str">
            <v/>
          </cell>
          <cell r="F164" t="str">
            <v/>
          </cell>
          <cell r="J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/>
          </cell>
          <cell r="S164" t="str">
            <v/>
          </cell>
          <cell r="T164" t="str">
            <v/>
          </cell>
        </row>
        <row r="165">
          <cell r="A165" t="str">
            <v/>
          </cell>
          <cell r="B165">
            <v>1161</v>
          </cell>
          <cell r="D165" t="str">
            <v/>
          </cell>
          <cell r="F165" t="str">
            <v/>
          </cell>
          <cell r="J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/>
          </cell>
          <cell r="S165" t="str">
            <v/>
          </cell>
          <cell r="T165" t="str">
            <v/>
          </cell>
        </row>
        <row r="166">
          <cell r="A166" t="str">
            <v/>
          </cell>
          <cell r="B166">
            <v>1162</v>
          </cell>
          <cell r="D166" t="str">
            <v/>
          </cell>
          <cell r="F166" t="str">
            <v/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/>
          </cell>
          <cell r="S166" t="str">
            <v/>
          </cell>
          <cell r="T166" t="str">
            <v/>
          </cell>
        </row>
        <row r="167">
          <cell r="A167" t="str">
            <v/>
          </cell>
          <cell r="B167">
            <v>1163</v>
          </cell>
          <cell r="D167" t="str">
            <v/>
          </cell>
          <cell r="F167" t="str">
            <v/>
          </cell>
          <cell r="J167">
            <v>0</v>
          </cell>
          <cell r="L167">
            <v>0</v>
          </cell>
          <cell r="M167">
            <v>0</v>
          </cell>
          <cell r="N167">
            <v>0</v>
          </cell>
          <cell r="O167" t="str">
            <v/>
          </cell>
          <cell r="S167" t="str">
            <v/>
          </cell>
          <cell r="T167" t="str">
            <v/>
          </cell>
        </row>
        <row r="168">
          <cell r="A168" t="str">
            <v/>
          </cell>
          <cell r="B168">
            <v>1164</v>
          </cell>
          <cell r="D168" t="str">
            <v/>
          </cell>
          <cell r="F168" t="str">
            <v/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 t="str">
            <v/>
          </cell>
          <cell r="S168" t="str">
            <v/>
          </cell>
          <cell r="T168" t="str">
            <v/>
          </cell>
        </row>
        <row r="169">
          <cell r="A169" t="str">
            <v/>
          </cell>
          <cell r="B169">
            <v>1165</v>
          </cell>
          <cell r="D169" t="str">
            <v/>
          </cell>
          <cell r="F169" t="str">
            <v/>
          </cell>
          <cell r="J169">
            <v>0</v>
          </cell>
          <cell r="L169">
            <v>0</v>
          </cell>
          <cell r="M169">
            <v>0</v>
          </cell>
          <cell r="N169">
            <v>0</v>
          </cell>
          <cell r="O169" t="str">
            <v/>
          </cell>
          <cell r="S169" t="str">
            <v/>
          </cell>
          <cell r="T169" t="str">
            <v/>
          </cell>
        </row>
        <row r="170">
          <cell r="A170" t="str">
            <v/>
          </cell>
          <cell r="B170">
            <v>1166</v>
          </cell>
          <cell r="D170" t="str">
            <v/>
          </cell>
          <cell r="F170" t="str">
            <v/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O170" t="str">
            <v/>
          </cell>
          <cell r="S170" t="str">
            <v/>
          </cell>
          <cell r="T170" t="str">
            <v/>
          </cell>
        </row>
        <row r="171">
          <cell r="A171" t="str">
            <v/>
          </cell>
          <cell r="B171">
            <v>1167</v>
          </cell>
          <cell r="D171" t="str">
            <v/>
          </cell>
          <cell r="F171" t="str">
            <v/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O171" t="str">
            <v/>
          </cell>
          <cell r="S171" t="str">
            <v/>
          </cell>
          <cell r="T171" t="str">
            <v/>
          </cell>
        </row>
        <row r="172">
          <cell r="A172" t="str">
            <v/>
          </cell>
          <cell r="B172">
            <v>1168</v>
          </cell>
          <cell r="D172" t="str">
            <v/>
          </cell>
          <cell r="F172" t="str">
            <v/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O172" t="str">
            <v/>
          </cell>
          <cell r="S172" t="str">
            <v/>
          </cell>
          <cell r="T172" t="str">
            <v/>
          </cell>
        </row>
        <row r="173">
          <cell r="A173" t="str">
            <v/>
          </cell>
          <cell r="B173">
            <v>1169</v>
          </cell>
          <cell r="D173" t="str">
            <v/>
          </cell>
          <cell r="F173" t="str">
            <v/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O173" t="str">
            <v/>
          </cell>
          <cell r="S173" t="str">
            <v/>
          </cell>
          <cell r="T173" t="str">
            <v/>
          </cell>
        </row>
        <row r="174">
          <cell r="A174" t="str">
            <v/>
          </cell>
          <cell r="B174">
            <v>1170</v>
          </cell>
          <cell r="D174" t="str">
            <v/>
          </cell>
          <cell r="F174" t="str">
            <v/>
          </cell>
          <cell r="J174">
            <v>0</v>
          </cell>
          <cell r="L174">
            <v>0</v>
          </cell>
          <cell r="M174">
            <v>0</v>
          </cell>
          <cell r="N174">
            <v>0</v>
          </cell>
          <cell r="O174" t="str">
            <v/>
          </cell>
          <cell r="S174" t="str">
            <v/>
          </cell>
          <cell r="T174" t="str">
            <v/>
          </cell>
        </row>
        <row r="175">
          <cell r="A175" t="str">
            <v/>
          </cell>
          <cell r="B175">
            <v>1171</v>
          </cell>
          <cell r="D175" t="str">
            <v/>
          </cell>
          <cell r="F175" t="str">
            <v/>
          </cell>
          <cell r="J175">
            <v>0</v>
          </cell>
          <cell r="L175">
            <v>0</v>
          </cell>
          <cell r="M175">
            <v>0</v>
          </cell>
          <cell r="N175">
            <v>0</v>
          </cell>
          <cell r="O175" t="str">
            <v/>
          </cell>
          <cell r="S175" t="str">
            <v/>
          </cell>
          <cell r="T175" t="str">
            <v/>
          </cell>
        </row>
        <row r="176">
          <cell r="A176" t="str">
            <v/>
          </cell>
          <cell r="B176">
            <v>1172</v>
          </cell>
          <cell r="D176" t="str">
            <v/>
          </cell>
          <cell r="F176" t="str">
            <v/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O176" t="str">
            <v/>
          </cell>
          <cell r="S176" t="str">
            <v/>
          </cell>
          <cell r="T176" t="str">
            <v/>
          </cell>
        </row>
        <row r="177">
          <cell r="A177" t="str">
            <v/>
          </cell>
          <cell r="B177">
            <v>1173</v>
          </cell>
          <cell r="D177" t="str">
            <v/>
          </cell>
          <cell r="F177" t="str">
            <v/>
          </cell>
          <cell r="J177">
            <v>0</v>
          </cell>
          <cell r="L177">
            <v>0</v>
          </cell>
          <cell r="M177">
            <v>0</v>
          </cell>
          <cell r="N177">
            <v>0</v>
          </cell>
          <cell r="O177" t="str">
            <v/>
          </cell>
          <cell r="S177" t="str">
            <v/>
          </cell>
          <cell r="T177" t="str">
            <v/>
          </cell>
        </row>
        <row r="178">
          <cell r="A178" t="str">
            <v/>
          </cell>
          <cell r="B178">
            <v>1174</v>
          </cell>
          <cell r="D178" t="str">
            <v/>
          </cell>
          <cell r="F178" t="str">
            <v/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O178" t="str">
            <v/>
          </cell>
          <cell r="S178" t="str">
            <v/>
          </cell>
          <cell r="T178" t="str">
            <v/>
          </cell>
        </row>
        <row r="179">
          <cell r="A179" t="str">
            <v/>
          </cell>
          <cell r="B179">
            <v>1175</v>
          </cell>
          <cell r="D179" t="str">
            <v/>
          </cell>
          <cell r="F179" t="str">
            <v/>
          </cell>
          <cell r="J179">
            <v>0</v>
          </cell>
          <cell r="L179">
            <v>0</v>
          </cell>
          <cell r="M179">
            <v>0</v>
          </cell>
          <cell r="N179">
            <v>0</v>
          </cell>
          <cell r="O179" t="str">
            <v/>
          </cell>
          <cell r="S179" t="str">
            <v/>
          </cell>
          <cell r="T179" t="str">
            <v/>
          </cell>
        </row>
        <row r="180">
          <cell r="A180" t="str">
            <v/>
          </cell>
          <cell r="B180">
            <v>1176</v>
          </cell>
          <cell r="D180" t="str">
            <v/>
          </cell>
          <cell r="F180" t="str">
            <v/>
          </cell>
          <cell r="J180">
            <v>0</v>
          </cell>
          <cell r="L180">
            <v>0</v>
          </cell>
          <cell r="M180">
            <v>0</v>
          </cell>
          <cell r="N180">
            <v>0</v>
          </cell>
          <cell r="O180" t="str">
            <v/>
          </cell>
          <cell r="S180" t="str">
            <v/>
          </cell>
          <cell r="T180" t="str">
            <v/>
          </cell>
        </row>
        <row r="181">
          <cell r="A181" t="str">
            <v/>
          </cell>
          <cell r="B181">
            <v>1177</v>
          </cell>
          <cell r="D181" t="str">
            <v/>
          </cell>
          <cell r="F181" t="str">
            <v/>
          </cell>
          <cell r="J181">
            <v>0</v>
          </cell>
          <cell r="L181">
            <v>0</v>
          </cell>
          <cell r="M181">
            <v>0</v>
          </cell>
          <cell r="N181">
            <v>0</v>
          </cell>
          <cell r="O181" t="str">
            <v/>
          </cell>
          <cell r="S181" t="str">
            <v/>
          </cell>
          <cell r="T181" t="str">
            <v/>
          </cell>
        </row>
        <row r="182">
          <cell r="A182" t="str">
            <v/>
          </cell>
          <cell r="B182">
            <v>1178</v>
          </cell>
          <cell r="D182" t="str">
            <v/>
          </cell>
          <cell r="F182" t="str">
            <v/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 t="str">
            <v/>
          </cell>
          <cell r="S182" t="str">
            <v/>
          </cell>
          <cell r="T182" t="str">
            <v/>
          </cell>
        </row>
        <row r="183">
          <cell r="A183" t="str">
            <v/>
          </cell>
          <cell r="B183">
            <v>1179</v>
          </cell>
          <cell r="D183" t="str">
            <v/>
          </cell>
          <cell r="F183" t="str">
            <v/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O183" t="str">
            <v/>
          </cell>
          <cell r="S183" t="str">
            <v/>
          </cell>
          <cell r="T183" t="str">
            <v/>
          </cell>
        </row>
        <row r="184">
          <cell r="A184" t="str">
            <v/>
          </cell>
          <cell r="B184">
            <v>1180</v>
          </cell>
          <cell r="D184" t="str">
            <v/>
          </cell>
          <cell r="F184" t="str">
            <v/>
          </cell>
          <cell r="J184">
            <v>0</v>
          </cell>
          <cell r="L184">
            <v>0</v>
          </cell>
          <cell r="M184">
            <v>0</v>
          </cell>
          <cell r="N184">
            <v>0</v>
          </cell>
          <cell r="O184" t="str">
            <v/>
          </cell>
          <cell r="S184" t="str">
            <v/>
          </cell>
          <cell r="T184" t="str">
            <v/>
          </cell>
        </row>
        <row r="185">
          <cell r="A185" t="str">
            <v/>
          </cell>
          <cell r="B185">
            <v>1181</v>
          </cell>
          <cell r="D185" t="str">
            <v/>
          </cell>
          <cell r="F185" t="str">
            <v/>
          </cell>
          <cell r="J185">
            <v>0</v>
          </cell>
          <cell r="L185">
            <v>0</v>
          </cell>
          <cell r="M185">
            <v>0</v>
          </cell>
          <cell r="N185">
            <v>0</v>
          </cell>
          <cell r="O185" t="str">
            <v/>
          </cell>
          <cell r="S185" t="str">
            <v/>
          </cell>
          <cell r="T185" t="str">
            <v/>
          </cell>
        </row>
        <row r="186">
          <cell r="A186" t="str">
            <v/>
          </cell>
          <cell r="B186">
            <v>1182</v>
          </cell>
          <cell r="D186" t="str">
            <v/>
          </cell>
          <cell r="F186" t="str">
            <v/>
          </cell>
          <cell r="J186">
            <v>0</v>
          </cell>
          <cell r="L186">
            <v>0</v>
          </cell>
          <cell r="M186">
            <v>0</v>
          </cell>
          <cell r="N186">
            <v>0</v>
          </cell>
          <cell r="O186" t="str">
            <v/>
          </cell>
          <cell r="S186" t="str">
            <v/>
          </cell>
          <cell r="T186" t="str">
            <v/>
          </cell>
        </row>
        <row r="187">
          <cell r="A187" t="str">
            <v/>
          </cell>
          <cell r="B187">
            <v>1183</v>
          </cell>
          <cell r="D187" t="str">
            <v/>
          </cell>
          <cell r="F187" t="str">
            <v/>
          </cell>
          <cell r="J187">
            <v>0</v>
          </cell>
          <cell r="L187">
            <v>0</v>
          </cell>
          <cell r="M187">
            <v>0</v>
          </cell>
          <cell r="N187">
            <v>0</v>
          </cell>
          <cell r="O187" t="str">
            <v/>
          </cell>
          <cell r="S187" t="str">
            <v/>
          </cell>
          <cell r="T187" t="str">
            <v/>
          </cell>
        </row>
        <row r="188">
          <cell r="A188" t="str">
            <v/>
          </cell>
          <cell r="B188">
            <v>1184</v>
          </cell>
          <cell r="D188" t="str">
            <v/>
          </cell>
          <cell r="F188" t="str">
            <v/>
          </cell>
          <cell r="J188">
            <v>0</v>
          </cell>
          <cell r="L188">
            <v>0</v>
          </cell>
          <cell r="M188">
            <v>0</v>
          </cell>
          <cell r="N188">
            <v>0</v>
          </cell>
          <cell r="O188" t="str">
            <v/>
          </cell>
          <cell r="S188" t="str">
            <v/>
          </cell>
          <cell r="T188" t="str">
            <v/>
          </cell>
        </row>
        <row r="189">
          <cell r="A189" t="str">
            <v/>
          </cell>
          <cell r="B189">
            <v>1185</v>
          </cell>
          <cell r="D189" t="str">
            <v/>
          </cell>
          <cell r="F189" t="str">
            <v/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 t="str">
            <v/>
          </cell>
          <cell r="S189" t="str">
            <v/>
          </cell>
          <cell r="T189" t="str">
            <v/>
          </cell>
        </row>
        <row r="190">
          <cell r="A190" t="str">
            <v/>
          </cell>
          <cell r="B190">
            <v>1186</v>
          </cell>
          <cell r="D190" t="str">
            <v/>
          </cell>
          <cell r="F190" t="str">
            <v/>
          </cell>
          <cell r="J190">
            <v>0</v>
          </cell>
          <cell r="L190">
            <v>0</v>
          </cell>
          <cell r="M190">
            <v>0</v>
          </cell>
          <cell r="N190">
            <v>0</v>
          </cell>
          <cell r="O190" t="str">
            <v/>
          </cell>
          <cell r="S190" t="str">
            <v/>
          </cell>
          <cell r="T190" t="str">
            <v/>
          </cell>
        </row>
        <row r="191">
          <cell r="A191" t="str">
            <v/>
          </cell>
          <cell r="B191">
            <v>1187</v>
          </cell>
          <cell r="D191" t="str">
            <v/>
          </cell>
          <cell r="F191" t="str">
            <v/>
          </cell>
          <cell r="J191">
            <v>0</v>
          </cell>
          <cell r="L191">
            <v>0</v>
          </cell>
          <cell r="M191">
            <v>0</v>
          </cell>
          <cell r="N191">
            <v>0</v>
          </cell>
          <cell r="O191" t="str">
            <v/>
          </cell>
          <cell r="S191" t="str">
            <v/>
          </cell>
          <cell r="T191" t="str">
            <v/>
          </cell>
        </row>
        <row r="192">
          <cell r="A192" t="str">
            <v/>
          </cell>
          <cell r="B192">
            <v>1188</v>
          </cell>
          <cell r="D192" t="str">
            <v/>
          </cell>
          <cell r="F192" t="str">
            <v/>
          </cell>
          <cell r="J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/>
          </cell>
          <cell r="S192" t="str">
            <v/>
          </cell>
          <cell r="T192" t="str">
            <v/>
          </cell>
        </row>
        <row r="193">
          <cell r="A193" t="str">
            <v/>
          </cell>
          <cell r="B193">
            <v>1189</v>
          </cell>
          <cell r="D193" t="str">
            <v/>
          </cell>
          <cell r="F193" t="str">
            <v/>
          </cell>
          <cell r="J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/>
          </cell>
          <cell r="S193" t="str">
            <v/>
          </cell>
          <cell r="T193" t="str">
            <v/>
          </cell>
        </row>
        <row r="194">
          <cell r="A194" t="str">
            <v/>
          </cell>
          <cell r="B194">
            <v>1190</v>
          </cell>
          <cell r="D194" t="str">
            <v/>
          </cell>
          <cell r="F194" t="str">
            <v/>
          </cell>
          <cell r="J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/>
          </cell>
          <cell r="S194" t="str">
            <v/>
          </cell>
          <cell r="T194" t="str">
            <v/>
          </cell>
        </row>
        <row r="195">
          <cell r="A195" t="str">
            <v/>
          </cell>
          <cell r="B195">
            <v>1191</v>
          </cell>
          <cell r="D195" t="str">
            <v/>
          </cell>
          <cell r="F195" t="str">
            <v/>
          </cell>
          <cell r="J195">
            <v>0</v>
          </cell>
          <cell r="L195">
            <v>0</v>
          </cell>
          <cell r="M195">
            <v>0</v>
          </cell>
          <cell r="N195">
            <v>0</v>
          </cell>
          <cell r="O195" t="str">
            <v/>
          </cell>
          <cell r="S195" t="str">
            <v/>
          </cell>
          <cell r="T195" t="str">
            <v/>
          </cell>
        </row>
        <row r="196">
          <cell r="A196" t="str">
            <v/>
          </cell>
          <cell r="B196">
            <v>1192</v>
          </cell>
          <cell r="D196" t="str">
            <v/>
          </cell>
          <cell r="F196" t="str">
            <v/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O196" t="str">
            <v/>
          </cell>
          <cell r="S196" t="str">
            <v/>
          </cell>
          <cell r="T196" t="str">
            <v/>
          </cell>
        </row>
        <row r="197">
          <cell r="A197" t="str">
            <v/>
          </cell>
          <cell r="B197">
            <v>1193</v>
          </cell>
          <cell r="D197" t="str">
            <v/>
          </cell>
          <cell r="F197" t="str">
            <v/>
          </cell>
          <cell r="J197">
            <v>0</v>
          </cell>
          <cell r="L197">
            <v>0</v>
          </cell>
          <cell r="M197">
            <v>0</v>
          </cell>
          <cell r="N197">
            <v>0</v>
          </cell>
          <cell r="O197" t="str">
            <v/>
          </cell>
          <cell r="S197" t="str">
            <v/>
          </cell>
          <cell r="T197" t="str">
            <v/>
          </cell>
        </row>
        <row r="198">
          <cell r="A198" t="str">
            <v/>
          </cell>
          <cell r="B198">
            <v>1194</v>
          </cell>
          <cell r="D198" t="str">
            <v/>
          </cell>
          <cell r="F198" t="str">
            <v/>
          </cell>
          <cell r="J198">
            <v>0</v>
          </cell>
          <cell r="L198">
            <v>0</v>
          </cell>
          <cell r="M198">
            <v>0</v>
          </cell>
          <cell r="N198">
            <v>0</v>
          </cell>
          <cell r="O198" t="str">
            <v/>
          </cell>
          <cell r="S198" t="str">
            <v/>
          </cell>
          <cell r="T198" t="str">
            <v/>
          </cell>
        </row>
        <row r="199">
          <cell r="A199" t="str">
            <v/>
          </cell>
          <cell r="B199">
            <v>1195</v>
          </cell>
          <cell r="D199" t="str">
            <v/>
          </cell>
          <cell r="F199" t="str">
            <v/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 t="str">
            <v/>
          </cell>
          <cell r="S199" t="str">
            <v/>
          </cell>
          <cell r="T199" t="str">
            <v/>
          </cell>
        </row>
        <row r="200">
          <cell r="A200" t="str">
            <v/>
          </cell>
          <cell r="B200">
            <v>1196</v>
          </cell>
          <cell r="D200" t="str">
            <v/>
          </cell>
          <cell r="F200" t="str">
            <v/>
          </cell>
          <cell r="J200">
            <v>0</v>
          </cell>
          <cell r="L200">
            <v>0</v>
          </cell>
          <cell r="M200">
            <v>0</v>
          </cell>
          <cell r="N200">
            <v>0</v>
          </cell>
          <cell r="O200" t="str">
            <v/>
          </cell>
          <cell r="S200" t="str">
            <v/>
          </cell>
          <cell r="T200" t="str">
            <v/>
          </cell>
        </row>
        <row r="201">
          <cell r="A201" t="str">
            <v/>
          </cell>
          <cell r="B201">
            <v>1197</v>
          </cell>
          <cell r="D201" t="str">
            <v/>
          </cell>
          <cell r="F201" t="str">
            <v/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O201" t="str">
            <v/>
          </cell>
          <cell r="S201" t="str">
            <v/>
          </cell>
          <cell r="T201" t="str">
            <v/>
          </cell>
        </row>
        <row r="202">
          <cell r="A202" t="str">
            <v/>
          </cell>
          <cell r="B202">
            <v>1198</v>
          </cell>
          <cell r="D202" t="str">
            <v/>
          </cell>
          <cell r="F202" t="str">
            <v/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O202" t="str">
            <v/>
          </cell>
          <cell r="S202" t="str">
            <v/>
          </cell>
          <cell r="T202" t="str">
            <v/>
          </cell>
        </row>
        <row r="203">
          <cell r="A203" t="str">
            <v/>
          </cell>
          <cell r="B203">
            <v>1199</v>
          </cell>
          <cell r="D203" t="str">
            <v/>
          </cell>
          <cell r="F203" t="str">
            <v/>
          </cell>
          <cell r="J203">
            <v>0</v>
          </cell>
          <cell r="L203">
            <v>0</v>
          </cell>
          <cell r="M203">
            <v>0</v>
          </cell>
          <cell r="N203">
            <v>0</v>
          </cell>
          <cell r="O203" t="str">
            <v/>
          </cell>
          <cell r="S203" t="str">
            <v/>
          </cell>
          <cell r="T203" t="str">
            <v/>
          </cell>
        </row>
        <row r="204">
          <cell r="A204" t="str">
            <v/>
          </cell>
          <cell r="B204">
            <v>1200</v>
          </cell>
          <cell r="D204" t="str">
            <v/>
          </cell>
          <cell r="F204" t="str">
            <v/>
          </cell>
          <cell r="J204">
            <v>0</v>
          </cell>
          <cell r="L204">
            <v>0</v>
          </cell>
          <cell r="M204">
            <v>0</v>
          </cell>
          <cell r="N204">
            <v>0</v>
          </cell>
          <cell r="O204" t="str">
            <v/>
          </cell>
          <cell r="S204" t="str">
            <v/>
          </cell>
          <cell r="T204" t="str">
            <v/>
          </cell>
        </row>
        <row r="205">
          <cell r="A205" t="str">
            <v/>
          </cell>
          <cell r="B205">
            <v>1201</v>
          </cell>
          <cell r="D205" t="str">
            <v/>
          </cell>
          <cell r="F205" t="str">
            <v/>
          </cell>
          <cell r="J205">
            <v>0</v>
          </cell>
          <cell r="L205">
            <v>0</v>
          </cell>
          <cell r="M205">
            <v>0</v>
          </cell>
          <cell r="N205">
            <v>0</v>
          </cell>
          <cell r="O205" t="str">
            <v/>
          </cell>
          <cell r="S205" t="str">
            <v/>
          </cell>
          <cell r="T205" t="str">
            <v/>
          </cell>
        </row>
        <row r="206">
          <cell r="A206" t="str">
            <v/>
          </cell>
          <cell r="B206">
            <v>1202</v>
          </cell>
          <cell r="D206" t="str">
            <v/>
          </cell>
          <cell r="F206" t="str">
            <v/>
          </cell>
          <cell r="J206">
            <v>0</v>
          </cell>
          <cell r="L206">
            <v>0</v>
          </cell>
          <cell r="M206">
            <v>0</v>
          </cell>
          <cell r="N206">
            <v>0</v>
          </cell>
          <cell r="O206" t="str">
            <v/>
          </cell>
          <cell r="S206" t="str">
            <v/>
          </cell>
          <cell r="T206" t="str">
            <v/>
          </cell>
        </row>
        <row r="207">
          <cell r="A207" t="str">
            <v/>
          </cell>
          <cell r="B207">
            <v>1203</v>
          </cell>
          <cell r="D207" t="str">
            <v/>
          </cell>
          <cell r="F207" t="str">
            <v/>
          </cell>
          <cell r="J207">
            <v>0</v>
          </cell>
          <cell r="L207">
            <v>0</v>
          </cell>
          <cell r="M207">
            <v>0</v>
          </cell>
          <cell r="N207">
            <v>0</v>
          </cell>
          <cell r="O207" t="str">
            <v/>
          </cell>
          <cell r="S207" t="str">
            <v/>
          </cell>
          <cell r="T207" t="str">
            <v/>
          </cell>
        </row>
        <row r="208">
          <cell r="A208" t="str">
            <v/>
          </cell>
          <cell r="B208">
            <v>1204</v>
          </cell>
          <cell r="D208" t="str">
            <v/>
          </cell>
          <cell r="F208" t="str">
            <v/>
          </cell>
          <cell r="J208">
            <v>0</v>
          </cell>
          <cell r="L208">
            <v>0</v>
          </cell>
          <cell r="M208">
            <v>0</v>
          </cell>
          <cell r="N208">
            <v>0</v>
          </cell>
          <cell r="O208" t="str">
            <v/>
          </cell>
          <cell r="S208" t="str">
            <v/>
          </cell>
          <cell r="T208" t="str">
            <v/>
          </cell>
        </row>
        <row r="209">
          <cell r="A209" t="str">
            <v/>
          </cell>
          <cell r="B209">
            <v>1205</v>
          </cell>
          <cell r="D209" t="str">
            <v/>
          </cell>
          <cell r="F209" t="str">
            <v/>
          </cell>
          <cell r="J209">
            <v>0</v>
          </cell>
          <cell r="L209">
            <v>0</v>
          </cell>
          <cell r="M209">
            <v>0</v>
          </cell>
          <cell r="N209">
            <v>0</v>
          </cell>
          <cell r="O209" t="str">
            <v/>
          </cell>
          <cell r="S209" t="str">
            <v/>
          </cell>
          <cell r="T209" t="str">
            <v/>
          </cell>
        </row>
        <row r="210">
          <cell r="A210" t="str">
            <v/>
          </cell>
          <cell r="B210">
            <v>1206</v>
          </cell>
          <cell r="D210" t="str">
            <v/>
          </cell>
          <cell r="F210" t="str">
            <v/>
          </cell>
          <cell r="J210">
            <v>0</v>
          </cell>
          <cell r="L210">
            <v>0</v>
          </cell>
          <cell r="M210">
            <v>0</v>
          </cell>
          <cell r="N210">
            <v>0</v>
          </cell>
          <cell r="O210" t="str">
            <v/>
          </cell>
          <cell r="S210" t="str">
            <v/>
          </cell>
          <cell r="T210" t="str">
            <v/>
          </cell>
        </row>
        <row r="211">
          <cell r="A211" t="str">
            <v/>
          </cell>
          <cell r="B211">
            <v>1207</v>
          </cell>
          <cell r="D211" t="str">
            <v/>
          </cell>
          <cell r="F211" t="str">
            <v/>
          </cell>
          <cell r="J211">
            <v>0</v>
          </cell>
          <cell r="L211">
            <v>0</v>
          </cell>
          <cell r="M211">
            <v>0</v>
          </cell>
          <cell r="N211">
            <v>0</v>
          </cell>
          <cell r="O211" t="str">
            <v/>
          </cell>
          <cell r="S211" t="str">
            <v/>
          </cell>
          <cell r="T211" t="str">
            <v/>
          </cell>
        </row>
        <row r="212">
          <cell r="A212" t="str">
            <v/>
          </cell>
          <cell r="B212">
            <v>1208</v>
          </cell>
          <cell r="D212" t="str">
            <v/>
          </cell>
          <cell r="F212" t="str">
            <v/>
          </cell>
          <cell r="J212">
            <v>0</v>
          </cell>
          <cell r="L212">
            <v>0</v>
          </cell>
          <cell r="M212">
            <v>0</v>
          </cell>
          <cell r="N212">
            <v>0</v>
          </cell>
          <cell r="O212" t="str">
            <v/>
          </cell>
          <cell r="S212" t="str">
            <v/>
          </cell>
          <cell r="T212" t="str">
            <v/>
          </cell>
        </row>
        <row r="213">
          <cell r="A213" t="str">
            <v/>
          </cell>
          <cell r="B213">
            <v>1209</v>
          </cell>
          <cell r="D213" t="str">
            <v/>
          </cell>
          <cell r="F213" t="str">
            <v/>
          </cell>
          <cell r="J213">
            <v>0</v>
          </cell>
          <cell r="L213">
            <v>0</v>
          </cell>
          <cell r="M213">
            <v>0</v>
          </cell>
          <cell r="N213">
            <v>0</v>
          </cell>
          <cell r="O213" t="str">
            <v/>
          </cell>
          <cell r="S213" t="str">
            <v/>
          </cell>
          <cell r="T213" t="str">
            <v/>
          </cell>
        </row>
        <row r="214">
          <cell r="A214" t="str">
            <v/>
          </cell>
          <cell r="B214">
            <v>1210</v>
          </cell>
          <cell r="D214" t="str">
            <v/>
          </cell>
          <cell r="F214" t="str">
            <v/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O214" t="str">
            <v/>
          </cell>
          <cell r="S214" t="str">
            <v/>
          </cell>
          <cell r="T214" t="str">
            <v/>
          </cell>
        </row>
        <row r="215">
          <cell r="A215" t="str">
            <v/>
          </cell>
          <cell r="B215">
            <v>1211</v>
          </cell>
          <cell r="D215" t="str">
            <v/>
          </cell>
          <cell r="F215" t="str">
            <v/>
          </cell>
          <cell r="J215">
            <v>0</v>
          </cell>
          <cell r="L215">
            <v>0</v>
          </cell>
          <cell r="M215">
            <v>0</v>
          </cell>
          <cell r="N215">
            <v>0</v>
          </cell>
          <cell r="O215" t="str">
            <v/>
          </cell>
          <cell r="S215" t="str">
            <v/>
          </cell>
          <cell r="T215" t="str">
            <v/>
          </cell>
        </row>
        <row r="216">
          <cell r="A216" t="str">
            <v/>
          </cell>
          <cell r="B216">
            <v>1212</v>
          </cell>
          <cell r="D216" t="str">
            <v/>
          </cell>
          <cell r="F216" t="str">
            <v/>
          </cell>
          <cell r="J216">
            <v>0</v>
          </cell>
          <cell r="L216">
            <v>0</v>
          </cell>
          <cell r="M216">
            <v>0</v>
          </cell>
          <cell r="N216">
            <v>0</v>
          </cell>
          <cell r="O216" t="str">
            <v/>
          </cell>
          <cell r="S216" t="str">
            <v/>
          </cell>
          <cell r="T216" t="str">
            <v/>
          </cell>
        </row>
        <row r="217">
          <cell r="A217" t="str">
            <v/>
          </cell>
          <cell r="B217">
            <v>1213</v>
          </cell>
          <cell r="D217" t="str">
            <v/>
          </cell>
          <cell r="F217" t="str">
            <v/>
          </cell>
          <cell r="J217">
            <v>0</v>
          </cell>
          <cell r="L217">
            <v>0</v>
          </cell>
          <cell r="M217">
            <v>0</v>
          </cell>
          <cell r="N217">
            <v>0</v>
          </cell>
          <cell r="O217" t="str">
            <v/>
          </cell>
          <cell r="S217" t="str">
            <v/>
          </cell>
          <cell r="T217" t="str">
            <v/>
          </cell>
        </row>
        <row r="218">
          <cell r="A218" t="str">
            <v/>
          </cell>
          <cell r="B218">
            <v>1214</v>
          </cell>
          <cell r="D218" t="str">
            <v/>
          </cell>
          <cell r="F218" t="str">
            <v/>
          </cell>
          <cell r="J218">
            <v>0</v>
          </cell>
          <cell r="L218">
            <v>0</v>
          </cell>
          <cell r="M218">
            <v>0</v>
          </cell>
          <cell r="N218">
            <v>0</v>
          </cell>
          <cell r="O218" t="str">
            <v/>
          </cell>
          <cell r="S218" t="str">
            <v/>
          </cell>
          <cell r="T218" t="str">
            <v/>
          </cell>
        </row>
        <row r="219">
          <cell r="A219" t="str">
            <v/>
          </cell>
          <cell r="B219">
            <v>1215</v>
          </cell>
          <cell r="D219" t="str">
            <v/>
          </cell>
          <cell r="F219" t="str">
            <v/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O219" t="str">
            <v/>
          </cell>
          <cell r="S219" t="str">
            <v/>
          </cell>
          <cell r="T219" t="str">
            <v/>
          </cell>
        </row>
        <row r="220">
          <cell r="A220" t="str">
            <v/>
          </cell>
          <cell r="B220">
            <v>1216</v>
          </cell>
          <cell r="D220" t="str">
            <v/>
          </cell>
          <cell r="F220" t="str">
            <v/>
          </cell>
          <cell r="J220">
            <v>0</v>
          </cell>
          <cell r="L220">
            <v>0</v>
          </cell>
          <cell r="M220">
            <v>0</v>
          </cell>
          <cell r="N220">
            <v>0</v>
          </cell>
          <cell r="O220" t="str">
            <v/>
          </cell>
          <cell r="S220" t="str">
            <v/>
          </cell>
          <cell r="T220" t="str">
            <v/>
          </cell>
        </row>
        <row r="221">
          <cell r="A221" t="str">
            <v/>
          </cell>
          <cell r="B221">
            <v>1217</v>
          </cell>
          <cell r="D221" t="str">
            <v/>
          </cell>
          <cell r="F221" t="str">
            <v/>
          </cell>
          <cell r="J221">
            <v>0</v>
          </cell>
          <cell r="L221">
            <v>0</v>
          </cell>
          <cell r="M221">
            <v>0</v>
          </cell>
          <cell r="N221">
            <v>0</v>
          </cell>
          <cell r="O221" t="str">
            <v/>
          </cell>
          <cell r="S221" t="str">
            <v/>
          </cell>
          <cell r="T221" t="str">
            <v/>
          </cell>
        </row>
        <row r="222">
          <cell r="A222" t="str">
            <v/>
          </cell>
          <cell r="B222">
            <v>1218</v>
          </cell>
          <cell r="D222" t="str">
            <v/>
          </cell>
          <cell r="F222" t="str">
            <v/>
          </cell>
          <cell r="J222">
            <v>0</v>
          </cell>
          <cell r="L222">
            <v>0</v>
          </cell>
          <cell r="M222">
            <v>0</v>
          </cell>
          <cell r="N222">
            <v>0</v>
          </cell>
          <cell r="O222" t="str">
            <v/>
          </cell>
          <cell r="S222" t="str">
            <v/>
          </cell>
          <cell r="T222" t="str">
            <v/>
          </cell>
        </row>
        <row r="223">
          <cell r="A223" t="str">
            <v/>
          </cell>
          <cell r="B223">
            <v>1219</v>
          </cell>
          <cell r="D223" t="str">
            <v/>
          </cell>
          <cell r="F223" t="str">
            <v/>
          </cell>
          <cell r="J223">
            <v>0</v>
          </cell>
          <cell r="L223">
            <v>0</v>
          </cell>
          <cell r="M223">
            <v>0</v>
          </cell>
          <cell r="N223">
            <v>0</v>
          </cell>
          <cell r="O223" t="str">
            <v/>
          </cell>
          <cell r="S223" t="str">
            <v/>
          </cell>
          <cell r="T223" t="str">
            <v/>
          </cell>
        </row>
        <row r="224">
          <cell r="A224" t="str">
            <v/>
          </cell>
          <cell r="B224">
            <v>1220</v>
          </cell>
          <cell r="D224" t="str">
            <v/>
          </cell>
          <cell r="F224" t="str">
            <v/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O224" t="str">
            <v/>
          </cell>
          <cell r="S224" t="str">
            <v/>
          </cell>
          <cell r="T224" t="str">
            <v/>
          </cell>
        </row>
        <row r="225">
          <cell r="A225" t="str">
            <v/>
          </cell>
          <cell r="B225">
            <v>1221</v>
          </cell>
          <cell r="D225" t="str">
            <v/>
          </cell>
          <cell r="F225" t="str">
            <v/>
          </cell>
          <cell r="J225">
            <v>0</v>
          </cell>
          <cell r="L225">
            <v>0</v>
          </cell>
          <cell r="M225">
            <v>0</v>
          </cell>
          <cell r="N225">
            <v>0</v>
          </cell>
          <cell r="O225" t="str">
            <v/>
          </cell>
          <cell r="S225" t="str">
            <v/>
          </cell>
          <cell r="T225" t="str">
            <v/>
          </cell>
        </row>
        <row r="226">
          <cell r="A226" t="str">
            <v/>
          </cell>
          <cell r="B226">
            <v>1222</v>
          </cell>
          <cell r="D226" t="str">
            <v/>
          </cell>
          <cell r="F226" t="str">
            <v/>
          </cell>
          <cell r="J226">
            <v>0</v>
          </cell>
          <cell r="L226">
            <v>0</v>
          </cell>
          <cell r="M226">
            <v>0</v>
          </cell>
          <cell r="N226">
            <v>0</v>
          </cell>
          <cell r="O226" t="str">
            <v/>
          </cell>
          <cell r="S226" t="str">
            <v/>
          </cell>
          <cell r="T226" t="str">
            <v/>
          </cell>
        </row>
        <row r="227">
          <cell r="A227" t="str">
            <v/>
          </cell>
          <cell r="B227">
            <v>1223</v>
          </cell>
          <cell r="D227" t="str">
            <v/>
          </cell>
          <cell r="F227" t="str">
            <v/>
          </cell>
          <cell r="J227">
            <v>0</v>
          </cell>
          <cell r="L227">
            <v>0</v>
          </cell>
          <cell r="M227">
            <v>0</v>
          </cell>
          <cell r="N227">
            <v>0</v>
          </cell>
          <cell r="O227" t="str">
            <v/>
          </cell>
          <cell r="S227" t="str">
            <v/>
          </cell>
          <cell r="T227" t="str">
            <v/>
          </cell>
        </row>
        <row r="228">
          <cell r="A228" t="str">
            <v/>
          </cell>
          <cell r="B228">
            <v>1224</v>
          </cell>
          <cell r="D228" t="str">
            <v/>
          </cell>
          <cell r="F228" t="str">
            <v/>
          </cell>
          <cell r="J228">
            <v>0</v>
          </cell>
          <cell r="L228">
            <v>0</v>
          </cell>
          <cell r="M228">
            <v>0</v>
          </cell>
          <cell r="N228">
            <v>0</v>
          </cell>
          <cell r="O228" t="str">
            <v/>
          </cell>
          <cell r="S228" t="str">
            <v/>
          </cell>
          <cell r="T228" t="str">
            <v/>
          </cell>
        </row>
        <row r="229">
          <cell r="A229" t="str">
            <v/>
          </cell>
          <cell r="B229">
            <v>1225</v>
          </cell>
          <cell r="D229" t="str">
            <v/>
          </cell>
          <cell r="F229" t="str">
            <v/>
          </cell>
          <cell r="J229">
            <v>0</v>
          </cell>
          <cell r="L229">
            <v>0</v>
          </cell>
          <cell r="M229">
            <v>0</v>
          </cell>
          <cell r="N229">
            <v>0</v>
          </cell>
          <cell r="O229" t="str">
            <v/>
          </cell>
          <cell r="S229" t="str">
            <v/>
          </cell>
          <cell r="T229" t="str">
            <v/>
          </cell>
        </row>
        <row r="230">
          <cell r="A230" t="str">
            <v/>
          </cell>
          <cell r="B230">
            <v>1226</v>
          </cell>
          <cell r="D230" t="str">
            <v/>
          </cell>
          <cell r="F230" t="str">
            <v/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O230" t="str">
            <v/>
          </cell>
          <cell r="S230" t="str">
            <v/>
          </cell>
          <cell r="T230" t="str">
            <v/>
          </cell>
        </row>
        <row r="231">
          <cell r="A231" t="str">
            <v/>
          </cell>
          <cell r="B231">
            <v>1227</v>
          </cell>
          <cell r="D231" t="str">
            <v/>
          </cell>
          <cell r="F231" t="str">
            <v/>
          </cell>
          <cell r="J231">
            <v>0</v>
          </cell>
          <cell r="L231">
            <v>0</v>
          </cell>
          <cell r="M231">
            <v>0</v>
          </cell>
          <cell r="N231">
            <v>0</v>
          </cell>
          <cell r="O231" t="str">
            <v/>
          </cell>
          <cell r="S231" t="str">
            <v/>
          </cell>
          <cell r="T231" t="str">
            <v/>
          </cell>
        </row>
        <row r="232">
          <cell r="A232" t="str">
            <v/>
          </cell>
          <cell r="B232">
            <v>1228</v>
          </cell>
          <cell r="D232" t="str">
            <v/>
          </cell>
          <cell r="F232" t="str">
            <v/>
          </cell>
          <cell r="J232">
            <v>0</v>
          </cell>
          <cell r="L232">
            <v>0</v>
          </cell>
          <cell r="M232">
            <v>0</v>
          </cell>
          <cell r="N232">
            <v>0</v>
          </cell>
          <cell r="O232" t="str">
            <v/>
          </cell>
          <cell r="S232" t="str">
            <v/>
          </cell>
          <cell r="T232" t="str">
            <v/>
          </cell>
        </row>
        <row r="233">
          <cell r="A233" t="str">
            <v/>
          </cell>
          <cell r="B233">
            <v>1229</v>
          </cell>
          <cell r="D233" t="str">
            <v/>
          </cell>
          <cell r="F233" t="str">
            <v/>
          </cell>
          <cell r="J233">
            <v>0</v>
          </cell>
          <cell r="L233">
            <v>0</v>
          </cell>
          <cell r="M233">
            <v>0</v>
          </cell>
          <cell r="N233">
            <v>0</v>
          </cell>
          <cell r="O233" t="str">
            <v/>
          </cell>
          <cell r="S233" t="str">
            <v/>
          </cell>
          <cell r="T233" t="str">
            <v/>
          </cell>
        </row>
        <row r="234">
          <cell r="A234" t="str">
            <v/>
          </cell>
          <cell r="B234">
            <v>1230</v>
          </cell>
          <cell r="D234" t="str">
            <v/>
          </cell>
          <cell r="F234" t="str">
            <v/>
          </cell>
          <cell r="J234">
            <v>0</v>
          </cell>
          <cell r="L234">
            <v>0</v>
          </cell>
          <cell r="M234">
            <v>0</v>
          </cell>
          <cell r="N234">
            <v>0</v>
          </cell>
          <cell r="O234" t="str">
            <v/>
          </cell>
          <cell r="S234" t="str">
            <v/>
          </cell>
          <cell r="T234" t="str">
            <v/>
          </cell>
        </row>
        <row r="235">
          <cell r="A235" t="str">
            <v/>
          </cell>
          <cell r="B235">
            <v>1231</v>
          </cell>
          <cell r="D235" t="str">
            <v/>
          </cell>
          <cell r="F235" t="str">
            <v/>
          </cell>
          <cell r="J235">
            <v>0</v>
          </cell>
          <cell r="L235">
            <v>0</v>
          </cell>
          <cell r="M235">
            <v>0</v>
          </cell>
          <cell r="N235">
            <v>0</v>
          </cell>
          <cell r="O235" t="str">
            <v/>
          </cell>
          <cell r="S235" t="str">
            <v/>
          </cell>
          <cell r="T235" t="str">
            <v/>
          </cell>
        </row>
        <row r="236">
          <cell r="A236" t="str">
            <v/>
          </cell>
          <cell r="B236">
            <v>1232</v>
          </cell>
          <cell r="D236" t="str">
            <v/>
          </cell>
          <cell r="F236" t="str">
            <v/>
          </cell>
          <cell r="J236">
            <v>0</v>
          </cell>
          <cell r="L236">
            <v>0</v>
          </cell>
          <cell r="M236">
            <v>0</v>
          </cell>
          <cell r="N236">
            <v>0</v>
          </cell>
          <cell r="O236" t="str">
            <v/>
          </cell>
          <cell r="S236" t="str">
            <v/>
          </cell>
          <cell r="T236" t="str">
            <v/>
          </cell>
        </row>
        <row r="237">
          <cell r="A237" t="str">
            <v/>
          </cell>
          <cell r="B237">
            <v>1233</v>
          </cell>
          <cell r="D237" t="str">
            <v/>
          </cell>
          <cell r="F237" t="str">
            <v/>
          </cell>
          <cell r="J237">
            <v>0</v>
          </cell>
          <cell r="L237">
            <v>0</v>
          </cell>
          <cell r="M237">
            <v>0</v>
          </cell>
          <cell r="N237">
            <v>0</v>
          </cell>
          <cell r="O237" t="str">
            <v/>
          </cell>
          <cell r="S237" t="str">
            <v/>
          </cell>
          <cell r="T237" t="str">
            <v/>
          </cell>
        </row>
        <row r="238">
          <cell r="A238" t="str">
            <v/>
          </cell>
          <cell r="B238">
            <v>1234</v>
          </cell>
          <cell r="D238" t="str">
            <v/>
          </cell>
          <cell r="F238" t="str">
            <v/>
          </cell>
          <cell r="J238">
            <v>0</v>
          </cell>
          <cell r="L238">
            <v>0</v>
          </cell>
          <cell r="M238">
            <v>0</v>
          </cell>
          <cell r="N238">
            <v>0</v>
          </cell>
          <cell r="O238" t="str">
            <v/>
          </cell>
          <cell r="S238" t="str">
            <v/>
          </cell>
          <cell r="T238" t="str">
            <v/>
          </cell>
        </row>
        <row r="239">
          <cell r="A239" t="str">
            <v/>
          </cell>
          <cell r="B239">
            <v>1235</v>
          </cell>
          <cell r="D239" t="str">
            <v/>
          </cell>
          <cell r="F239" t="str">
            <v/>
          </cell>
          <cell r="J239">
            <v>0</v>
          </cell>
          <cell r="L239">
            <v>0</v>
          </cell>
          <cell r="M239">
            <v>0</v>
          </cell>
          <cell r="N239">
            <v>0</v>
          </cell>
          <cell r="O239" t="str">
            <v/>
          </cell>
          <cell r="S239" t="str">
            <v/>
          </cell>
          <cell r="T239" t="str">
            <v/>
          </cell>
        </row>
        <row r="240">
          <cell r="A240" t="str">
            <v/>
          </cell>
          <cell r="B240">
            <v>1236</v>
          </cell>
          <cell r="D240" t="str">
            <v/>
          </cell>
          <cell r="F240" t="str">
            <v/>
          </cell>
          <cell r="J240">
            <v>0</v>
          </cell>
          <cell r="L240">
            <v>0</v>
          </cell>
          <cell r="M240">
            <v>0</v>
          </cell>
          <cell r="N240">
            <v>0</v>
          </cell>
          <cell r="O240" t="str">
            <v/>
          </cell>
          <cell r="S240" t="str">
            <v/>
          </cell>
          <cell r="T240" t="str">
            <v/>
          </cell>
        </row>
        <row r="241">
          <cell r="A241" t="str">
            <v/>
          </cell>
          <cell r="B241">
            <v>1237</v>
          </cell>
          <cell r="D241" t="str">
            <v/>
          </cell>
          <cell r="F241" t="str">
            <v/>
          </cell>
          <cell r="J241">
            <v>0</v>
          </cell>
          <cell r="L241">
            <v>0</v>
          </cell>
          <cell r="M241">
            <v>0</v>
          </cell>
          <cell r="N241">
            <v>0</v>
          </cell>
          <cell r="O241" t="str">
            <v/>
          </cell>
          <cell r="S241" t="str">
            <v/>
          </cell>
          <cell r="T241" t="str">
            <v/>
          </cell>
        </row>
        <row r="242">
          <cell r="A242" t="str">
            <v/>
          </cell>
          <cell r="B242">
            <v>1238</v>
          </cell>
          <cell r="D242" t="str">
            <v/>
          </cell>
          <cell r="F242" t="str">
            <v/>
          </cell>
          <cell r="J242">
            <v>0</v>
          </cell>
          <cell r="L242">
            <v>0</v>
          </cell>
          <cell r="M242">
            <v>0</v>
          </cell>
          <cell r="N242">
            <v>0</v>
          </cell>
          <cell r="O242" t="str">
            <v/>
          </cell>
          <cell r="S242" t="str">
            <v/>
          </cell>
          <cell r="T242" t="str">
            <v/>
          </cell>
        </row>
        <row r="243">
          <cell r="A243" t="str">
            <v/>
          </cell>
          <cell r="B243">
            <v>1239</v>
          </cell>
          <cell r="D243" t="str">
            <v/>
          </cell>
          <cell r="F243" t="str">
            <v/>
          </cell>
          <cell r="J243">
            <v>0</v>
          </cell>
          <cell r="L243">
            <v>0</v>
          </cell>
          <cell r="M243">
            <v>0</v>
          </cell>
          <cell r="N243">
            <v>0</v>
          </cell>
          <cell r="O243" t="str">
            <v/>
          </cell>
          <cell r="S243" t="str">
            <v/>
          </cell>
          <cell r="T243" t="str">
            <v/>
          </cell>
        </row>
        <row r="244">
          <cell r="A244" t="str">
            <v/>
          </cell>
          <cell r="B244">
            <v>1240</v>
          </cell>
          <cell r="D244" t="str">
            <v/>
          </cell>
          <cell r="F244" t="str">
            <v/>
          </cell>
          <cell r="J244">
            <v>0</v>
          </cell>
          <cell r="L244">
            <v>0</v>
          </cell>
          <cell r="M244">
            <v>0</v>
          </cell>
          <cell r="N244">
            <v>0</v>
          </cell>
          <cell r="O244" t="str">
            <v/>
          </cell>
          <cell r="S244" t="str">
            <v/>
          </cell>
          <cell r="T244" t="str">
            <v/>
          </cell>
        </row>
        <row r="245">
          <cell r="A245" t="str">
            <v/>
          </cell>
          <cell r="B245">
            <v>1241</v>
          </cell>
          <cell r="D245" t="str">
            <v/>
          </cell>
          <cell r="F245" t="str">
            <v/>
          </cell>
          <cell r="J245">
            <v>0</v>
          </cell>
          <cell r="L245">
            <v>0</v>
          </cell>
          <cell r="M245">
            <v>0</v>
          </cell>
          <cell r="N245">
            <v>0</v>
          </cell>
          <cell r="O245" t="str">
            <v/>
          </cell>
          <cell r="S245" t="str">
            <v/>
          </cell>
          <cell r="T245" t="str">
            <v/>
          </cell>
        </row>
        <row r="246">
          <cell r="A246" t="str">
            <v/>
          </cell>
          <cell r="B246">
            <v>1242</v>
          </cell>
          <cell r="D246" t="str">
            <v/>
          </cell>
          <cell r="F246" t="str">
            <v/>
          </cell>
          <cell r="J246">
            <v>0</v>
          </cell>
          <cell r="L246">
            <v>0</v>
          </cell>
          <cell r="M246">
            <v>0</v>
          </cell>
          <cell r="N246">
            <v>0</v>
          </cell>
          <cell r="O246" t="str">
            <v/>
          </cell>
          <cell r="S246" t="str">
            <v/>
          </cell>
          <cell r="T246" t="str">
            <v/>
          </cell>
        </row>
        <row r="247">
          <cell r="A247" t="str">
            <v/>
          </cell>
          <cell r="B247">
            <v>1243</v>
          </cell>
          <cell r="D247" t="str">
            <v/>
          </cell>
          <cell r="F247" t="str">
            <v/>
          </cell>
          <cell r="J247">
            <v>0</v>
          </cell>
          <cell r="L247">
            <v>0</v>
          </cell>
          <cell r="M247">
            <v>0</v>
          </cell>
          <cell r="N247">
            <v>0</v>
          </cell>
          <cell r="O247" t="str">
            <v/>
          </cell>
          <cell r="S247" t="str">
            <v/>
          </cell>
          <cell r="T247" t="str">
            <v/>
          </cell>
        </row>
        <row r="248">
          <cell r="A248" t="str">
            <v/>
          </cell>
          <cell r="B248">
            <v>1244</v>
          </cell>
          <cell r="D248" t="str">
            <v/>
          </cell>
          <cell r="F248" t="str">
            <v/>
          </cell>
          <cell r="J248">
            <v>0</v>
          </cell>
          <cell r="L248">
            <v>0</v>
          </cell>
          <cell r="M248">
            <v>0</v>
          </cell>
          <cell r="N248">
            <v>0</v>
          </cell>
          <cell r="O248" t="str">
            <v/>
          </cell>
          <cell r="S248" t="str">
            <v/>
          </cell>
          <cell r="T248" t="str">
            <v/>
          </cell>
        </row>
        <row r="249">
          <cell r="A249" t="str">
            <v/>
          </cell>
          <cell r="B249">
            <v>1245</v>
          </cell>
          <cell r="D249" t="str">
            <v/>
          </cell>
          <cell r="F249" t="str">
            <v/>
          </cell>
          <cell r="J249">
            <v>0</v>
          </cell>
          <cell r="L249">
            <v>0</v>
          </cell>
          <cell r="M249">
            <v>0</v>
          </cell>
          <cell r="N249">
            <v>0</v>
          </cell>
          <cell r="O249" t="str">
            <v/>
          </cell>
          <cell r="S249" t="str">
            <v/>
          </cell>
          <cell r="T249" t="str">
            <v/>
          </cell>
        </row>
        <row r="250">
          <cell r="A250" t="str">
            <v/>
          </cell>
          <cell r="B250">
            <v>1246</v>
          </cell>
          <cell r="D250" t="str">
            <v/>
          </cell>
          <cell r="F250" t="str">
            <v/>
          </cell>
          <cell r="J250">
            <v>0</v>
          </cell>
          <cell r="L250">
            <v>0</v>
          </cell>
          <cell r="M250">
            <v>0</v>
          </cell>
          <cell r="N250">
            <v>0</v>
          </cell>
          <cell r="O250" t="str">
            <v/>
          </cell>
          <cell r="S250" t="str">
            <v/>
          </cell>
          <cell r="T250" t="str">
            <v/>
          </cell>
        </row>
        <row r="251">
          <cell r="A251" t="str">
            <v/>
          </cell>
          <cell r="B251">
            <v>1247</v>
          </cell>
          <cell r="D251" t="str">
            <v/>
          </cell>
          <cell r="F251" t="str">
            <v/>
          </cell>
          <cell r="J251">
            <v>0</v>
          </cell>
          <cell r="L251">
            <v>0</v>
          </cell>
          <cell r="M251">
            <v>0</v>
          </cell>
          <cell r="N251">
            <v>0</v>
          </cell>
          <cell r="O251" t="str">
            <v/>
          </cell>
          <cell r="S251" t="str">
            <v/>
          </cell>
          <cell r="T251" t="str">
            <v/>
          </cell>
        </row>
        <row r="252">
          <cell r="A252" t="str">
            <v/>
          </cell>
          <cell r="B252">
            <v>1248</v>
          </cell>
          <cell r="D252" t="str">
            <v/>
          </cell>
          <cell r="F252" t="str">
            <v/>
          </cell>
          <cell r="J252">
            <v>0</v>
          </cell>
          <cell r="L252">
            <v>0</v>
          </cell>
          <cell r="M252">
            <v>0</v>
          </cell>
          <cell r="N252">
            <v>0</v>
          </cell>
          <cell r="O252" t="str">
            <v/>
          </cell>
          <cell r="S252" t="str">
            <v/>
          </cell>
          <cell r="T252" t="str">
            <v/>
          </cell>
        </row>
        <row r="253">
          <cell r="A253" t="str">
            <v/>
          </cell>
          <cell r="B253">
            <v>1249</v>
          </cell>
          <cell r="D253" t="str">
            <v/>
          </cell>
          <cell r="F253" t="str">
            <v/>
          </cell>
          <cell r="J253">
            <v>0</v>
          </cell>
          <cell r="L253">
            <v>0</v>
          </cell>
          <cell r="M253">
            <v>0</v>
          </cell>
          <cell r="N253">
            <v>0</v>
          </cell>
          <cell r="O253" t="str">
            <v/>
          </cell>
          <cell r="S253" t="str">
            <v/>
          </cell>
          <cell r="T253" t="str">
            <v/>
          </cell>
        </row>
        <row r="254">
          <cell r="A254" t="str">
            <v/>
          </cell>
          <cell r="B254">
            <v>1250</v>
          </cell>
          <cell r="D254" t="str">
            <v/>
          </cell>
          <cell r="F254" t="str">
            <v/>
          </cell>
          <cell r="J254">
            <v>0</v>
          </cell>
          <cell r="L254">
            <v>0</v>
          </cell>
          <cell r="M254">
            <v>0</v>
          </cell>
          <cell r="N254">
            <v>0</v>
          </cell>
          <cell r="O254" t="str">
            <v/>
          </cell>
          <cell r="S254" t="str">
            <v/>
          </cell>
          <cell r="T254" t="str">
            <v/>
          </cell>
        </row>
        <row r="255">
          <cell r="A255" t="str">
            <v/>
          </cell>
          <cell r="B255">
            <v>1251</v>
          </cell>
          <cell r="D255" t="str">
            <v/>
          </cell>
          <cell r="F255" t="str">
            <v/>
          </cell>
          <cell r="J255">
            <v>0</v>
          </cell>
          <cell r="L255">
            <v>0</v>
          </cell>
          <cell r="M255">
            <v>0</v>
          </cell>
          <cell r="N255">
            <v>0</v>
          </cell>
          <cell r="O255" t="str">
            <v/>
          </cell>
          <cell r="S255" t="str">
            <v/>
          </cell>
          <cell r="T255" t="str">
            <v/>
          </cell>
        </row>
        <row r="256">
          <cell r="A256" t="str">
            <v/>
          </cell>
          <cell r="B256">
            <v>1252</v>
          </cell>
          <cell r="D256" t="str">
            <v/>
          </cell>
          <cell r="F256" t="str">
            <v/>
          </cell>
          <cell r="J256">
            <v>0</v>
          </cell>
          <cell r="L256">
            <v>0</v>
          </cell>
          <cell r="M256">
            <v>0</v>
          </cell>
          <cell r="N256">
            <v>0</v>
          </cell>
          <cell r="O256" t="str">
            <v/>
          </cell>
          <cell r="S256" t="str">
            <v/>
          </cell>
          <cell r="T256" t="str">
            <v/>
          </cell>
        </row>
        <row r="257">
          <cell r="A257" t="str">
            <v/>
          </cell>
          <cell r="B257">
            <v>1253</v>
          </cell>
          <cell r="D257" t="str">
            <v/>
          </cell>
          <cell r="F257" t="str">
            <v/>
          </cell>
          <cell r="J257">
            <v>0</v>
          </cell>
          <cell r="L257">
            <v>0</v>
          </cell>
          <cell r="M257">
            <v>0</v>
          </cell>
          <cell r="N257">
            <v>0</v>
          </cell>
          <cell r="O257" t="str">
            <v/>
          </cell>
          <cell r="S257" t="str">
            <v/>
          </cell>
          <cell r="T257" t="str">
            <v/>
          </cell>
        </row>
        <row r="258">
          <cell r="A258" t="str">
            <v/>
          </cell>
          <cell r="B258">
            <v>1254</v>
          </cell>
          <cell r="D258" t="str">
            <v/>
          </cell>
          <cell r="F258" t="str">
            <v/>
          </cell>
          <cell r="J258">
            <v>0</v>
          </cell>
          <cell r="L258">
            <v>0</v>
          </cell>
          <cell r="M258">
            <v>0</v>
          </cell>
          <cell r="N258">
            <v>0</v>
          </cell>
          <cell r="O258" t="str">
            <v/>
          </cell>
          <cell r="S258" t="str">
            <v/>
          </cell>
          <cell r="T258" t="str">
            <v/>
          </cell>
        </row>
        <row r="259">
          <cell r="A259" t="str">
            <v/>
          </cell>
          <cell r="B259">
            <v>1255</v>
          </cell>
          <cell r="D259" t="str">
            <v/>
          </cell>
          <cell r="F259" t="str">
            <v/>
          </cell>
          <cell r="J259">
            <v>0</v>
          </cell>
          <cell r="L259">
            <v>0</v>
          </cell>
          <cell r="M259">
            <v>0</v>
          </cell>
          <cell r="N259">
            <v>0</v>
          </cell>
          <cell r="O259" t="str">
            <v/>
          </cell>
          <cell r="S259" t="str">
            <v/>
          </cell>
          <cell r="T259" t="str">
            <v/>
          </cell>
        </row>
        <row r="260">
          <cell r="A260" t="str">
            <v/>
          </cell>
          <cell r="B260">
            <v>1256</v>
          </cell>
          <cell r="D260" t="str">
            <v/>
          </cell>
          <cell r="F260" t="str">
            <v/>
          </cell>
          <cell r="J260">
            <v>0</v>
          </cell>
          <cell r="L260">
            <v>0</v>
          </cell>
          <cell r="M260">
            <v>0</v>
          </cell>
          <cell r="N260">
            <v>0</v>
          </cell>
          <cell r="O260" t="str">
            <v/>
          </cell>
          <cell r="S260" t="str">
            <v/>
          </cell>
          <cell r="T260" t="str">
            <v/>
          </cell>
        </row>
        <row r="261">
          <cell r="A261" t="str">
            <v/>
          </cell>
          <cell r="B261">
            <v>1257</v>
          </cell>
          <cell r="D261" t="str">
            <v/>
          </cell>
          <cell r="F261" t="str">
            <v/>
          </cell>
          <cell r="J261">
            <v>0</v>
          </cell>
          <cell r="L261">
            <v>0</v>
          </cell>
          <cell r="M261">
            <v>0</v>
          </cell>
          <cell r="N261">
            <v>0</v>
          </cell>
          <cell r="O261" t="str">
            <v/>
          </cell>
          <cell r="S261" t="str">
            <v/>
          </cell>
          <cell r="T261" t="str">
            <v/>
          </cell>
        </row>
        <row r="262">
          <cell r="A262" t="str">
            <v/>
          </cell>
          <cell r="B262">
            <v>1258</v>
          </cell>
          <cell r="D262" t="str">
            <v/>
          </cell>
          <cell r="F262" t="str">
            <v/>
          </cell>
          <cell r="J262">
            <v>0</v>
          </cell>
          <cell r="L262">
            <v>0</v>
          </cell>
          <cell r="M262">
            <v>0</v>
          </cell>
          <cell r="N262">
            <v>0</v>
          </cell>
          <cell r="O262" t="str">
            <v/>
          </cell>
          <cell r="S262" t="str">
            <v/>
          </cell>
          <cell r="T262" t="str">
            <v/>
          </cell>
        </row>
        <row r="263">
          <cell r="A263" t="str">
            <v/>
          </cell>
          <cell r="B263">
            <v>1259</v>
          </cell>
          <cell r="D263" t="str">
            <v/>
          </cell>
          <cell r="F263" t="str">
            <v/>
          </cell>
          <cell r="J263">
            <v>0</v>
          </cell>
          <cell r="L263">
            <v>0</v>
          </cell>
          <cell r="M263">
            <v>0</v>
          </cell>
          <cell r="N263">
            <v>0</v>
          </cell>
          <cell r="O263" t="str">
            <v/>
          </cell>
          <cell r="S263" t="str">
            <v/>
          </cell>
          <cell r="T263" t="str">
            <v/>
          </cell>
        </row>
        <row r="264">
          <cell r="A264" t="str">
            <v/>
          </cell>
          <cell r="B264">
            <v>1260</v>
          </cell>
          <cell r="D264" t="str">
            <v/>
          </cell>
          <cell r="F264" t="str">
            <v/>
          </cell>
          <cell r="J264">
            <v>0</v>
          </cell>
          <cell r="L264">
            <v>0</v>
          </cell>
          <cell r="M264">
            <v>0</v>
          </cell>
          <cell r="N264">
            <v>0</v>
          </cell>
          <cell r="O264" t="str">
            <v/>
          </cell>
          <cell r="S264" t="str">
            <v/>
          </cell>
          <cell r="T264" t="str">
            <v/>
          </cell>
        </row>
        <row r="265">
          <cell r="A265" t="str">
            <v/>
          </cell>
          <cell r="B265">
            <v>1261</v>
          </cell>
          <cell r="D265" t="str">
            <v/>
          </cell>
          <cell r="F265" t="str">
            <v/>
          </cell>
          <cell r="J265">
            <v>0</v>
          </cell>
          <cell r="L265">
            <v>0</v>
          </cell>
          <cell r="M265">
            <v>0</v>
          </cell>
          <cell r="N265">
            <v>0</v>
          </cell>
          <cell r="O265" t="str">
            <v/>
          </cell>
          <cell r="S265" t="str">
            <v/>
          </cell>
          <cell r="T265" t="str">
            <v/>
          </cell>
        </row>
        <row r="266">
          <cell r="A266" t="str">
            <v/>
          </cell>
          <cell r="B266">
            <v>1262</v>
          </cell>
          <cell r="D266" t="str">
            <v/>
          </cell>
          <cell r="F266" t="str">
            <v/>
          </cell>
          <cell r="J266">
            <v>0</v>
          </cell>
          <cell r="L266">
            <v>0</v>
          </cell>
          <cell r="M266">
            <v>0</v>
          </cell>
          <cell r="N266">
            <v>0</v>
          </cell>
          <cell r="O266" t="str">
            <v/>
          </cell>
          <cell r="S266" t="str">
            <v/>
          </cell>
          <cell r="T266" t="str">
            <v/>
          </cell>
        </row>
        <row r="267">
          <cell r="A267" t="str">
            <v/>
          </cell>
          <cell r="B267">
            <v>1263</v>
          </cell>
          <cell r="D267" t="str">
            <v/>
          </cell>
          <cell r="F267" t="str">
            <v/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  <cell r="O267" t="str">
            <v/>
          </cell>
          <cell r="S267" t="str">
            <v/>
          </cell>
          <cell r="T267" t="str">
            <v/>
          </cell>
        </row>
        <row r="268">
          <cell r="A268" t="str">
            <v/>
          </cell>
          <cell r="B268">
            <v>1264</v>
          </cell>
          <cell r="D268" t="str">
            <v/>
          </cell>
          <cell r="F268" t="str">
            <v/>
          </cell>
          <cell r="J268">
            <v>0</v>
          </cell>
          <cell r="L268">
            <v>0</v>
          </cell>
          <cell r="M268">
            <v>0</v>
          </cell>
          <cell r="N268">
            <v>0</v>
          </cell>
          <cell r="O268" t="str">
            <v/>
          </cell>
          <cell r="S268" t="str">
            <v/>
          </cell>
          <cell r="T268" t="str">
            <v/>
          </cell>
        </row>
        <row r="269">
          <cell r="A269" t="str">
            <v/>
          </cell>
          <cell r="B269">
            <v>1265</v>
          </cell>
          <cell r="D269" t="str">
            <v/>
          </cell>
          <cell r="F269" t="str">
            <v/>
          </cell>
          <cell r="J269">
            <v>0</v>
          </cell>
          <cell r="L269">
            <v>0</v>
          </cell>
          <cell r="M269">
            <v>0</v>
          </cell>
          <cell r="N269">
            <v>0</v>
          </cell>
          <cell r="O269" t="str">
            <v/>
          </cell>
          <cell r="S269" t="str">
            <v/>
          </cell>
          <cell r="T269" t="str">
            <v/>
          </cell>
        </row>
        <row r="270">
          <cell r="A270" t="str">
            <v/>
          </cell>
          <cell r="B270">
            <v>1266</v>
          </cell>
          <cell r="D270" t="str">
            <v/>
          </cell>
          <cell r="F270" t="str">
            <v/>
          </cell>
          <cell r="J270">
            <v>0</v>
          </cell>
          <cell r="L270">
            <v>0</v>
          </cell>
          <cell r="M270">
            <v>0</v>
          </cell>
          <cell r="N270">
            <v>0</v>
          </cell>
          <cell r="O270" t="str">
            <v/>
          </cell>
          <cell r="S270" t="str">
            <v/>
          </cell>
          <cell r="T270" t="str">
            <v/>
          </cell>
        </row>
        <row r="271">
          <cell r="A271" t="str">
            <v/>
          </cell>
          <cell r="B271">
            <v>1267</v>
          </cell>
          <cell r="D271" t="str">
            <v/>
          </cell>
          <cell r="F271" t="str">
            <v/>
          </cell>
          <cell r="J271">
            <v>0</v>
          </cell>
          <cell r="L271">
            <v>0</v>
          </cell>
          <cell r="M271">
            <v>0</v>
          </cell>
          <cell r="N271">
            <v>0</v>
          </cell>
          <cell r="O271" t="str">
            <v/>
          </cell>
          <cell r="S271" t="str">
            <v/>
          </cell>
          <cell r="T271" t="str">
            <v/>
          </cell>
        </row>
        <row r="272">
          <cell r="A272" t="str">
            <v/>
          </cell>
          <cell r="B272">
            <v>1268</v>
          </cell>
          <cell r="D272" t="str">
            <v/>
          </cell>
          <cell r="F272" t="str">
            <v/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  <cell r="O272" t="str">
            <v/>
          </cell>
          <cell r="S272" t="str">
            <v/>
          </cell>
          <cell r="T272" t="str">
            <v/>
          </cell>
        </row>
        <row r="273">
          <cell r="A273" t="str">
            <v/>
          </cell>
          <cell r="B273">
            <v>1269</v>
          </cell>
          <cell r="D273" t="str">
            <v/>
          </cell>
          <cell r="F273" t="str">
            <v/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  <cell r="O273" t="str">
            <v/>
          </cell>
          <cell r="S273" t="str">
            <v/>
          </cell>
          <cell r="T273" t="str">
            <v/>
          </cell>
        </row>
        <row r="274">
          <cell r="A274" t="str">
            <v/>
          </cell>
          <cell r="B274">
            <v>1270</v>
          </cell>
          <cell r="D274" t="str">
            <v/>
          </cell>
          <cell r="F274" t="str">
            <v/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  <cell r="O274" t="str">
            <v/>
          </cell>
          <cell r="S274" t="str">
            <v/>
          </cell>
          <cell r="T274" t="str">
            <v/>
          </cell>
        </row>
        <row r="275">
          <cell r="A275" t="str">
            <v/>
          </cell>
          <cell r="B275">
            <v>1271</v>
          </cell>
          <cell r="D275" t="str">
            <v/>
          </cell>
          <cell r="F275" t="str">
            <v/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O275" t="str">
            <v/>
          </cell>
          <cell r="S275" t="str">
            <v/>
          </cell>
          <cell r="T275" t="str">
            <v/>
          </cell>
        </row>
        <row r="276">
          <cell r="A276" t="str">
            <v/>
          </cell>
          <cell r="B276">
            <v>1272</v>
          </cell>
          <cell r="D276" t="str">
            <v/>
          </cell>
          <cell r="F276" t="str">
            <v/>
          </cell>
          <cell r="J276">
            <v>0</v>
          </cell>
          <cell r="L276">
            <v>0</v>
          </cell>
          <cell r="M276">
            <v>0</v>
          </cell>
          <cell r="N276">
            <v>0</v>
          </cell>
          <cell r="O276" t="str">
            <v/>
          </cell>
          <cell r="S276" t="str">
            <v/>
          </cell>
          <cell r="T276" t="str">
            <v/>
          </cell>
        </row>
        <row r="277">
          <cell r="A277" t="str">
            <v/>
          </cell>
          <cell r="B277">
            <v>1273</v>
          </cell>
          <cell r="D277" t="str">
            <v/>
          </cell>
          <cell r="F277" t="str">
            <v/>
          </cell>
          <cell r="J277">
            <v>0</v>
          </cell>
          <cell r="L277">
            <v>0</v>
          </cell>
          <cell r="M277">
            <v>0</v>
          </cell>
          <cell r="N277">
            <v>0</v>
          </cell>
          <cell r="O277" t="str">
            <v/>
          </cell>
          <cell r="S277" t="str">
            <v/>
          </cell>
          <cell r="T277" t="str">
            <v/>
          </cell>
        </row>
        <row r="278">
          <cell r="A278" t="str">
            <v/>
          </cell>
          <cell r="B278">
            <v>1274</v>
          </cell>
          <cell r="D278" t="str">
            <v/>
          </cell>
          <cell r="F278" t="str">
            <v/>
          </cell>
          <cell r="J278">
            <v>0</v>
          </cell>
          <cell r="L278">
            <v>0</v>
          </cell>
          <cell r="M278">
            <v>0</v>
          </cell>
          <cell r="N278">
            <v>0</v>
          </cell>
          <cell r="O278" t="str">
            <v/>
          </cell>
          <cell r="S278" t="str">
            <v/>
          </cell>
          <cell r="T278" t="str">
            <v/>
          </cell>
        </row>
        <row r="279">
          <cell r="A279" t="str">
            <v/>
          </cell>
          <cell r="B279">
            <v>1275</v>
          </cell>
          <cell r="D279" t="str">
            <v/>
          </cell>
          <cell r="F279" t="str">
            <v/>
          </cell>
          <cell r="J279">
            <v>0</v>
          </cell>
          <cell r="L279">
            <v>0</v>
          </cell>
          <cell r="M279">
            <v>0</v>
          </cell>
          <cell r="N279">
            <v>0</v>
          </cell>
          <cell r="O279" t="str">
            <v/>
          </cell>
          <cell r="S279" t="str">
            <v/>
          </cell>
          <cell r="T279" t="str">
            <v/>
          </cell>
        </row>
        <row r="280">
          <cell r="A280" t="str">
            <v/>
          </cell>
          <cell r="B280">
            <v>1276</v>
          </cell>
          <cell r="D280" t="str">
            <v/>
          </cell>
          <cell r="F280" t="str">
            <v/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O280" t="str">
            <v/>
          </cell>
          <cell r="S280" t="str">
            <v/>
          </cell>
          <cell r="T280" t="str">
            <v/>
          </cell>
        </row>
        <row r="281">
          <cell r="A281" t="str">
            <v/>
          </cell>
          <cell r="B281">
            <v>1277</v>
          </cell>
          <cell r="D281" t="str">
            <v/>
          </cell>
          <cell r="F281" t="str">
            <v/>
          </cell>
          <cell r="J281">
            <v>0</v>
          </cell>
          <cell r="L281">
            <v>0</v>
          </cell>
          <cell r="M281">
            <v>0</v>
          </cell>
          <cell r="N281">
            <v>0</v>
          </cell>
          <cell r="O281" t="str">
            <v/>
          </cell>
          <cell r="S281" t="str">
            <v/>
          </cell>
          <cell r="T281" t="str">
            <v/>
          </cell>
        </row>
        <row r="282">
          <cell r="A282" t="str">
            <v/>
          </cell>
          <cell r="B282">
            <v>1278</v>
          </cell>
          <cell r="D282" t="str">
            <v/>
          </cell>
          <cell r="F282" t="str">
            <v/>
          </cell>
          <cell r="J282">
            <v>0</v>
          </cell>
          <cell r="L282">
            <v>0</v>
          </cell>
          <cell r="M282">
            <v>0</v>
          </cell>
          <cell r="N282">
            <v>0</v>
          </cell>
          <cell r="O282" t="str">
            <v/>
          </cell>
          <cell r="S282" t="str">
            <v/>
          </cell>
          <cell r="T282" t="str">
            <v/>
          </cell>
        </row>
        <row r="283">
          <cell r="A283" t="str">
            <v/>
          </cell>
          <cell r="B283">
            <v>1279</v>
          </cell>
          <cell r="D283" t="str">
            <v/>
          </cell>
          <cell r="F283" t="str">
            <v/>
          </cell>
          <cell r="J283">
            <v>0</v>
          </cell>
          <cell r="L283">
            <v>0</v>
          </cell>
          <cell r="M283">
            <v>0</v>
          </cell>
          <cell r="N283">
            <v>0</v>
          </cell>
          <cell r="O283" t="str">
            <v/>
          </cell>
          <cell r="S283" t="str">
            <v/>
          </cell>
          <cell r="T283" t="str">
            <v/>
          </cell>
        </row>
        <row r="284">
          <cell r="A284" t="str">
            <v/>
          </cell>
          <cell r="B284">
            <v>1280</v>
          </cell>
          <cell r="D284" t="str">
            <v/>
          </cell>
          <cell r="F284" t="str">
            <v/>
          </cell>
          <cell r="J284">
            <v>0</v>
          </cell>
          <cell r="L284">
            <v>0</v>
          </cell>
          <cell r="M284">
            <v>0</v>
          </cell>
          <cell r="N284">
            <v>0</v>
          </cell>
          <cell r="O284" t="str">
            <v/>
          </cell>
          <cell r="S284" t="str">
            <v/>
          </cell>
          <cell r="T284" t="str">
            <v/>
          </cell>
        </row>
        <row r="285">
          <cell r="A285" t="str">
            <v/>
          </cell>
          <cell r="B285">
            <v>1281</v>
          </cell>
          <cell r="D285" t="str">
            <v/>
          </cell>
          <cell r="F285" t="str">
            <v/>
          </cell>
          <cell r="J285">
            <v>0</v>
          </cell>
          <cell r="L285">
            <v>0</v>
          </cell>
          <cell r="M285">
            <v>0</v>
          </cell>
          <cell r="N285">
            <v>0</v>
          </cell>
          <cell r="O285" t="str">
            <v/>
          </cell>
          <cell r="S285" t="str">
            <v/>
          </cell>
          <cell r="T285" t="str">
            <v/>
          </cell>
        </row>
        <row r="286">
          <cell r="A286" t="str">
            <v/>
          </cell>
          <cell r="B286">
            <v>1282</v>
          </cell>
          <cell r="D286" t="str">
            <v/>
          </cell>
          <cell r="F286" t="str">
            <v/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  <cell r="O286" t="str">
            <v/>
          </cell>
          <cell r="S286" t="str">
            <v/>
          </cell>
          <cell r="T286" t="str">
            <v/>
          </cell>
        </row>
        <row r="287">
          <cell r="A287" t="str">
            <v/>
          </cell>
          <cell r="B287">
            <v>1283</v>
          </cell>
          <cell r="D287" t="str">
            <v/>
          </cell>
          <cell r="F287" t="str">
            <v/>
          </cell>
          <cell r="J287">
            <v>0</v>
          </cell>
          <cell r="L287">
            <v>0</v>
          </cell>
          <cell r="M287">
            <v>0</v>
          </cell>
          <cell r="N287">
            <v>0</v>
          </cell>
          <cell r="O287" t="str">
            <v/>
          </cell>
          <cell r="S287" t="str">
            <v/>
          </cell>
          <cell r="T287" t="str">
            <v/>
          </cell>
        </row>
        <row r="288">
          <cell r="A288" t="str">
            <v/>
          </cell>
          <cell r="B288">
            <v>1284</v>
          </cell>
          <cell r="D288" t="str">
            <v/>
          </cell>
          <cell r="F288" t="str">
            <v/>
          </cell>
          <cell r="J288">
            <v>0</v>
          </cell>
          <cell r="L288">
            <v>0</v>
          </cell>
          <cell r="M288">
            <v>0</v>
          </cell>
          <cell r="N288">
            <v>0</v>
          </cell>
          <cell r="O288" t="str">
            <v/>
          </cell>
          <cell r="S288" t="str">
            <v/>
          </cell>
          <cell r="T288" t="str">
            <v/>
          </cell>
        </row>
        <row r="289">
          <cell r="A289" t="str">
            <v/>
          </cell>
          <cell r="B289">
            <v>1285</v>
          </cell>
          <cell r="D289" t="str">
            <v/>
          </cell>
          <cell r="F289" t="str">
            <v/>
          </cell>
          <cell r="J289">
            <v>0</v>
          </cell>
          <cell r="L289">
            <v>0</v>
          </cell>
          <cell r="M289">
            <v>0</v>
          </cell>
          <cell r="N289">
            <v>0</v>
          </cell>
          <cell r="O289" t="str">
            <v/>
          </cell>
          <cell r="S289" t="str">
            <v/>
          </cell>
          <cell r="T289" t="str">
            <v/>
          </cell>
        </row>
        <row r="290">
          <cell r="A290" t="str">
            <v/>
          </cell>
          <cell r="B290">
            <v>1286</v>
          </cell>
          <cell r="D290" t="str">
            <v/>
          </cell>
          <cell r="F290" t="str">
            <v/>
          </cell>
          <cell r="J290">
            <v>0</v>
          </cell>
          <cell r="L290">
            <v>0</v>
          </cell>
          <cell r="M290">
            <v>0</v>
          </cell>
          <cell r="N290">
            <v>0</v>
          </cell>
          <cell r="O290" t="str">
            <v/>
          </cell>
          <cell r="S290" t="str">
            <v/>
          </cell>
          <cell r="T290" t="str">
            <v/>
          </cell>
        </row>
        <row r="291">
          <cell r="A291" t="str">
            <v/>
          </cell>
          <cell r="B291">
            <v>1287</v>
          </cell>
          <cell r="D291" t="str">
            <v/>
          </cell>
          <cell r="F291" t="str">
            <v/>
          </cell>
          <cell r="J291">
            <v>0</v>
          </cell>
          <cell r="L291">
            <v>0</v>
          </cell>
          <cell r="M291">
            <v>0</v>
          </cell>
          <cell r="N291">
            <v>0</v>
          </cell>
          <cell r="O291" t="str">
            <v/>
          </cell>
          <cell r="S291" t="str">
            <v/>
          </cell>
          <cell r="T291" t="str">
            <v/>
          </cell>
        </row>
        <row r="292">
          <cell r="A292" t="str">
            <v/>
          </cell>
          <cell r="B292">
            <v>1288</v>
          </cell>
          <cell r="D292" t="str">
            <v/>
          </cell>
          <cell r="F292" t="str">
            <v/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  <cell r="O292" t="str">
            <v/>
          </cell>
          <cell r="S292" t="str">
            <v/>
          </cell>
          <cell r="T292" t="str">
            <v/>
          </cell>
        </row>
        <row r="293">
          <cell r="A293" t="str">
            <v/>
          </cell>
          <cell r="B293">
            <v>1289</v>
          </cell>
          <cell r="D293" t="str">
            <v/>
          </cell>
          <cell r="F293" t="str">
            <v/>
          </cell>
          <cell r="J293">
            <v>0</v>
          </cell>
          <cell r="L293">
            <v>0</v>
          </cell>
          <cell r="M293">
            <v>0</v>
          </cell>
          <cell r="N293">
            <v>0</v>
          </cell>
          <cell r="O293" t="str">
            <v/>
          </cell>
          <cell r="S293" t="str">
            <v/>
          </cell>
          <cell r="T293" t="str">
            <v/>
          </cell>
        </row>
        <row r="294">
          <cell r="A294" t="str">
            <v/>
          </cell>
          <cell r="B294">
            <v>1290</v>
          </cell>
          <cell r="D294" t="str">
            <v/>
          </cell>
          <cell r="F294" t="str">
            <v/>
          </cell>
          <cell r="J294">
            <v>0</v>
          </cell>
          <cell r="L294">
            <v>0</v>
          </cell>
          <cell r="M294">
            <v>0</v>
          </cell>
          <cell r="N294">
            <v>0</v>
          </cell>
          <cell r="O294" t="str">
            <v/>
          </cell>
          <cell r="S294" t="str">
            <v/>
          </cell>
          <cell r="T294" t="str">
            <v/>
          </cell>
        </row>
        <row r="295">
          <cell r="A295" t="str">
            <v/>
          </cell>
          <cell r="B295">
            <v>1291</v>
          </cell>
          <cell r="D295" t="str">
            <v/>
          </cell>
          <cell r="F295" t="str">
            <v/>
          </cell>
          <cell r="J295">
            <v>0</v>
          </cell>
          <cell r="L295">
            <v>0</v>
          </cell>
          <cell r="M295">
            <v>0</v>
          </cell>
          <cell r="N295">
            <v>0</v>
          </cell>
          <cell r="O295" t="str">
            <v/>
          </cell>
          <cell r="S295" t="str">
            <v/>
          </cell>
          <cell r="T295" t="str">
            <v/>
          </cell>
        </row>
        <row r="296">
          <cell r="A296" t="str">
            <v/>
          </cell>
          <cell r="B296">
            <v>1292</v>
          </cell>
          <cell r="D296" t="str">
            <v/>
          </cell>
          <cell r="F296" t="str">
            <v/>
          </cell>
          <cell r="J296">
            <v>0</v>
          </cell>
          <cell r="L296">
            <v>0</v>
          </cell>
          <cell r="M296">
            <v>0</v>
          </cell>
          <cell r="N296">
            <v>0</v>
          </cell>
          <cell r="O296" t="str">
            <v/>
          </cell>
          <cell r="S296" t="str">
            <v/>
          </cell>
          <cell r="T296" t="str">
            <v/>
          </cell>
        </row>
        <row r="297">
          <cell r="A297" t="str">
            <v/>
          </cell>
          <cell r="B297">
            <v>1293</v>
          </cell>
          <cell r="D297" t="str">
            <v/>
          </cell>
          <cell r="F297" t="str">
            <v/>
          </cell>
          <cell r="J297">
            <v>0</v>
          </cell>
          <cell r="L297">
            <v>0</v>
          </cell>
          <cell r="M297">
            <v>0</v>
          </cell>
          <cell r="N297">
            <v>0</v>
          </cell>
          <cell r="O297" t="str">
            <v/>
          </cell>
          <cell r="S297" t="str">
            <v/>
          </cell>
          <cell r="T297" t="str">
            <v/>
          </cell>
        </row>
        <row r="298">
          <cell r="A298" t="str">
            <v/>
          </cell>
          <cell r="B298">
            <v>1294</v>
          </cell>
          <cell r="D298" t="str">
            <v/>
          </cell>
          <cell r="F298" t="str">
            <v/>
          </cell>
          <cell r="J298">
            <v>0</v>
          </cell>
          <cell r="L298">
            <v>0</v>
          </cell>
          <cell r="M298">
            <v>0</v>
          </cell>
          <cell r="N298">
            <v>0</v>
          </cell>
          <cell r="O298" t="str">
            <v/>
          </cell>
          <cell r="S298" t="str">
            <v/>
          </cell>
          <cell r="T298" t="str">
            <v/>
          </cell>
        </row>
        <row r="299">
          <cell r="A299" t="str">
            <v/>
          </cell>
          <cell r="B299">
            <v>1295</v>
          </cell>
          <cell r="D299" t="str">
            <v/>
          </cell>
          <cell r="F299" t="str">
            <v/>
          </cell>
          <cell r="J299">
            <v>0</v>
          </cell>
          <cell r="L299">
            <v>0</v>
          </cell>
          <cell r="M299">
            <v>0</v>
          </cell>
          <cell r="N299">
            <v>0</v>
          </cell>
          <cell r="O299" t="str">
            <v/>
          </cell>
          <cell r="S299" t="str">
            <v/>
          </cell>
          <cell r="T299" t="str">
            <v/>
          </cell>
        </row>
        <row r="300">
          <cell r="A300" t="str">
            <v/>
          </cell>
          <cell r="B300">
            <v>1296</v>
          </cell>
          <cell r="D300" t="str">
            <v/>
          </cell>
          <cell r="F300" t="str">
            <v/>
          </cell>
          <cell r="J300">
            <v>0</v>
          </cell>
          <cell r="L300">
            <v>0</v>
          </cell>
          <cell r="M300">
            <v>0</v>
          </cell>
          <cell r="N300">
            <v>0</v>
          </cell>
          <cell r="O300" t="str">
            <v/>
          </cell>
          <cell r="S300" t="str">
            <v/>
          </cell>
          <cell r="T300" t="str">
            <v/>
          </cell>
        </row>
        <row r="301">
          <cell r="A301" t="str">
            <v/>
          </cell>
          <cell r="B301">
            <v>1297</v>
          </cell>
          <cell r="D301" t="str">
            <v/>
          </cell>
          <cell r="F301" t="str">
            <v/>
          </cell>
          <cell r="J301">
            <v>0</v>
          </cell>
          <cell r="L301">
            <v>0</v>
          </cell>
          <cell r="M301">
            <v>0</v>
          </cell>
          <cell r="N301">
            <v>0</v>
          </cell>
          <cell r="O301" t="str">
            <v/>
          </cell>
          <cell r="S301" t="str">
            <v/>
          </cell>
          <cell r="T301" t="str">
            <v/>
          </cell>
        </row>
        <row r="302">
          <cell r="A302" t="str">
            <v/>
          </cell>
          <cell r="B302">
            <v>1298</v>
          </cell>
          <cell r="D302" t="str">
            <v/>
          </cell>
          <cell r="F302" t="str">
            <v/>
          </cell>
          <cell r="J302">
            <v>0</v>
          </cell>
          <cell r="L302">
            <v>0</v>
          </cell>
          <cell r="M302">
            <v>0</v>
          </cell>
          <cell r="N302">
            <v>0</v>
          </cell>
          <cell r="O302" t="str">
            <v/>
          </cell>
          <cell r="S302" t="str">
            <v/>
          </cell>
          <cell r="T302" t="str">
            <v/>
          </cell>
        </row>
        <row r="303">
          <cell r="A303" t="str">
            <v/>
          </cell>
          <cell r="B303">
            <v>1299</v>
          </cell>
          <cell r="D303" t="str">
            <v/>
          </cell>
          <cell r="F303" t="str">
            <v/>
          </cell>
          <cell r="J303">
            <v>0</v>
          </cell>
          <cell r="L303">
            <v>0</v>
          </cell>
          <cell r="M303">
            <v>0</v>
          </cell>
          <cell r="N303">
            <v>0</v>
          </cell>
          <cell r="O303" t="str">
            <v/>
          </cell>
          <cell r="S303" t="str">
            <v/>
          </cell>
          <cell r="T303" t="str">
            <v/>
          </cell>
        </row>
        <row r="304">
          <cell r="A304" t="str">
            <v/>
          </cell>
          <cell r="B304">
            <v>1300</v>
          </cell>
          <cell r="D304" t="str">
            <v/>
          </cell>
          <cell r="F304" t="str">
            <v/>
          </cell>
          <cell r="J304">
            <v>0</v>
          </cell>
          <cell r="L304">
            <v>0</v>
          </cell>
          <cell r="M304">
            <v>0</v>
          </cell>
          <cell r="N304">
            <v>0</v>
          </cell>
          <cell r="O304" t="str">
            <v/>
          </cell>
          <cell r="S304" t="str">
            <v/>
          </cell>
          <cell r="T304" t="str">
            <v/>
          </cell>
        </row>
        <row r="305">
          <cell r="A305" t="str">
            <v/>
          </cell>
          <cell r="B305">
            <v>1301</v>
          </cell>
          <cell r="D305" t="str">
            <v/>
          </cell>
          <cell r="F305" t="str">
            <v/>
          </cell>
          <cell r="J305">
            <v>0</v>
          </cell>
          <cell r="L305">
            <v>0</v>
          </cell>
          <cell r="M305">
            <v>0</v>
          </cell>
          <cell r="N305">
            <v>0</v>
          </cell>
          <cell r="O305" t="str">
            <v/>
          </cell>
          <cell r="S305" t="str">
            <v/>
          </cell>
          <cell r="T305" t="str">
            <v/>
          </cell>
        </row>
        <row r="306">
          <cell r="A306" t="str">
            <v/>
          </cell>
          <cell r="B306">
            <v>1302</v>
          </cell>
          <cell r="D306" t="str">
            <v/>
          </cell>
          <cell r="F306" t="str">
            <v/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  <cell r="O306" t="str">
            <v/>
          </cell>
          <cell r="S306" t="str">
            <v/>
          </cell>
          <cell r="T306" t="str">
            <v/>
          </cell>
        </row>
        <row r="307">
          <cell r="A307" t="str">
            <v/>
          </cell>
          <cell r="B307">
            <v>1303</v>
          </cell>
          <cell r="D307" t="str">
            <v/>
          </cell>
          <cell r="F307" t="str">
            <v/>
          </cell>
          <cell r="J307">
            <v>0</v>
          </cell>
          <cell r="L307">
            <v>0</v>
          </cell>
          <cell r="M307">
            <v>0</v>
          </cell>
          <cell r="N307">
            <v>0</v>
          </cell>
          <cell r="O307" t="str">
            <v/>
          </cell>
          <cell r="S307" t="str">
            <v/>
          </cell>
          <cell r="T307" t="str">
            <v/>
          </cell>
        </row>
        <row r="308">
          <cell r="A308" t="str">
            <v/>
          </cell>
          <cell r="B308">
            <v>1304</v>
          </cell>
          <cell r="D308" t="str">
            <v/>
          </cell>
          <cell r="F308" t="str">
            <v/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O308" t="str">
            <v/>
          </cell>
          <cell r="S308" t="str">
            <v/>
          </cell>
          <cell r="T308" t="str">
            <v/>
          </cell>
        </row>
        <row r="309">
          <cell r="A309" t="str">
            <v/>
          </cell>
          <cell r="B309">
            <v>1305</v>
          </cell>
          <cell r="D309" t="str">
            <v/>
          </cell>
          <cell r="F309" t="str">
            <v/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O309" t="str">
            <v/>
          </cell>
          <cell r="S309" t="str">
            <v/>
          </cell>
          <cell r="T309" t="str">
            <v/>
          </cell>
        </row>
        <row r="310">
          <cell r="A310" t="str">
            <v/>
          </cell>
          <cell r="B310">
            <v>1306</v>
          </cell>
          <cell r="D310" t="str">
            <v/>
          </cell>
          <cell r="F310" t="str">
            <v/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O310" t="str">
            <v/>
          </cell>
          <cell r="S310" t="str">
            <v/>
          </cell>
          <cell r="T310" t="str">
            <v/>
          </cell>
        </row>
        <row r="311">
          <cell r="A311" t="str">
            <v/>
          </cell>
          <cell r="B311">
            <v>1307</v>
          </cell>
          <cell r="D311" t="str">
            <v/>
          </cell>
          <cell r="F311" t="str">
            <v/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  <cell r="O311" t="str">
            <v/>
          </cell>
          <cell r="S311" t="str">
            <v/>
          </cell>
          <cell r="T311" t="str">
            <v/>
          </cell>
        </row>
        <row r="312">
          <cell r="A312" t="str">
            <v/>
          </cell>
          <cell r="B312">
            <v>1308</v>
          </cell>
          <cell r="D312" t="str">
            <v/>
          </cell>
          <cell r="F312" t="str">
            <v/>
          </cell>
          <cell r="J312">
            <v>0</v>
          </cell>
          <cell r="L312">
            <v>0</v>
          </cell>
          <cell r="M312">
            <v>0</v>
          </cell>
          <cell r="N312">
            <v>0</v>
          </cell>
          <cell r="O312" t="str">
            <v/>
          </cell>
          <cell r="S312" t="str">
            <v/>
          </cell>
          <cell r="T312" t="str">
            <v/>
          </cell>
        </row>
        <row r="313">
          <cell r="A313" t="str">
            <v/>
          </cell>
          <cell r="B313">
            <v>1309</v>
          </cell>
          <cell r="D313" t="str">
            <v/>
          </cell>
          <cell r="F313" t="str">
            <v/>
          </cell>
          <cell r="J313">
            <v>0</v>
          </cell>
          <cell r="L313">
            <v>0</v>
          </cell>
          <cell r="M313">
            <v>0</v>
          </cell>
          <cell r="N313">
            <v>0</v>
          </cell>
          <cell r="O313" t="str">
            <v/>
          </cell>
          <cell r="S313" t="str">
            <v/>
          </cell>
          <cell r="T313" t="str">
            <v/>
          </cell>
        </row>
        <row r="314">
          <cell r="A314" t="str">
            <v/>
          </cell>
          <cell r="B314">
            <v>1310</v>
          </cell>
          <cell r="D314" t="str">
            <v/>
          </cell>
          <cell r="F314" t="str">
            <v/>
          </cell>
          <cell r="J314">
            <v>0</v>
          </cell>
          <cell r="L314">
            <v>0</v>
          </cell>
          <cell r="M314">
            <v>0</v>
          </cell>
          <cell r="N314">
            <v>0</v>
          </cell>
          <cell r="O314" t="str">
            <v/>
          </cell>
          <cell r="S314" t="str">
            <v/>
          </cell>
          <cell r="T314" t="str">
            <v/>
          </cell>
        </row>
        <row r="315">
          <cell r="A315" t="str">
            <v/>
          </cell>
          <cell r="B315">
            <v>1311</v>
          </cell>
          <cell r="D315" t="str">
            <v/>
          </cell>
          <cell r="F315" t="str">
            <v/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O315" t="str">
            <v/>
          </cell>
          <cell r="S315" t="str">
            <v/>
          </cell>
          <cell r="T315" t="str">
            <v/>
          </cell>
        </row>
        <row r="316">
          <cell r="A316" t="str">
            <v/>
          </cell>
          <cell r="B316">
            <v>1312</v>
          </cell>
          <cell r="D316" t="str">
            <v/>
          </cell>
          <cell r="F316" t="str">
            <v/>
          </cell>
          <cell r="J316">
            <v>0</v>
          </cell>
          <cell r="L316">
            <v>0</v>
          </cell>
          <cell r="M316">
            <v>0</v>
          </cell>
          <cell r="N316">
            <v>0</v>
          </cell>
          <cell r="O316" t="str">
            <v/>
          </cell>
          <cell r="S316" t="str">
            <v/>
          </cell>
          <cell r="T316" t="str">
            <v/>
          </cell>
        </row>
        <row r="317">
          <cell r="A317" t="str">
            <v/>
          </cell>
          <cell r="B317">
            <v>1313</v>
          </cell>
          <cell r="D317" t="str">
            <v/>
          </cell>
          <cell r="F317" t="str">
            <v/>
          </cell>
          <cell r="J317">
            <v>0</v>
          </cell>
          <cell r="L317">
            <v>0</v>
          </cell>
          <cell r="M317">
            <v>0</v>
          </cell>
          <cell r="N317">
            <v>0</v>
          </cell>
          <cell r="O317" t="str">
            <v/>
          </cell>
          <cell r="S317" t="str">
            <v/>
          </cell>
          <cell r="T317" t="str">
            <v/>
          </cell>
        </row>
        <row r="318">
          <cell r="A318" t="str">
            <v/>
          </cell>
          <cell r="B318">
            <v>1314</v>
          </cell>
          <cell r="D318" t="str">
            <v/>
          </cell>
          <cell r="F318" t="str">
            <v/>
          </cell>
          <cell r="J318">
            <v>0</v>
          </cell>
          <cell r="L318">
            <v>0</v>
          </cell>
          <cell r="M318">
            <v>0</v>
          </cell>
          <cell r="N318">
            <v>0</v>
          </cell>
          <cell r="O318" t="str">
            <v/>
          </cell>
          <cell r="S318" t="str">
            <v/>
          </cell>
          <cell r="T318" t="str">
            <v/>
          </cell>
        </row>
        <row r="319">
          <cell r="A319" t="str">
            <v/>
          </cell>
          <cell r="B319">
            <v>1315</v>
          </cell>
          <cell r="D319" t="str">
            <v/>
          </cell>
          <cell r="F319" t="str">
            <v/>
          </cell>
          <cell r="J319">
            <v>0</v>
          </cell>
          <cell r="L319">
            <v>0</v>
          </cell>
          <cell r="M319">
            <v>0</v>
          </cell>
          <cell r="N319">
            <v>0</v>
          </cell>
          <cell r="O319" t="str">
            <v/>
          </cell>
          <cell r="S319" t="str">
            <v/>
          </cell>
          <cell r="T319" t="str">
            <v/>
          </cell>
        </row>
        <row r="320">
          <cell r="A320" t="str">
            <v/>
          </cell>
          <cell r="B320">
            <v>1316</v>
          </cell>
          <cell r="D320" t="str">
            <v/>
          </cell>
          <cell r="F320" t="str">
            <v/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O320" t="str">
            <v/>
          </cell>
          <cell r="S320" t="str">
            <v/>
          </cell>
          <cell r="T320" t="str">
            <v/>
          </cell>
        </row>
        <row r="321">
          <cell r="A321" t="str">
            <v/>
          </cell>
          <cell r="B321">
            <v>1317</v>
          </cell>
          <cell r="D321" t="str">
            <v/>
          </cell>
          <cell r="F321" t="str">
            <v/>
          </cell>
          <cell r="J321">
            <v>0</v>
          </cell>
          <cell r="L321">
            <v>0</v>
          </cell>
          <cell r="M321">
            <v>0</v>
          </cell>
          <cell r="N321">
            <v>0</v>
          </cell>
          <cell r="O321" t="str">
            <v/>
          </cell>
          <cell r="S321" t="str">
            <v/>
          </cell>
          <cell r="T321" t="str">
            <v/>
          </cell>
        </row>
        <row r="322">
          <cell r="A322" t="str">
            <v/>
          </cell>
          <cell r="B322">
            <v>1318</v>
          </cell>
          <cell r="D322" t="str">
            <v/>
          </cell>
          <cell r="F322" t="str">
            <v/>
          </cell>
          <cell r="J322">
            <v>0</v>
          </cell>
          <cell r="L322">
            <v>0</v>
          </cell>
          <cell r="M322">
            <v>0</v>
          </cell>
          <cell r="N322">
            <v>0</v>
          </cell>
          <cell r="O322" t="str">
            <v/>
          </cell>
          <cell r="S322" t="str">
            <v/>
          </cell>
          <cell r="T322" t="str">
            <v/>
          </cell>
        </row>
        <row r="323">
          <cell r="A323" t="str">
            <v/>
          </cell>
          <cell r="B323">
            <v>1319</v>
          </cell>
          <cell r="D323" t="str">
            <v/>
          </cell>
          <cell r="F323" t="str">
            <v/>
          </cell>
          <cell r="J323">
            <v>0</v>
          </cell>
          <cell r="L323">
            <v>0</v>
          </cell>
          <cell r="M323">
            <v>0</v>
          </cell>
          <cell r="N323">
            <v>0</v>
          </cell>
          <cell r="O323" t="str">
            <v/>
          </cell>
          <cell r="S323" t="str">
            <v/>
          </cell>
          <cell r="T323" t="str">
            <v/>
          </cell>
        </row>
        <row r="324">
          <cell r="A324" t="str">
            <v/>
          </cell>
          <cell r="B324">
            <v>1320</v>
          </cell>
          <cell r="D324" t="str">
            <v/>
          </cell>
          <cell r="F324" t="str">
            <v/>
          </cell>
          <cell r="J324">
            <v>0</v>
          </cell>
          <cell r="L324">
            <v>0</v>
          </cell>
          <cell r="M324">
            <v>0</v>
          </cell>
          <cell r="N324">
            <v>0</v>
          </cell>
          <cell r="O324" t="str">
            <v/>
          </cell>
          <cell r="S324" t="str">
            <v/>
          </cell>
          <cell r="T324" t="str">
            <v/>
          </cell>
        </row>
        <row r="325">
          <cell r="A325" t="str">
            <v/>
          </cell>
          <cell r="B325">
            <v>1321</v>
          </cell>
          <cell r="D325" t="str">
            <v/>
          </cell>
          <cell r="F325" t="str">
            <v/>
          </cell>
          <cell r="J325">
            <v>0</v>
          </cell>
          <cell r="L325">
            <v>0</v>
          </cell>
          <cell r="M325">
            <v>0</v>
          </cell>
          <cell r="N325">
            <v>0</v>
          </cell>
          <cell r="O325" t="str">
            <v/>
          </cell>
          <cell r="S325" t="str">
            <v/>
          </cell>
          <cell r="T325" t="str">
            <v/>
          </cell>
        </row>
        <row r="326">
          <cell r="A326" t="str">
            <v/>
          </cell>
          <cell r="B326">
            <v>1322</v>
          </cell>
          <cell r="D326" t="str">
            <v/>
          </cell>
          <cell r="F326" t="str">
            <v/>
          </cell>
          <cell r="J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/>
          </cell>
          <cell r="S326" t="str">
            <v/>
          </cell>
          <cell r="T326" t="str">
            <v/>
          </cell>
        </row>
        <row r="327">
          <cell r="A327" t="str">
            <v/>
          </cell>
          <cell r="B327">
            <v>1323</v>
          </cell>
          <cell r="D327" t="str">
            <v/>
          </cell>
          <cell r="F327" t="str">
            <v/>
          </cell>
          <cell r="J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/>
          </cell>
          <cell r="S327" t="str">
            <v/>
          </cell>
          <cell r="T327" t="str">
            <v/>
          </cell>
        </row>
        <row r="328">
          <cell r="A328" t="str">
            <v/>
          </cell>
          <cell r="B328">
            <v>1324</v>
          </cell>
          <cell r="D328" t="str">
            <v/>
          </cell>
          <cell r="F328" t="str">
            <v/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/>
          </cell>
          <cell r="S328" t="str">
            <v/>
          </cell>
          <cell r="T328" t="str">
            <v/>
          </cell>
        </row>
        <row r="329">
          <cell r="A329" t="str">
            <v/>
          </cell>
          <cell r="B329">
            <v>1325</v>
          </cell>
          <cell r="D329" t="str">
            <v/>
          </cell>
          <cell r="F329" t="str">
            <v/>
          </cell>
          <cell r="J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/>
          </cell>
          <cell r="S329" t="str">
            <v/>
          </cell>
          <cell r="T329" t="str">
            <v/>
          </cell>
        </row>
        <row r="330">
          <cell r="A330" t="str">
            <v/>
          </cell>
          <cell r="B330">
            <v>1326</v>
          </cell>
          <cell r="D330" t="str">
            <v/>
          </cell>
          <cell r="F330" t="str">
            <v/>
          </cell>
          <cell r="J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/>
          </cell>
          <cell r="S330" t="str">
            <v/>
          </cell>
          <cell r="T330" t="str">
            <v/>
          </cell>
        </row>
        <row r="331">
          <cell r="A331" t="str">
            <v/>
          </cell>
          <cell r="B331">
            <v>1327</v>
          </cell>
          <cell r="D331" t="str">
            <v/>
          </cell>
          <cell r="F331" t="str">
            <v/>
          </cell>
          <cell r="J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/>
          </cell>
          <cell r="S331" t="str">
            <v/>
          </cell>
          <cell r="T331" t="str">
            <v/>
          </cell>
        </row>
        <row r="332">
          <cell r="A332" t="str">
            <v/>
          </cell>
          <cell r="B332">
            <v>1328</v>
          </cell>
          <cell r="D332" t="str">
            <v/>
          </cell>
          <cell r="F332" t="str">
            <v/>
          </cell>
          <cell r="J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/>
          </cell>
          <cell r="S332" t="str">
            <v/>
          </cell>
          <cell r="T332" t="str">
            <v/>
          </cell>
        </row>
        <row r="333">
          <cell r="A333" t="str">
            <v/>
          </cell>
          <cell r="B333">
            <v>1329</v>
          </cell>
          <cell r="D333" t="str">
            <v/>
          </cell>
          <cell r="F333" t="str">
            <v/>
          </cell>
          <cell r="J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/>
          </cell>
          <cell r="S333" t="str">
            <v/>
          </cell>
          <cell r="T333" t="str">
            <v/>
          </cell>
        </row>
        <row r="334">
          <cell r="A334" t="str">
            <v/>
          </cell>
          <cell r="B334">
            <v>1330</v>
          </cell>
          <cell r="D334" t="str">
            <v/>
          </cell>
          <cell r="F334" t="str">
            <v/>
          </cell>
          <cell r="J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/>
          </cell>
          <cell r="S334" t="str">
            <v/>
          </cell>
          <cell r="T334" t="str">
            <v/>
          </cell>
        </row>
        <row r="335">
          <cell r="A335" t="str">
            <v/>
          </cell>
          <cell r="B335">
            <v>1331</v>
          </cell>
          <cell r="D335" t="str">
            <v/>
          </cell>
          <cell r="F335" t="str">
            <v/>
          </cell>
          <cell r="J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/>
          </cell>
          <cell r="S335" t="str">
            <v/>
          </cell>
          <cell r="T335" t="str">
            <v/>
          </cell>
        </row>
        <row r="336">
          <cell r="A336" t="str">
            <v/>
          </cell>
          <cell r="B336">
            <v>1332</v>
          </cell>
          <cell r="D336" t="str">
            <v/>
          </cell>
          <cell r="F336" t="str">
            <v/>
          </cell>
          <cell r="J336">
            <v>0</v>
          </cell>
          <cell r="L336">
            <v>0</v>
          </cell>
          <cell r="M336">
            <v>0</v>
          </cell>
          <cell r="N336">
            <v>0</v>
          </cell>
          <cell r="O336" t="str">
            <v/>
          </cell>
          <cell r="S336" t="str">
            <v/>
          </cell>
          <cell r="T336" t="str">
            <v/>
          </cell>
        </row>
        <row r="337">
          <cell r="A337" t="str">
            <v/>
          </cell>
          <cell r="B337">
            <v>1333</v>
          </cell>
          <cell r="D337" t="str">
            <v/>
          </cell>
          <cell r="F337" t="str">
            <v/>
          </cell>
          <cell r="J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/>
          </cell>
          <cell r="S337" t="str">
            <v/>
          </cell>
          <cell r="T337" t="str">
            <v/>
          </cell>
        </row>
        <row r="338">
          <cell r="A338" t="str">
            <v/>
          </cell>
          <cell r="B338">
            <v>1334</v>
          </cell>
          <cell r="D338" t="str">
            <v/>
          </cell>
          <cell r="F338" t="str">
            <v/>
          </cell>
          <cell r="J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/>
          </cell>
          <cell r="S338" t="str">
            <v/>
          </cell>
          <cell r="T338" t="str">
            <v/>
          </cell>
        </row>
        <row r="339">
          <cell r="A339" t="str">
            <v/>
          </cell>
          <cell r="B339">
            <v>1335</v>
          </cell>
          <cell r="D339" t="str">
            <v/>
          </cell>
          <cell r="F339" t="str">
            <v/>
          </cell>
          <cell r="J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/>
          </cell>
          <cell r="S339" t="str">
            <v/>
          </cell>
          <cell r="T339" t="str">
            <v/>
          </cell>
        </row>
        <row r="340">
          <cell r="A340" t="str">
            <v/>
          </cell>
          <cell r="B340">
            <v>1336</v>
          </cell>
          <cell r="D340" t="str">
            <v/>
          </cell>
          <cell r="F340" t="str">
            <v/>
          </cell>
          <cell r="J340">
            <v>0</v>
          </cell>
          <cell r="L340">
            <v>0</v>
          </cell>
          <cell r="M340">
            <v>0</v>
          </cell>
          <cell r="N340">
            <v>0</v>
          </cell>
          <cell r="O340" t="str">
            <v/>
          </cell>
          <cell r="S340" t="str">
            <v/>
          </cell>
          <cell r="T340" t="str">
            <v/>
          </cell>
        </row>
        <row r="341">
          <cell r="A341" t="str">
            <v/>
          </cell>
          <cell r="B341">
            <v>1337</v>
          </cell>
          <cell r="D341" t="str">
            <v/>
          </cell>
          <cell r="F341" t="str">
            <v/>
          </cell>
          <cell r="J341">
            <v>0</v>
          </cell>
          <cell r="L341">
            <v>0</v>
          </cell>
          <cell r="M341">
            <v>0</v>
          </cell>
          <cell r="N341">
            <v>0</v>
          </cell>
          <cell r="O341" t="str">
            <v/>
          </cell>
          <cell r="S341" t="str">
            <v/>
          </cell>
          <cell r="T341" t="str">
            <v/>
          </cell>
        </row>
        <row r="342">
          <cell r="A342" t="str">
            <v/>
          </cell>
          <cell r="B342">
            <v>1338</v>
          </cell>
          <cell r="D342" t="str">
            <v/>
          </cell>
          <cell r="F342" t="str">
            <v/>
          </cell>
          <cell r="J342">
            <v>0</v>
          </cell>
          <cell r="L342">
            <v>0</v>
          </cell>
          <cell r="M342">
            <v>0</v>
          </cell>
          <cell r="N342">
            <v>0</v>
          </cell>
          <cell r="O342" t="str">
            <v/>
          </cell>
          <cell r="S342" t="str">
            <v/>
          </cell>
          <cell r="T342" t="str">
            <v/>
          </cell>
        </row>
        <row r="343">
          <cell r="A343" t="str">
            <v/>
          </cell>
          <cell r="B343">
            <v>1339</v>
          </cell>
          <cell r="D343" t="str">
            <v/>
          </cell>
          <cell r="F343" t="str">
            <v/>
          </cell>
          <cell r="J343">
            <v>0</v>
          </cell>
          <cell r="L343">
            <v>0</v>
          </cell>
          <cell r="M343">
            <v>0</v>
          </cell>
          <cell r="N343">
            <v>0</v>
          </cell>
          <cell r="O343" t="str">
            <v/>
          </cell>
          <cell r="S343" t="str">
            <v/>
          </cell>
          <cell r="T343" t="str">
            <v/>
          </cell>
        </row>
        <row r="344">
          <cell r="A344" t="str">
            <v/>
          </cell>
          <cell r="B344">
            <v>1340</v>
          </cell>
          <cell r="D344" t="str">
            <v/>
          </cell>
          <cell r="F344" t="str">
            <v/>
          </cell>
          <cell r="J344">
            <v>0</v>
          </cell>
          <cell r="L344">
            <v>0</v>
          </cell>
          <cell r="M344">
            <v>0</v>
          </cell>
          <cell r="N344">
            <v>0</v>
          </cell>
          <cell r="O344" t="str">
            <v/>
          </cell>
          <cell r="S344" t="str">
            <v/>
          </cell>
          <cell r="T344" t="str">
            <v/>
          </cell>
        </row>
        <row r="345">
          <cell r="A345" t="str">
            <v/>
          </cell>
          <cell r="B345">
            <v>1341</v>
          </cell>
          <cell r="D345" t="str">
            <v/>
          </cell>
          <cell r="F345" t="str">
            <v/>
          </cell>
          <cell r="J345">
            <v>0</v>
          </cell>
          <cell r="L345">
            <v>0</v>
          </cell>
          <cell r="M345">
            <v>0</v>
          </cell>
          <cell r="N345">
            <v>0</v>
          </cell>
          <cell r="O345" t="str">
            <v/>
          </cell>
          <cell r="S345" t="str">
            <v/>
          </cell>
          <cell r="T345" t="str">
            <v/>
          </cell>
        </row>
        <row r="346">
          <cell r="A346" t="str">
            <v/>
          </cell>
          <cell r="B346">
            <v>1342</v>
          </cell>
          <cell r="D346" t="str">
            <v/>
          </cell>
          <cell r="F346" t="str">
            <v/>
          </cell>
          <cell r="J346">
            <v>0</v>
          </cell>
          <cell r="L346">
            <v>0</v>
          </cell>
          <cell r="M346">
            <v>0</v>
          </cell>
          <cell r="N346">
            <v>0</v>
          </cell>
          <cell r="O346" t="str">
            <v/>
          </cell>
          <cell r="S346" t="str">
            <v/>
          </cell>
          <cell r="T346" t="str">
            <v/>
          </cell>
        </row>
        <row r="347">
          <cell r="A347" t="str">
            <v/>
          </cell>
          <cell r="B347">
            <v>1343</v>
          </cell>
          <cell r="D347" t="str">
            <v/>
          </cell>
          <cell r="F347" t="str">
            <v/>
          </cell>
          <cell r="J347">
            <v>0</v>
          </cell>
          <cell r="L347">
            <v>0</v>
          </cell>
          <cell r="M347">
            <v>0</v>
          </cell>
          <cell r="N347">
            <v>0</v>
          </cell>
          <cell r="O347" t="str">
            <v/>
          </cell>
          <cell r="S347" t="str">
            <v/>
          </cell>
          <cell r="T347" t="str">
            <v/>
          </cell>
        </row>
        <row r="348">
          <cell r="A348" t="str">
            <v/>
          </cell>
          <cell r="B348">
            <v>1344</v>
          </cell>
          <cell r="D348" t="str">
            <v/>
          </cell>
          <cell r="F348" t="str">
            <v/>
          </cell>
          <cell r="J348">
            <v>0</v>
          </cell>
          <cell r="L348">
            <v>0</v>
          </cell>
          <cell r="M348">
            <v>0</v>
          </cell>
          <cell r="N348">
            <v>0</v>
          </cell>
          <cell r="O348" t="str">
            <v/>
          </cell>
          <cell r="S348" t="str">
            <v/>
          </cell>
          <cell r="T348" t="str">
            <v/>
          </cell>
        </row>
        <row r="349">
          <cell r="A349" t="str">
            <v/>
          </cell>
          <cell r="B349">
            <v>1345</v>
          </cell>
          <cell r="D349" t="str">
            <v/>
          </cell>
          <cell r="F349" t="str">
            <v/>
          </cell>
          <cell r="J349">
            <v>0</v>
          </cell>
          <cell r="L349">
            <v>0</v>
          </cell>
          <cell r="M349">
            <v>0</v>
          </cell>
          <cell r="N349">
            <v>0</v>
          </cell>
          <cell r="O349" t="str">
            <v/>
          </cell>
          <cell r="S349" t="str">
            <v/>
          </cell>
          <cell r="T349" t="str">
            <v/>
          </cell>
        </row>
        <row r="350">
          <cell r="A350" t="str">
            <v/>
          </cell>
          <cell r="B350">
            <v>1346</v>
          </cell>
          <cell r="D350" t="str">
            <v/>
          </cell>
          <cell r="F350" t="str">
            <v/>
          </cell>
          <cell r="J350">
            <v>0</v>
          </cell>
          <cell r="L350">
            <v>0</v>
          </cell>
          <cell r="M350">
            <v>0</v>
          </cell>
          <cell r="N350">
            <v>0</v>
          </cell>
          <cell r="O350" t="str">
            <v/>
          </cell>
          <cell r="S350" t="str">
            <v/>
          </cell>
          <cell r="T350" t="str">
            <v/>
          </cell>
        </row>
        <row r="351">
          <cell r="A351" t="str">
            <v/>
          </cell>
          <cell r="B351">
            <v>1347</v>
          </cell>
          <cell r="D351" t="str">
            <v/>
          </cell>
          <cell r="F351" t="str">
            <v/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O351" t="str">
            <v/>
          </cell>
          <cell r="S351" t="str">
            <v/>
          </cell>
          <cell r="T351" t="str">
            <v/>
          </cell>
        </row>
        <row r="352">
          <cell r="A352" t="str">
            <v/>
          </cell>
          <cell r="B352">
            <v>1348</v>
          </cell>
          <cell r="D352" t="str">
            <v/>
          </cell>
          <cell r="F352" t="str">
            <v/>
          </cell>
          <cell r="J352">
            <v>0</v>
          </cell>
          <cell r="L352">
            <v>0</v>
          </cell>
          <cell r="M352">
            <v>0</v>
          </cell>
          <cell r="N352">
            <v>0</v>
          </cell>
          <cell r="O352" t="str">
            <v/>
          </cell>
          <cell r="S352" t="str">
            <v/>
          </cell>
          <cell r="T352" t="str">
            <v/>
          </cell>
        </row>
        <row r="353">
          <cell r="A353" t="str">
            <v/>
          </cell>
          <cell r="B353">
            <v>1349</v>
          </cell>
          <cell r="D353" t="str">
            <v/>
          </cell>
          <cell r="F353" t="str">
            <v/>
          </cell>
          <cell r="J353">
            <v>0</v>
          </cell>
          <cell r="L353">
            <v>0</v>
          </cell>
          <cell r="M353">
            <v>0</v>
          </cell>
          <cell r="N353">
            <v>0</v>
          </cell>
          <cell r="O353" t="str">
            <v/>
          </cell>
          <cell r="S353" t="str">
            <v/>
          </cell>
          <cell r="T353" t="str">
            <v/>
          </cell>
        </row>
        <row r="354">
          <cell r="A354" t="str">
            <v/>
          </cell>
          <cell r="B354">
            <v>1350</v>
          </cell>
          <cell r="D354" t="str">
            <v/>
          </cell>
          <cell r="F354" t="str">
            <v/>
          </cell>
          <cell r="J354">
            <v>0</v>
          </cell>
          <cell r="L354">
            <v>0</v>
          </cell>
          <cell r="M354">
            <v>0</v>
          </cell>
          <cell r="N354">
            <v>0</v>
          </cell>
          <cell r="O354" t="str">
            <v/>
          </cell>
          <cell r="S354" t="str">
            <v/>
          </cell>
          <cell r="T354" t="str">
            <v/>
          </cell>
        </row>
        <row r="355">
          <cell r="A355" t="str">
            <v/>
          </cell>
          <cell r="B355">
            <v>1351</v>
          </cell>
          <cell r="D355" t="str">
            <v/>
          </cell>
          <cell r="F355" t="str">
            <v/>
          </cell>
          <cell r="J355">
            <v>0</v>
          </cell>
          <cell r="L355">
            <v>0</v>
          </cell>
          <cell r="M355">
            <v>0</v>
          </cell>
          <cell r="N355">
            <v>0</v>
          </cell>
          <cell r="O355" t="str">
            <v/>
          </cell>
          <cell r="S355" t="str">
            <v/>
          </cell>
          <cell r="T355" t="str">
            <v/>
          </cell>
        </row>
        <row r="356">
          <cell r="A356" t="str">
            <v/>
          </cell>
          <cell r="B356">
            <v>1352</v>
          </cell>
          <cell r="D356" t="str">
            <v/>
          </cell>
          <cell r="F356" t="str">
            <v/>
          </cell>
          <cell r="J356">
            <v>0</v>
          </cell>
          <cell r="L356">
            <v>0</v>
          </cell>
          <cell r="M356">
            <v>0</v>
          </cell>
          <cell r="N356">
            <v>0</v>
          </cell>
          <cell r="O356" t="str">
            <v/>
          </cell>
          <cell r="S356" t="str">
            <v/>
          </cell>
          <cell r="T356" t="str">
            <v/>
          </cell>
        </row>
        <row r="357">
          <cell r="A357" t="str">
            <v/>
          </cell>
          <cell r="B357">
            <v>1353</v>
          </cell>
          <cell r="D357" t="str">
            <v/>
          </cell>
          <cell r="F357" t="str">
            <v/>
          </cell>
          <cell r="J357">
            <v>0</v>
          </cell>
          <cell r="L357">
            <v>0</v>
          </cell>
          <cell r="M357">
            <v>0</v>
          </cell>
          <cell r="N357">
            <v>0</v>
          </cell>
          <cell r="O357" t="str">
            <v/>
          </cell>
          <cell r="S357" t="str">
            <v/>
          </cell>
          <cell r="T357" t="str">
            <v/>
          </cell>
        </row>
        <row r="358">
          <cell r="A358" t="str">
            <v/>
          </cell>
          <cell r="B358">
            <v>1354</v>
          </cell>
          <cell r="D358" t="str">
            <v/>
          </cell>
          <cell r="F358" t="str">
            <v/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O358" t="str">
            <v/>
          </cell>
          <cell r="S358" t="str">
            <v/>
          </cell>
          <cell r="T358" t="str">
            <v/>
          </cell>
        </row>
        <row r="359">
          <cell r="A359" t="str">
            <v/>
          </cell>
          <cell r="B359">
            <v>1355</v>
          </cell>
          <cell r="D359" t="str">
            <v/>
          </cell>
          <cell r="F359" t="str">
            <v/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O359" t="str">
            <v/>
          </cell>
          <cell r="S359" t="str">
            <v/>
          </cell>
          <cell r="T359" t="str">
            <v/>
          </cell>
        </row>
        <row r="360">
          <cell r="A360" t="str">
            <v/>
          </cell>
          <cell r="B360">
            <v>1356</v>
          </cell>
          <cell r="D360" t="str">
            <v/>
          </cell>
          <cell r="F360" t="str">
            <v/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O360" t="str">
            <v/>
          </cell>
          <cell r="S360" t="str">
            <v/>
          </cell>
          <cell r="T360" t="str">
            <v/>
          </cell>
        </row>
        <row r="361">
          <cell r="A361" t="str">
            <v/>
          </cell>
          <cell r="B361">
            <v>1357</v>
          </cell>
          <cell r="D361" t="str">
            <v/>
          </cell>
          <cell r="F361" t="str">
            <v/>
          </cell>
          <cell r="J361">
            <v>0</v>
          </cell>
          <cell r="L361">
            <v>0</v>
          </cell>
          <cell r="M361">
            <v>0</v>
          </cell>
          <cell r="N361">
            <v>0</v>
          </cell>
          <cell r="O361" t="str">
            <v/>
          </cell>
          <cell r="S361" t="str">
            <v/>
          </cell>
          <cell r="T361" t="str">
            <v/>
          </cell>
        </row>
        <row r="362">
          <cell r="A362" t="str">
            <v/>
          </cell>
          <cell r="B362">
            <v>1358</v>
          </cell>
          <cell r="D362" t="str">
            <v/>
          </cell>
          <cell r="F362" t="str">
            <v/>
          </cell>
          <cell r="J362">
            <v>0</v>
          </cell>
          <cell r="L362">
            <v>0</v>
          </cell>
          <cell r="M362">
            <v>0</v>
          </cell>
          <cell r="N362">
            <v>0</v>
          </cell>
          <cell r="O362" t="str">
            <v/>
          </cell>
          <cell r="S362" t="str">
            <v/>
          </cell>
          <cell r="T362" t="str">
            <v/>
          </cell>
        </row>
        <row r="363">
          <cell r="A363" t="str">
            <v/>
          </cell>
          <cell r="B363">
            <v>1359</v>
          </cell>
          <cell r="D363" t="str">
            <v/>
          </cell>
          <cell r="F363" t="str">
            <v/>
          </cell>
          <cell r="J363">
            <v>0</v>
          </cell>
          <cell r="L363">
            <v>0</v>
          </cell>
          <cell r="M363">
            <v>0</v>
          </cell>
          <cell r="N363">
            <v>0</v>
          </cell>
          <cell r="O363" t="str">
            <v/>
          </cell>
          <cell r="S363" t="str">
            <v/>
          </cell>
          <cell r="T363" t="str">
            <v/>
          </cell>
        </row>
        <row r="364">
          <cell r="A364" t="str">
            <v/>
          </cell>
          <cell r="B364">
            <v>1360</v>
          </cell>
          <cell r="D364" t="str">
            <v/>
          </cell>
          <cell r="F364" t="str">
            <v/>
          </cell>
          <cell r="J364">
            <v>0</v>
          </cell>
          <cell r="L364">
            <v>0</v>
          </cell>
          <cell r="M364">
            <v>0</v>
          </cell>
          <cell r="N364">
            <v>0</v>
          </cell>
          <cell r="O364" t="str">
            <v/>
          </cell>
          <cell r="S364" t="str">
            <v/>
          </cell>
          <cell r="T364" t="str">
            <v/>
          </cell>
        </row>
        <row r="365">
          <cell r="A365" t="str">
            <v/>
          </cell>
          <cell r="B365">
            <v>1361</v>
          </cell>
          <cell r="D365" t="str">
            <v/>
          </cell>
          <cell r="F365" t="str">
            <v/>
          </cell>
          <cell r="J365">
            <v>0</v>
          </cell>
          <cell r="L365">
            <v>0</v>
          </cell>
          <cell r="M365">
            <v>0</v>
          </cell>
          <cell r="N365">
            <v>0</v>
          </cell>
          <cell r="O365" t="str">
            <v/>
          </cell>
          <cell r="S365" t="str">
            <v/>
          </cell>
          <cell r="T365" t="str">
            <v/>
          </cell>
        </row>
        <row r="366">
          <cell r="A366" t="str">
            <v/>
          </cell>
          <cell r="B366">
            <v>1362</v>
          </cell>
          <cell r="D366" t="str">
            <v/>
          </cell>
          <cell r="F366" t="str">
            <v/>
          </cell>
          <cell r="J366">
            <v>0</v>
          </cell>
          <cell r="L366">
            <v>0</v>
          </cell>
          <cell r="M366">
            <v>0</v>
          </cell>
          <cell r="N366">
            <v>0</v>
          </cell>
          <cell r="O366" t="str">
            <v/>
          </cell>
          <cell r="S366" t="str">
            <v/>
          </cell>
          <cell r="T366" t="str">
            <v/>
          </cell>
        </row>
        <row r="367">
          <cell r="A367" t="str">
            <v/>
          </cell>
          <cell r="B367">
            <v>1363</v>
          </cell>
          <cell r="D367" t="str">
            <v/>
          </cell>
          <cell r="F367" t="str">
            <v/>
          </cell>
          <cell r="J367">
            <v>0</v>
          </cell>
          <cell r="L367">
            <v>0</v>
          </cell>
          <cell r="M367">
            <v>0</v>
          </cell>
          <cell r="N367">
            <v>0</v>
          </cell>
          <cell r="O367" t="str">
            <v/>
          </cell>
          <cell r="S367" t="str">
            <v/>
          </cell>
          <cell r="T367" t="str">
            <v/>
          </cell>
        </row>
        <row r="368">
          <cell r="A368" t="str">
            <v/>
          </cell>
          <cell r="B368">
            <v>1364</v>
          </cell>
          <cell r="D368" t="str">
            <v/>
          </cell>
          <cell r="F368" t="str">
            <v/>
          </cell>
          <cell r="J368">
            <v>0</v>
          </cell>
          <cell r="L368">
            <v>0</v>
          </cell>
          <cell r="M368">
            <v>0</v>
          </cell>
          <cell r="N368">
            <v>0</v>
          </cell>
          <cell r="O368" t="str">
            <v/>
          </cell>
          <cell r="S368" t="str">
            <v/>
          </cell>
          <cell r="T368" t="str">
            <v/>
          </cell>
        </row>
        <row r="369">
          <cell r="A369" t="str">
            <v/>
          </cell>
          <cell r="B369">
            <v>1365</v>
          </cell>
          <cell r="D369" t="str">
            <v/>
          </cell>
          <cell r="F369" t="str">
            <v/>
          </cell>
          <cell r="J369">
            <v>0</v>
          </cell>
          <cell r="L369">
            <v>0</v>
          </cell>
          <cell r="M369">
            <v>0</v>
          </cell>
          <cell r="N369">
            <v>0</v>
          </cell>
          <cell r="O369" t="str">
            <v/>
          </cell>
          <cell r="S369" t="str">
            <v/>
          </cell>
          <cell r="T369" t="str">
            <v/>
          </cell>
        </row>
        <row r="370">
          <cell r="A370" t="str">
            <v/>
          </cell>
          <cell r="B370">
            <v>1366</v>
          </cell>
          <cell r="D370" t="str">
            <v/>
          </cell>
          <cell r="F370" t="str">
            <v/>
          </cell>
          <cell r="J370">
            <v>0</v>
          </cell>
          <cell r="L370">
            <v>0</v>
          </cell>
          <cell r="M370">
            <v>0</v>
          </cell>
          <cell r="N370">
            <v>0</v>
          </cell>
          <cell r="O370" t="str">
            <v/>
          </cell>
          <cell r="S370" t="str">
            <v/>
          </cell>
          <cell r="T370" t="str">
            <v/>
          </cell>
        </row>
        <row r="371">
          <cell r="A371" t="str">
            <v/>
          </cell>
          <cell r="B371">
            <v>1367</v>
          </cell>
          <cell r="D371" t="str">
            <v/>
          </cell>
          <cell r="F371" t="str">
            <v/>
          </cell>
          <cell r="J371">
            <v>0</v>
          </cell>
          <cell r="L371">
            <v>0</v>
          </cell>
          <cell r="M371">
            <v>0</v>
          </cell>
          <cell r="N371">
            <v>0</v>
          </cell>
          <cell r="O371" t="str">
            <v/>
          </cell>
          <cell r="S371" t="str">
            <v/>
          </cell>
          <cell r="T371" t="str">
            <v/>
          </cell>
        </row>
        <row r="372">
          <cell r="A372" t="str">
            <v/>
          </cell>
          <cell r="B372">
            <v>1368</v>
          </cell>
          <cell r="D372" t="str">
            <v/>
          </cell>
          <cell r="F372" t="str">
            <v/>
          </cell>
          <cell r="J372">
            <v>0</v>
          </cell>
          <cell r="L372">
            <v>0</v>
          </cell>
          <cell r="M372">
            <v>0</v>
          </cell>
          <cell r="N372">
            <v>0</v>
          </cell>
          <cell r="O372" t="str">
            <v/>
          </cell>
          <cell r="S372" t="str">
            <v/>
          </cell>
          <cell r="T372" t="str">
            <v/>
          </cell>
        </row>
        <row r="373">
          <cell r="A373" t="str">
            <v/>
          </cell>
          <cell r="B373">
            <v>1369</v>
          </cell>
          <cell r="D373" t="str">
            <v/>
          </cell>
          <cell r="F373" t="str">
            <v/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O373" t="str">
            <v/>
          </cell>
          <cell r="S373" t="str">
            <v/>
          </cell>
          <cell r="T373" t="str">
            <v/>
          </cell>
        </row>
        <row r="374">
          <cell r="A374" t="str">
            <v/>
          </cell>
          <cell r="B374">
            <v>1370</v>
          </cell>
          <cell r="D374" t="str">
            <v/>
          </cell>
          <cell r="F374" t="str">
            <v/>
          </cell>
          <cell r="J374">
            <v>0</v>
          </cell>
          <cell r="L374">
            <v>0</v>
          </cell>
          <cell r="M374">
            <v>0</v>
          </cell>
          <cell r="N374">
            <v>0</v>
          </cell>
          <cell r="O374" t="str">
            <v/>
          </cell>
          <cell r="S374" t="str">
            <v/>
          </cell>
          <cell r="T374" t="str">
            <v/>
          </cell>
        </row>
        <row r="375">
          <cell r="A375" t="str">
            <v/>
          </cell>
          <cell r="B375">
            <v>1371</v>
          </cell>
          <cell r="D375" t="str">
            <v/>
          </cell>
          <cell r="F375" t="str">
            <v/>
          </cell>
          <cell r="J375">
            <v>0</v>
          </cell>
          <cell r="L375">
            <v>0</v>
          </cell>
          <cell r="M375">
            <v>0</v>
          </cell>
          <cell r="N375">
            <v>0</v>
          </cell>
          <cell r="O375" t="str">
            <v/>
          </cell>
          <cell r="S375" t="str">
            <v/>
          </cell>
          <cell r="T375" t="str">
            <v/>
          </cell>
        </row>
        <row r="376">
          <cell r="A376" t="str">
            <v/>
          </cell>
          <cell r="B376">
            <v>1372</v>
          </cell>
          <cell r="D376" t="str">
            <v/>
          </cell>
          <cell r="F376" t="str">
            <v/>
          </cell>
          <cell r="J376">
            <v>0</v>
          </cell>
          <cell r="L376">
            <v>0</v>
          </cell>
          <cell r="M376">
            <v>0</v>
          </cell>
          <cell r="N376">
            <v>0</v>
          </cell>
          <cell r="O376" t="str">
            <v/>
          </cell>
          <cell r="S376" t="str">
            <v/>
          </cell>
          <cell r="T376" t="str">
            <v/>
          </cell>
        </row>
        <row r="377">
          <cell r="A377" t="str">
            <v/>
          </cell>
          <cell r="B377">
            <v>1373</v>
          </cell>
          <cell r="D377" t="str">
            <v/>
          </cell>
          <cell r="F377" t="str">
            <v/>
          </cell>
          <cell r="J377">
            <v>0</v>
          </cell>
          <cell r="L377">
            <v>0</v>
          </cell>
          <cell r="M377">
            <v>0</v>
          </cell>
          <cell r="N377">
            <v>0</v>
          </cell>
          <cell r="O377" t="str">
            <v/>
          </cell>
          <cell r="S377" t="str">
            <v/>
          </cell>
          <cell r="T377" t="str">
            <v/>
          </cell>
        </row>
        <row r="378">
          <cell r="A378" t="str">
            <v/>
          </cell>
          <cell r="B378">
            <v>1374</v>
          </cell>
          <cell r="D378" t="str">
            <v/>
          </cell>
          <cell r="F378" t="str">
            <v/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O378" t="str">
            <v/>
          </cell>
          <cell r="S378" t="str">
            <v/>
          </cell>
          <cell r="T378" t="str">
            <v/>
          </cell>
        </row>
        <row r="379">
          <cell r="A379" t="str">
            <v/>
          </cell>
          <cell r="B379">
            <v>1375</v>
          </cell>
          <cell r="D379" t="str">
            <v/>
          </cell>
          <cell r="F379" t="str">
            <v/>
          </cell>
          <cell r="J379">
            <v>0</v>
          </cell>
          <cell r="L379">
            <v>0</v>
          </cell>
          <cell r="M379">
            <v>0</v>
          </cell>
          <cell r="N379">
            <v>0</v>
          </cell>
          <cell r="O379" t="str">
            <v/>
          </cell>
          <cell r="S379" t="str">
            <v/>
          </cell>
          <cell r="T379" t="str">
            <v/>
          </cell>
        </row>
        <row r="380">
          <cell r="A380" t="str">
            <v/>
          </cell>
          <cell r="B380">
            <v>1376</v>
          </cell>
          <cell r="D380" t="str">
            <v/>
          </cell>
          <cell r="F380" t="str">
            <v/>
          </cell>
          <cell r="J380">
            <v>0</v>
          </cell>
          <cell r="L380">
            <v>0</v>
          </cell>
          <cell r="M380">
            <v>0</v>
          </cell>
          <cell r="N380">
            <v>0</v>
          </cell>
          <cell r="O380" t="str">
            <v/>
          </cell>
          <cell r="S380" t="str">
            <v/>
          </cell>
          <cell r="T380" t="str">
            <v/>
          </cell>
        </row>
        <row r="381">
          <cell r="A381" t="str">
            <v/>
          </cell>
          <cell r="B381">
            <v>1377</v>
          </cell>
          <cell r="D381" t="str">
            <v/>
          </cell>
          <cell r="F381" t="str">
            <v/>
          </cell>
          <cell r="J381">
            <v>0</v>
          </cell>
          <cell r="L381">
            <v>0</v>
          </cell>
          <cell r="M381">
            <v>0</v>
          </cell>
          <cell r="N381">
            <v>0</v>
          </cell>
          <cell r="O381" t="str">
            <v/>
          </cell>
          <cell r="S381" t="str">
            <v/>
          </cell>
          <cell r="T381" t="str">
            <v/>
          </cell>
        </row>
        <row r="382">
          <cell r="A382" t="str">
            <v/>
          </cell>
          <cell r="B382">
            <v>1378</v>
          </cell>
          <cell r="D382" t="str">
            <v/>
          </cell>
          <cell r="F382" t="str">
            <v/>
          </cell>
          <cell r="J382">
            <v>0</v>
          </cell>
          <cell r="L382">
            <v>0</v>
          </cell>
          <cell r="M382">
            <v>0</v>
          </cell>
          <cell r="N382">
            <v>0</v>
          </cell>
          <cell r="O382" t="str">
            <v/>
          </cell>
          <cell r="S382" t="str">
            <v/>
          </cell>
          <cell r="T382" t="str">
            <v/>
          </cell>
        </row>
        <row r="383">
          <cell r="A383" t="str">
            <v/>
          </cell>
          <cell r="B383">
            <v>1379</v>
          </cell>
          <cell r="D383" t="str">
            <v/>
          </cell>
          <cell r="F383" t="str">
            <v/>
          </cell>
          <cell r="J383">
            <v>0</v>
          </cell>
          <cell r="L383">
            <v>0</v>
          </cell>
          <cell r="M383">
            <v>0</v>
          </cell>
          <cell r="N383">
            <v>0</v>
          </cell>
          <cell r="O383" t="str">
            <v/>
          </cell>
          <cell r="S383" t="str">
            <v/>
          </cell>
          <cell r="T383" t="str">
            <v/>
          </cell>
        </row>
        <row r="384">
          <cell r="A384" t="str">
            <v/>
          </cell>
          <cell r="B384">
            <v>1380</v>
          </cell>
          <cell r="D384" t="str">
            <v/>
          </cell>
          <cell r="F384" t="str">
            <v/>
          </cell>
          <cell r="J384">
            <v>0</v>
          </cell>
          <cell r="L384">
            <v>0</v>
          </cell>
          <cell r="M384">
            <v>0</v>
          </cell>
          <cell r="N384">
            <v>0</v>
          </cell>
          <cell r="O384" t="str">
            <v/>
          </cell>
          <cell r="S384" t="str">
            <v/>
          </cell>
          <cell r="T384" t="str">
            <v/>
          </cell>
        </row>
        <row r="385">
          <cell r="A385" t="str">
            <v/>
          </cell>
          <cell r="B385">
            <v>1381</v>
          </cell>
          <cell r="D385" t="str">
            <v/>
          </cell>
          <cell r="F385" t="str">
            <v/>
          </cell>
          <cell r="J385">
            <v>0</v>
          </cell>
          <cell r="L385">
            <v>0</v>
          </cell>
          <cell r="M385">
            <v>0</v>
          </cell>
          <cell r="N385">
            <v>0</v>
          </cell>
          <cell r="O385" t="str">
            <v/>
          </cell>
          <cell r="S385" t="str">
            <v/>
          </cell>
          <cell r="T385" t="str">
            <v/>
          </cell>
        </row>
        <row r="386">
          <cell r="A386" t="str">
            <v/>
          </cell>
          <cell r="B386">
            <v>1382</v>
          </cell>
          <cell r="D386" t="str">
            <v/>
          </cell>
          <cell r="F386" t="str">
            <v/>
          </cell>
          <cell r="J386">
            <v>0</v>
          </cell>
          <cell r="L386">
            <v>0</v>
          </cell>
          <cell r="M386">
            <v>0</v>
          </cell>
          <cell r="N386">
            <v>0</v>
          </cell>
          <cell r="O386" t="str">
            <v/>
          </cell>
          <cell r="S386" t="str">
            <v/>
          </cell>
          <cell r="T386" t="str">
            <v/>
          </cell>
        </row>
        <row r="387">
          <cell r="A387" t="str">
            <v/>
          </cell>
          <cell r="B387">
            <v>1383</v>
          </cell>
          <cell r="D387" t="str">
            <v/>
          </cell>
          <cell r="F387" t="str">
            <v/>
          </cell>
          <cell r="J387">
            <v>0</v>
          </cell>
          <cell r="L387">
            <v>0</v>
          </cell>
          <cell r="M387">
            <v>0</v>
          </cell>
          <cell r="N387">
            <v>0</v>
          </cell>
          <cell r="O387" t="str">
            <v/>
          </cell>
          <cell r="S387" t="str">
            <v/>
          </cell>
          <cell r="T387" t="str">
            <v/>
          </cell>
        </row>
        <row r="388">
          <cell r="A388" t="str">
            <v/>
          </cell>
          <cell r="B388">
            <v>1384</v>
          </cell>
          <cell r="D388" t="str">
            <v/>
          </cell>
          <cell r="F388" t="str">
            <v/>
          </cell>
          <cell r="J388">
            <v>0</v>
          </cell>
          <cell r="L388">
            <v>0</v>
          </cell>
          <cell r="M388">
            <v>0</v>
          </cell>
          <cell r="N388">
            <v>0</v>
          </cell>
          <cell r="O388" t="str">
            <v/>
          </cell>
          <cell r="S388" t="str">
            <v/>
          </cell>
          <cell r="T388" t="str">
            <v/>
          </cell>
        </row>
        <row r="389">
          <cell r="A389" t="str">
            <v/>
          </cell>
          <cell r="B389">
            <v>1385</v>
          </cell>
          <cell r="D389" t="str">
            <v/>
          </cell>
          <cell r="F389" t="str">
            <v/>
          </cell>
          <cell r="J389">
            <v>0</v>
          </cell>
          <cell r="L389">
            <v>0</v>
          </cell>
          <cell r="M389">
            <v>0</v>
          </cell>
          <cell r="N389">
            <v>0</v>
          </cell>
          <cell r="O389" t="str">
            <v/>
          </cell>
          <cell r="S389" t="str">
            <v/>
          </cell>
          <cell r="T389" t="str">
            <v/>
          </cell>
        </row>
        <row r="390">
          <cell r="A390" t="str">
            <v/>
          </cell>
          <cell r="B390">
            <v>1386</v>
          </cell>
          <cell r="D390" t="str">
            <v/>
          </cell>
          <cell r="F390" t="str">
            <v/>
          </cell>
          <cell r="J390">
            <v>0</v>
          </cell>
          <cell r="L390">
            <v>0</v>
          </cell>
          <cell r="M390">
            <v>0</v>
          </cell>
          <cell r="N390">
            <v>0</v>
          </cell>
          <cell r="O390" t="str">
            <v/>
          </cell>
          <cell r="S390" t="str">
            <v/>
          </cell>
          <cell r="T390" t="str">
            <v/>
          </cell>
        </row>
        <row r="391">
          <cell r="A391" t="str">
            <v/>
          </cell>
          <cell r="B391">
            <v>1387</v>
          </cell>
          <cell r="D391" t="str">
            <v/>
          </cell>
          <cell r="F391" t="str">
            <v/>
          </cell>
          <cell r="J391">
            <v>0</v>
          </cell>
          <cell r="L391">
            <v>0</v>
          </cell>
          <cell r="M391">
            <v>0</v>
          </cell>
          <cell r="N391">
            <v>0</v>
          </cell>
          <cell r="O391" t="str">
            <v/>
          </cell>
          <cell r="S391" t="str">
            <v/>
          </cell>
          <cell r="T391" t="str">
            <v/>
          </cell>
        </row>
        <row r="392">
          <cell r="A392" t="str">
            <v/>
          </cell>
          <cell r="B392">
            <v>1388</v>
          </cell>
          <cell r="D392" t="str">
            <v/>
          </cell>
          <cell r="F392" t="str">
            <v/>
          </cell>
          <cell r="J392">
            <v>0</v>
          </cell>
          <cell r="L392">
            <v>0</v>
          </cell>
          <cell r="M392">
            <v>0</v>
          </cell>
          <cell r="N392">
            <v>0</v>
          </cell>
          <cell r="O392" t="str">
            <v/>
          </cell>
          <cell r="S392" t="str">
            <v/>
          </cell>
          <cell r="T392" t="str">
            <v/>
          </cell>
        </row>
        <row r="393">
          <cell r="A393" t="str">
            <v/>
          </cell>
          <cell r="B393">
            <v>1389</v>
          </cell>
          <cell r="D393" t="str">
            <v/>
          </cell>
          <cell r="F393" t="str">
            <v/>
          </cell>
          <cell r="J393">
            <v>0</v>
          </cell>
          <cell r="L393">
            <v>0</v>
          </cell>
          <cell r="M393">
            <v>0</v>
          </cell>
          <cell r="N393">
            <v>0</v>
          </cell>
          <cell r="O393" t="str">
            <v/>
          </cell>
          <cell r="S393" t="str">
            <v/>
          </cell>
          <cell r="T393" t="str">
            <v/>
          </cell>
        </row>
        <row r="394">
          <cell r="A394" t="str">
            <v/>
          </cell>
          <cell r="B394">
            <v>1390</v>
          </cell>
          <cell r="D394" t="str">
            <v/>
          </cell>
          <cell r="F394" t="str">
            <v/>
          </cell>
          <cell r="J394">
            <v>0</v>
          </cell>
          <cell r="L394">
            <v>0</v>
          </cell>
          <cell r="M394">
            <v>0</v>
          </cell>
          <cell r="N394">
            <v>0</v>
          </cell>
          <cell r="O394" t="str">
            <v/>
          </cell>
          <cell r="S394" t="str">
            <v/>
          </cell>
          <cell r="T394" t="str">
            <v/>
          </cell>
        </row>
        <row r="395">
          <cell r="A395" t="str">
            <v/>
          </cell>
          <cell r="B395">
            <v>1391</v>
          </cell>
          <cell r="D395" t="str">
            <v/>
          </cell>
          <cell r="F395" t="str">
            <v/>
          </cell>
          <cell r="J395">
            <v>0</v>
          </cell>
          <cell r="L395">
            <v>0</v>
          </cell>
          <cell r="M395">
            <v>0</v>
          </cell>
          <cell r="N395">
            <v>0</v>
          </cell>
          <cell r="O395" t="str">
            <v/>
          </cell>
          <cell r="S395" t="str">
            <v/>
          </cell>
          <cell r="T395" t="str">
            <v/>
          </cell>
        </row>
        <row r="396">
          <cell r="A396" t="str">
            <v/>
          </cell>
          <cell r="B396">
            <v>1392</v>
          </cell>
          <cell r="D396" t="str">
            <v/>
          </cell>
          <cell r="F396" t="str">
            <v/>
          </cell>
          <cell r="J396">
            <v>0</v>
          </cell>
          <cell r="L396">
            <v>0</v>
          </cell>
          <cell r="M396">
            <v>0</v>
          </cell>
          <cell r="N396">
            <v>0</v>
          </cell>
          <cell r="O396" t="str">
            <v/>
          </cell>
          <cell r="S396" t="str">
            <v/>
          </cell>
          <cell r="T396" t="str">
            <v/>
          </cell>
        </row>
        <row r="397">
          <cell r="A397" t="str">
            <v/>
          </cell>
          <cell r="B397">
            <v>1393</v>
          </cell>
          <cell r="D397" t="str">
            <v/>
          </cell>
          <cell r="F397" t="str">
            <v/>
          </cell>
          <cell r="J397">
            <v>0</v>
          </cell>
          <cell r="L397">
            <v>0</v>
          </cell>
          <cell r="M397">
            <v>0</v>
          </cell>
          <cell r="N397">
            <v>0</v>
          </cell>
          <cell r="O397" t="str">
            <v/>
          </cell>
          <cell r="S397" t="str">
            <v/>
          </cell>
          <cell r="T397" t="str">
            <v/>
          </cell>
        </row>
        <row r="398">
          <cell r="A398" t="str">
            <v/>
          </cell>
          <cell r="B398">
            <v>1394</v>
          </cell>
          <cell r="D398" t="str">
            <v/>
          </cell>
          <cell r="F398" t="str">
            <v/>
          </cell>
          <cell r="J398">
            <v>0</v>
          </cell>
          <cell r="L398">
            <v>0</v>
          </cell>
          <cell r="M398">
            <v>0</v>
          </cell>
          <cell r="N398">
            <v>0</v>
          </cell>
          <cell r="O398" t="str">
            <v/>
          </cell>
          <cell r="S398" t="str">
            <v/>
          </cell>
          <cell r="T398" t="str">
            <v/>
          </cell>
        </row>
        <row r="399">
          <cell r="A399" t="str">
            <v/>
          </cell>
          <cell r="B399">
            <v>1395</v>
          </cell>
          <cell r="D399" t="str">
            <v/>
          </cell>
          <cell r="F399" t="str">
            <v/>
          </cell>
          <cell r="J399">
            <v>0</v>
          </cell>
          <cell r="L399">
            <v>0</v>
          </cell>
          <cell r="M399">
            <v>0</v>
          </cell>
          <cell r="N399">
            <v>0</v>
          </cell>
          <cell r="O399" t="str">
            <v/>
          </cell>
          <cell r="S399" t="str">
            <v/>
          </cell>
          <cell r="T399" t="str">
            <v/>
          </cell>
        </row>
        <row r="400">
          <cell r="A400" t="str">
            <v/>
          </cell>
          <cell r="B400">
            <v>1396</v>
          </cell>
          <cell r="D400" t="str">
            <v/>
          </cell>
          <cell r="F400" t="str">
            <v/>
          </cell>
          <cell r="J400">
            <v>0</v>
          </cell>
          <cell r="L400">
            <v>0</v>
          </cell>
          <cell r="M400">
            <v>0</v>
          </cell>
          <cell r="N400">
            <v>0</v>
          </cell>
          <cell r="O400" t="str">
            <v/>
          </cell>
          <cell r="S400" t="str">
            <v/>
          </cell>
          <cell r="T400" t="str">
            <v/>
          </cell>
        </row>
        <row r="401">
          <cell r="A401" t="str">
            <v/>
          </cell>
          <cell r="B401">
            <v>1397</v>
          </cell>
          <cell r="D401" t="str">
            <v/>
          </cell>
          <cell r="F401" t="str">
            <v/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  <cell r="O401" t="str">
            <v/>
          </cell>
          <cell r="S401" t="str">
            <v/>
          </cell>
          <cell r="T401" t="str">
            <v/>
          </cell>
        </row>
        <row r="402">
          <cell r="A402" t="str">
            <v/>
          </cell>
          <cell r="B402">
            <v>1398</v>
          </cell>
          <cell r="D402" t="str">
            <v/>
          </cell>
          <cell r="F402" t="str">
            <v/>
          </cell>
          <cell r="J402">
            <v>0</v>
          </cell>
          <cell r="L402">
            <v>0</v>
          </cell>
          <cell r="M402">
            <v>0</v>
          </cell>
          <cell r="N402">
            <v>0</v>
          </cell>
          <cell r="O402" t="str">
            <v/>
          </cell>
          <cell r="S402" t="str">
            <v/>
          </cell>
          <cell r="T402" t="str">
            <v/>
          </cell>
        </row>
        <row r="403">
          <cell r="A403" t="str">
            <v/>
          </cell>
          <cell r="B403">
            <v>1399</v>
          </cell>
          <cell r="D403" t="str">
            <v/>
          </cell>
          <cell r="F403" t="str">
            <v/>
          </cell>
          <cell r="J403">
            <v>0</v>
          </cell>
          <cell r="L403">
            <v>0</v>
          </cell>
          <cell r="M403">
            <v>0</v>
          </cell>
          <cell r="N403">
            <v>0</v>
          </cell>
          <cell r="O403" t="str">
            <v/>
          </cell>
          <cell r="S403" t="str">
            <v/>
          </cell>
          <cell r="T403" t="str">
            <v/>
          </cell>
        </row>
        <row r="404">
          <cell r="A404" t="str">
            <v/>
          </cell>
          <cell r="B404">
            <v>1400</v>
          </cell>
          <cell r="D404" t="str">
            <v/>
          </cell>
          <cell r="F404" t="str">
            <v/>
          </cell>
          <cell r="J404">
            <v>0</v>
          </cell>
          <cell r="L404">
            <v>0</v>
          </cell>
          <cell r="M404">
            <v>0</v>
          </cell>
          <cell r="N404">
            <v>0</v>
          </cell>
          <cell r="O404" t="str">
            <v/>
          </cell>
          <cell r="S404" t="str">
            <v/>
          </cell>
          <cell r="T404" t="str">
            <v/>
          </cell>
        </row>
        <row r="405">
          <cell r="A405" t="str">
            <v/>
          </cell>
          <cell r="B405">
            <v>1401</v>
          </cell>
          <cell r="D405" t="str">
            <v/>
          </cell>
          <cell r="F405" t="str">
            <v/>
          </cell>
          <cell r="J405">
            <v>0</v>
          </cell>
          <cell r="L405">
            <v>0</v>
          </cell>
          <cell r="M405">
            <v>0</v>
          </cell>
          <cell r="N405">
            <v>0</v>
          </cell>
          <cell r="O405" t="str">
            <v/>
          </cell>
          <cell r="S405" t="str">
            <v/>
          </cell>
          <cell r="T405" t="str">
            <v/>
          </cell>
        </row>
        <row r="406">
          <cell r="A406" t="str">
            <v/>
          </cell>
          <cell r="B406">
            <v>1402</v>
          </cell>
          <cell r="D406" t="str">
            <v/>
          </cell>
          <cell r="F406" t="str">
            <v/>
          </cell>
          <cell r="J406">
            <v>0</v>
          </cell>
          <cell r="L406">
            <v>0</v>
          </cell>
          <cell r="M406">
            <v>0</v>
          </cell>
          <cell r="N406">
            <v>0</v>
          </cell>
          <cell r="O406" t="str">
            <v/>
          </cell>
          <cell r="S406" t="str">
            <v/>
          </cell>
          <cell r="T406" t="str">
            <v/>
          </cell>
        </row>
        <row r="407">
          <cell r="A407" t="str">
            <v/>
          </cell>
          <cell r="B407">
            <v>1403</v>
          </cell>
          <cell r="D407" t="str">
            <v/>
          </cell>
          <cell r="F407" t="str">
            <v/>
          </cell>
          <cell r="J407">
            <v>0</v>
          </cell>
          <cell r="L407">
            <v>0</v>
          </cell>
          <cell r="M407">
            <v>0</v>
          </cell>
          <cell r="N407">
            <v>0</v>
          </cell>
          <cell r="O407" t="str">
            <v/>
          </cell>
          <cell r="S407" t="str">
            <v/>
          </cell>
          <cell r="T407" t="str">
            <v/>
          </cell>
        </row>
        <row r="408">
          <cell r="A408" t="str">
            <v/>
          </cell>
          <cell r="B408">
            <v>1404</v>
          </cell>
          <cell r="D408" t="str">
            <v/>
          </cell>
          <cell r="F408" t="str">
            <v/>
          </cell>
          <cell r="J408">
            <v>0</v>
          </cell>
          <cell r="L408">
            <v>0</v>
          </cell>
          <cell r="M408">
            <v>0</v>
          </cell>
          <cell r="N408">
            <v>0</v>
          </cell>
          <cell r="O408" t="str">
            <v/>
          </cell>
          <cell r="S408" t="str">
            <v/>
          </cell>
          <cell r="T408" t="str">
            <v/>
          </cell>
        </row>
        <row r="409">
          <cell r="A409" t="str">
            <v/>
          </cell>
          <cell r="B409">
            <v>1405</v>
          </cell>
          <cell r="D409" t="str">
            <v/>
          </cell>
          <cell r="F409" t="str">
            <v/>
          </cell>
          <cell r="J409">
            <v>0</v>
          </cell>
          <cell r="L409">
            <v>0</v>
          </cell>
          <cell r="M409">
            <v>0</v>
          </cell>
          <cell r="N409">
            <v>0</v>
          </cell>
          <cell r="O409" t="str">
            <v/>
          </cell>
          <cell r="S409" t="str">
            <v/>
          </cell>
          <cell r="T409" t="str">
            <v/>
          </cell>
        </row>
        <row r="410">
          <cell r="A410" t="str">
            <v/>
          </cell>
          <cell r="B410">
            <v>1406</v>
          </cell>
          <cell r="D410" t="str">
            <v/>
          </cell>
          <cell r="F410" t="str">
            <v/>
          </cell>
          <cell r="J410">
            <v>0</v>
          </cell>
          <cell r="L410">
            <v>0</v>
          </cell>
          <cell r="M410">
            <v>0</v>
          </cell>
          <cell r="N410">
            <v>0</v>
          </cell>
          <cell r="O410" t="str">
            <v/>
          </cell>
          <cell r="S410" t="str">
            <v/>
          </cell>
          <cell r="T410" t="str">
            <v/>
          </cell>
        </row>
        <row r="411">
          <cell r="A411" t="str">
            <v/>
          </cell>
          <cell r="B411">
            <v>1407</v>
          </cell>
          <cell r="D411" t="str">
            <v/>
          </cell>
          <cell r="F411" t="str">
            <v/>
          </cell>
          <cell r="J411">
            <v>0</v>
          </cell>
          <cell r="L411">
            <v>0</v>
          </cell>
          <cell r="M411">
            <v>0</v>
          </cell>
          <cell r="N411">
            <v>0</v>
          </cell>
          <cell r="O411" t="str">
            <v/>
          </cell>
          <cell r="S411" t="str">
            <v/>
          </cell>
          <cell r="T411" t="str">
            <v/>
          </cell>
        </row>
        <row r="412">
          <cell r="A412" t="str">
            <v/>
          </cell>
          <cell r="B412">
            <v>1408</v>
          </cell>
          <cell r="D412" t="str">
            <v/>
          </cell>
          <cell r="F412" t="str">
            <v/>
          </cell>
          <cell r="J412">
            <v>0</v>
          </cell>
          <cell r="L412">
            <v>0</v>
          </cell>
          <cell r="M412">
            <v>0</v>
          </cell>
          <cell r="N412">
            <v>0</v>
          </cell>
          <cell r="O412" t="str">
            <v/>
          </cell>
          <cell r="S412" t="str">
            <v/>
          </cell>
          <cell r="T412" t="str">
            <v/>
          </cell>
        </row>
        <row r="413">
          <cell r="A413" t="str">
            <v/>
          </cell>
          <cell r="B413">
            <v>1409</v>
          </cell>
          <cell r="D413" t="str">
            <v/>
          </cell>
          <cell r="F413" t="str">
            <v/>
          </cell>
          <cell r="J413">
            <v>0</v>
          </cell>
          <cell r="L413">
            <v>0</v>
          </cell>
          <cell r="M413">
            <v>0</v>
          </cell>
          <cell r="N413">
            <v>0</v>
          </cell>
          <cell r="O413" t="str">
            <v/>
          </cell>
          <cell r="S413" t="str">
            <v/>
          </cell>
          <cell r="T413" t="str">
            <v/>
          </cell>
        </row>
        <row r="414">
          <cell r="A414" t="str">
            <v/>
          </cell>
          <cell r="B414">
            <v>1410</v>
          </cell>
          <cell r="D414" t="str">
            <v/>
          </cell>
          <cell r="F414" t="str">
            <v/>
          </cell>
          <cell r="J414">
            <v>0</v>
          </cell>
          <cell r="L414">
            <v>0</v>
          </cell>
          <cell r="M414">
            <v>0</v>
          </cell>
          <cell r="N414">
            <v>0</v>
          </cell>
          <cell r="O414" t="str">
            <v/>
          </cell>
          <cell r="S414" t="str">
            <v/>
          </cell>
          <cell r="T414" t="str">
            <v/>
          </cell>
        </row>
        <row r="415">
          <cell r="A415" t="str">
            <v/>
          </cell>
          <cell r="B415">
            <v>1411</v>
          </cell>
          <cell r="D415" t="str">
            <v/>
          </cell>
          <cell r="F415" t="str">
            <v/>
          </cell>
          <cell r="J415">
            <v>0</v>
          </cell>
          <cell r="L415">
            <v>0</v>
          </cell>
          <cell r="M415">
            <v>0</v>
          </cell>
          <cell r="N415">
            <v>0</v>
          </cell>
          <cell r="O415" t="str">
            <v/>
          </cell>
          <cell r="S415" t="str">
            <v/>
          </cell>
          <cell r="T415" t="str">
            <v/>
          </cell>
        </row>
        <row r="416">
          <cell r="A416" t="str">
            <v/>
          </cell>
          <cell r="B416">
            <v>1412</v>
          </cell>
          <cell r="D416" t="str">
            <v/>
          </cell>
          <cell r="F416" t="str">
            <v/>
          </cell>
          <cell r="J416">
            <v>0</v>
          </cell>
          <cell r="L416">
            <v>0</v>
          </cell>
          <cell r="M416">
            <v>0</v>
          </cell>
          <cell r="N416">
            <v>0</v>
          </cell>
          <cell r="O416" t="str">
            <v/>
          </cell>
          <cell r="S416" t="str">
            <v/>
          </cell>
          <cell r="T416" t="str">
            <v/>
          </cell>
        </row>
        <row r="417">
          <cell r="A417" t="str">
            <v/>
          </cell>
          <cell r="B417">
            <v>1413</v>
          </cell>
          <cell r="D417" t="str">
            <v/>
          </cell>
          <cell r="F417" t="str">
            <v/>
          </cell>
          <cell r="J417">
            <v>0</v>
          </cell>
          <cell r="L417">
            <v>0</v>
          </cell>
          <cell r="M417">
            <v>0</v>
          </cell>
          <cell r="N417">
            <v>0</v>
          </cell>
          <cell r="O417" t="str">
            <v/>
          </cell>
          <cell r="S417" t="str">
            <v/>
          </cell>
          <cell r="T417" t="str">
            <v/>
          </cell>
        </row>
        <row r="418">
          <cell r="A418" t="str">
            <v/>
          </cell>
          <cell r="B418">
            <v>1414</v>
          </cell>
          <cell r="D418" t="str">
            <v/>
          </cell>
          <cell r="F418" t="str">
            <v/>
          </cell>
          <cell r="J418">
            <v>0</v>
          </cell>
          <cell r="L418">
            <v>0</v>
          </cell>
          <cell r="M418">
            <v>0</v>
          </cell>
          <cell r="N418">
            <v>0</v>
          </cell>
          <cell r="O418" t="str">
            <v/>
          </cell>
          <cell r="S418" t="str">
            <v/>
          </cell>
          <cell r="T418" t="str">
            <v/>
          </cell>
        </row>
        <row r="419">
          <cell r="A419" t="str">
            <v/>
          </cell>
          <cell r="B419">
            <v>1415</v>
          </cell>
          <cell r="D419" t="str">
            <v/>
          </cell>
          <cell r="F419" t="str">
            <v/>
          </cell>
          <cell r="J419">
            <v>0</v>
          </cell>
          <cell r="L419">
            <v>0</v>
          </cell>
          <cell r="M419">
            <v>0</v>
          </cell>
          <cell r="N419">
            <v>0</v>
          </cell>
          <cell r="O419" t="str">
            <v/>
          </cell>
          <cell r="S419" t="str">
            <v/>
          </cell>
          <cell r="T419" t="str">
            <v/>
          </cell>
        </row>
        <row r="420">
          <cell r="A420" t="str">
            <v/>
          </cell>
          <cell r="B420">
            <v>1416</v>
          </cell>
          <cell r="D420" t="str">
            <v/>
          </cell>
          <cell r="F420" t="str">
            <v/>
          </cell>
          <cell r="J420">
            <v>0</v>
          </cell>
          <cell r="L420">
            <v>0</v>
          </cell>
          <cell r="M420">
            <v>0</v>
          </cell>
          <cell r="N420">
            <v>0</v>
          </cell>
          <cell r="O420" t="str">
            <v/>
          </cell>
          <cell r="S420" t="str">
            <v/>
          </cell>
          <cell r="T420" t="str">
            <v/>
          </cell>
        </row>
        <row r="421">
          <cell r="A421" t="str">
            <v/>
          </cell>
          <cell r="B421">
            <v>1417</v>
          </cell>
          <cell r="D421" t="str">
            <v/>
          </cell>
          <cell r="F421" t="str">
            <v/>
          </cell>
          <cell r="J421">
            <v>0</v>
          </cell>
          <cell r="L421">
            <v>0</v>
          </cell>
          <cell r="M421">
            <v>0</v>
          </cell>
          <cell r="N421">
            <v>0</v>
          </cell>
          <cell r="O421" t="str">
            <v/>
          </cell>
          <cell r="S421" t="str">
            <v/>
          </cell>
          <cell r="T421" t="str">
            <v/>
          </cell>
        </row>
        <row r="422">
          <cell r="A422" t="str">
            <v/>
          </cell>
          <cell r="B422">
            <v>1418</v>
          </cell>
          <cell r="D422" t="str">
            <v/>
          </cell>
          <cell r="F422" t="str">
            <v/>
          </cell>
          <cell r="J422">
            <v>0</v>
          </cell>
          <cell r="L422">
            <v>0</v>
          </cell>
          <cell r="M422">
            <v>0</v>
          </cell>
          <cell r="N422">
            <v>0</v>
          </cell>
          <cell r="O422" t="str">
            <v/>
          </cell>
          <cell r="S422" t="str">
            <v/>
          </cell>
          <cell r="T422" t="str">
            <v/>
          </cell>
        </row>
        <row r="423">
          <cell r="A423" t="str">
            <v/>
          </cell>
          <cell r="B423">
            <v>1419</v>
          </cell>
          <cell r="D423" t="str">
            <v/>
          </cell>
          <cell r="F423" t="str">
            <v/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  <cell r="O423" t="str">
            <v/>
          </cell>
          <cell r="S423" t="str">
            <v/>
          </cell>
          <cell r="T423" t="str">
            <v/>
          </cell>
        </row>
        <row r="424">
          <cell r="A424" t="str">
            <v/>
          </cell>
          <cell r="B424">
            <v>1420</v>
          </cell>
          <cell r="D424" t="str">
            <v/>
          </cell>
          <cell r="F424" t="str">
            <v/>
          </cell>
          <cell r="J424">
            <v>0</v>
          </cell>
          <cell r="L424">
            <v>0</v>
          </cell>
          <cell r="M424">
            <v>0</v>
          </cell>
          <cell r="N424">
            <v>0</v>
          </cell>
          <cell r="O424" t="str">
            <v/>
          </cell>
          <cell r="S424" t="str">
            <v/>
          </cell>
          <cell r="T424" t="str">
            <v/>
          </cell>
        </row>
        <row r="425">
          <cell r="A425" t="str">
            <v/>
          </cell>
          <cell r="B425">
            <v>1421</v>
          </cell>
          <cell r="D425" t="str">
            <v/>
          </cell>
          <cell r="F425" t="str">
            <v/>
          </cell>
          <cell r="J425">
            <v>0</v>
          </cell>
          <cell r="L425">
            <v>0</v>
          </cell>
          <cell r="M425">
            <v>0</v>
          </cell>
          <cell r="N425">
            <v>0</v>
          </cell>
          <cell r="O425" t="str">
            <v/>
          </cell>
          <cell r="S425" t="str">
            <v/>
          </cell>
          <cell r="T425" t="str">
            <v/>
          </cell>
        </row>
        <row r="426">
          <cell r="A426" t="str">
            <v/>
          </cell>
          <cell r="B426">
            <v>1422</v>
          </cell>
          <cell r="D426" t="str">
            <v/>
          </cell>
          <cell r="F426" t="str">
            <v/>
          </cell>
          <cell r="J426">
            <v>0</v>
          </cell>
          <cell r="L426">
            <v>0</v>
          </cell>
          <cell r="M426">
            <v>0</v>
          </cell>
          <cell r="N426">
            <v>0</v>
          </cell>
          <cell r="O426" t="str">
            <v/>
          </cell>
          <cell r="S426" t="str">
            <v/>
          </cell>
          <cell r="T426" t="str">
            <v/>
          </cell>
        </row>
        <row r="427">
          <cell r="A427" t="str">
            <v/>
          </cell>
          <cell r="B427">
            <v>1423</v>
          </cell>
          <cell r="D427" t="str">
            <v/>
          </cell>
          <cell r="F427" t="str">
            <v/>
          </cell>
          <cell r="J427">
            <v>0</v>
          </cell>
          <cell r="L427">
            <v>0</v>
          </cell>
          <cell r="M427">
            <v>0</v>
          </cell>
          <cell r="N427">
            <v>0</v>
          </cell>
          <cell r="O427" t="str">
            <v/>
          </cell>
          <cell r="S427" t="str">
            <v/>
          </cell>
          <cell r="T427" t="str">
            <v/>
          </cell>
        </row>
        <row r="428">
          <cell r="A428" t="str">
            <v/>
          </cell>
          <cell r="B428">
            <v>1424</v>
          </cell>
          <cell r="D428" t="str">
            <v/>
          </cell>
          <cell r="F428" t="str">
            <v/>
          </cell>
          <cell r="J428">
            <v>0</v>
          </cell>
          <cell r="L428">
            <v>0</v>
          </cell>
          <cell r="M428">
            <v>0</v>
          </cell>
          <cell r="N428">
            <v>0</v>
          </cell>
          <cell r="O428" t="str">
            <v/>
          </cell>
          <cell r="S428" t="str">
            <v/>
          </cell>
          <cell r="T428" t="str">
            <v/>
          </cell>
        </row>
        <row r="429">
          <cell r="A429" t="str">
            <v/>
          </cell>
          <cell r="B429">
            <v>1425</v>
          </cell>
          <cell r="D429" t="str">
            <v/>
          </cell>
          <cell r="F429" t="str">
            <v/>
          </cell>
          <cell r="J429">
            <v>0</v>
          </cell>
          <cell r="L429">
            <v>0</v>
          </cell>
          <cell r="M429">
            <v>0</v>
          </cell>
          <cell r="N429">
            <v>0</v>
          </cell>
          <cell r="O429" t="str">
            <v/>
          </cell>
          <cell r="S429" t="str">
            <v/>
          </cell>
          <cell r="T429" t="str">
            <v/>
          </cell>
        </row>
        <row r="430">
          <cell r="A430" t="str">
            <v/>
          </cell>
          <cell r="B430">
            <v>1426</v>
          </cell>
          <cell r="D430" t="str">
            <v/>
          </cell>
          <cell r="F430" t="str">
            <v/>
          </cell>
          <cell r="J430">
            <v>0</v>
          </cell>
          <cell r="L430">
            <v>0</v>
          </cell>
          <cell r="M430">
            <v>0</v>
          </cell>
          <cell r="N430">
            <v>0</v>
          </cell>
          <cell r="O430" t="str">
            <v/>
          </cell>
          <cell r="S430" t="str">
            <v/>
          </cell>
          <cell r="T430" t="str">
            <v/>
          </cell>
        </row>
        <row r="431">
          <cell r="A431" t="str">
            <v/>
          </cell>
          <cell r="B431">
            <v>1427</v>
          </cell>
          <cell r="D431" t="str">
            <v/>
          </cell>
          <cell r="F431" t="str">
            <v/>
          </cell>
          <cell r="J431">
            <v>0</v>
          </cell>
          <cell r="L431">
            <v>0</v>
          </cell>
          <cell r="M431">
            <v>0</v>
          </cell>
          <cell r="N431">
            <v>0</v>
          </cell>
          <cell r="O431" t="str">
            <v/>
          </cell>
          <cell r="S431" t="str">
            <v/>
          </cell>
          <cell r="T431" t="str">
            <v/>
          </cell>
        </row>
        <row r="432">
          <cell r="A432" t="str">
            <v/>
          </cell>
          <cell r="B432">
            <v>1428</v>
          </cell>
          <cell r="D432" t="str">
            <v/>
          </cell>
          <cell r="F432" t="str">
            <v/>
          </cell>
          <cell r="J432">
            <v>0</v>
          </cell>
          <cell r="L432">
            <v>0</v>
          </cell>
          <cell r="M432">
            <v>0</v>
          </cell>
          <cell r="N432">
            <v>0</v>
          </cell>
          <cell r="O432" t="str">
            <v/>
          </cell>
          <cell r="S432" t="str">
            <v/>
          </cell>
          <cell r="T432" t="str">
            <v/>
          </cell>
        </row>
        <row r="433">
          <cell r="A433" t="str">
            <v/>
          </cell>
          <cell r="B433">
            <v>1429</v>
          </cell>
          <cell r="D433" t="str">
            <v/>
          </cell>
          <cell r="F433" t="str">
            <v/>
          </cell>
          <cell r="J433">
            <v>0</v>
          </cell>
          <cell r="L433">
            <v>0</v>
          </cell>
          <cell r="M433">
            <v>0</v>
          </cell>
          <cell r="N433">
            <v>0</v>
          </cell>
          <cell r="O433" t="str">
            <v/>
          </cell>
          <cell r="S433" t="str">
            <v/>
          </cell>
          <cell r="T433" t="str">
            <v/>
          </cell>
        </row>
        <row r="434">
          <cell r="A434" t="str">
            <v/>
          </cell>
          <cell r="B434">
            <v>1430</v>
          </cell>
          <cell r="D434" t="str">
            <v/>
          </cell>
          <cell r="F434" t="str">
            <v/>
          </cell>
          <cell r="J434">
            <v>0</v>
          </cell>
          <cell r="L434">
            <v>0</v>
          </cell>
          <cell r="M434">
            <v>0</v>
          </cell>
          <cell r="N434">
            <v>0</v>
          </cell>
          <cell r="O434" t="str">
            <v/>
          </cell>
          <cell r="S434" t="str">
            <v/>
          </cell>
          <cell r="T434" t="str">
            <v/>
          </cell>
        </row>
        <row r="435">
          <cell r="A435" t="str">
            <v/>
          </cell>
          <cell r="B435">
            <v>1431</v>
          </cell>
          <cell r="D435" t="str">
            <v/>
          </cell>
          <cell r="F435" t="str">
            <v/>
          </cell>
          <cell r="J435">
            <v>0</v>
          </cell>
          <cell r="L435">
            <v>0</v>
          </cell>
          <cell r="M435">
            <v>0</v>
          </cell>
          <cell r="N435">
            <v>0</v>
          </cell>
          <cell r="O435" t="str">
            <v/>
          </cell>
          <cell r="S435" t="str">
            <v/>
          </cell>
          <cell r="T435" t="str">
            <v/>
          </cell>
        </row>
        <row r="436">
          <cell r="A436" t="str">
            <v/>
          </cell>
          <cell r="B436">
            <v>1432</v>
          </cell>
          <cell r="D436" t="str">
            <v/>
          </cell>
          <cell r="F436" t="str">
            <v/>
          </cell>
          <cell r="J436">
            <v>0</v>
          </cell>
          <cell r="L436">
            <v>0</v>
          </cell>
          <cell r="M436">
            <v>0</v>
          </cell>
          <cell r="N436">
            <v>0</v>
          </cell>
          <cell r="O436" t="str">
            <v/>
          </cell>
          <cell r="S436" t="str">
            <v/>
          </cell>
          <cell r="T436" t="str">
            <v/>
          </cell>
        </row>
        <row r="437">
          <cell r="A437" t="str">
            <v/>
          </cell>
          <cell r="B437">
            <v>1433</v>
          </cell>
          <cell r="D437" t="str">
            <v/>
          </cell>
          <cell r="F437" t="str">
            <v/>
          </cell>
          <cell r="J437">
            <v>0</v>
          </cell>
          <cell r="L437">
            <v>0</v>
          </cell>
          <cell r="M437">
            <v>0</v>
          </cell>
          <cell r="N437">
            <v>0</v>
          </cell>
          <cell r="O437" t="str">
            <v/>
          </cell>
          <cell r="S437" t="str">
            <v/>
          </cell>
          <cell r="T437" t="str">
            <v/>
          </cell>
        </row>
        <row r="438">
          <cell r="A438" t="str">
            <v/>
          </cell>
          <cell r="B438">
            <v>1434</v>
          </cell>
          <cell r="D438" t="str">
            <v/>
          </cell>
          <cell r="F438" t="str">
            <v/>
          </cell>
          <cell r="J438">
            <v>0</v>
          </cell>
          <cell r="L438">
            <v>0</v>
          </cell>
          <cell r="M438">
            <v>0</v>
          </cell>
          <cell r="N438">
            <v>0</v>
          </cell>
          <cell r="O438" t="str">
            <v/>
          </cell>
          <cell r="S438" t="str">
            <v/>
          </cell>
          <cell r="T438" t="str">
            <v/>
          </cell>
        </row>
        <row r="439">
          <cell r="A439" t="str">
            <v/>
          </cell>
          <cell r="B439">
            <v>1435</v>
          </cell>
          <cell r="D439" t="str">
            <v/>
          </cell>
          <cell r="F439" t="str">
            <v/>
          </cell>
          <cell r="J439">
            <v>0</v>
          </cell>
          <cell r="L439">
            <v>0</v>
          </cell>
          <cell r="M439">
            <v>0</v>
          </cell>
          <cell r="N439">
            <v>0</v>
          </cell>
          <cell r="O439" t="str">
            <v/>
          </cell>
          <cell r="S439" t="str">
            <v/>
          </cell>
          <cell r="T439" t="str">
            <v/>
          </cell>
        </row>
        <row r="440">
          <cell r="A440" t="str">
            <v/>
          </cell>
          <cell r="B440">
            <v>1436</v>
          </cell>
          <cell r="D440" t="str">
            <v/>
          </cell>
          <cell r="F440" t="str">
            <v/>
          </cell>
          <cell r="J440">
            <v>0</v>
          </cell>
          <cell r="L440">
            <v>0</v>
          </cell>
          <cell r="M440">
            <v>0</v>
          </cell>
          <cell r="N440">
            <v>0</v>
          </cell>
          <cell r="O440" t="str">
            <v/>
          </cell>
          <cell r="S440" t="str">
            <v/>
          </cell>
          <cell r="T440" t="str">
            <v/>
          </cell>
        </row>
        <row r="441">
          <cell r="A441" t="str">
            <v/>
          </cell>
          <cell r="B441">
            <v>1437</v>
          </cell>
          <cell r="D441" t="str">
            <v/>
          </cell>
          <cell r="F441" t="str">
            <v/>
          </cell>
          <cell r="J441">
            <v>0</v>
          </cell>
          <cell r="L441">
            <v>0</v>
          </cell>
          <cell r="M441">
            <v>0</v>
          </cell>
          <cell r="N441">
            <v>0</v>
          </cell>
          <cell r="O441" t="str">
            <v/>
          </cell>
          <cell r="S441" t="str">
            <v/>
          </cell>
          <cell r="T441" t="str">
            <v/>
          </cell>
        </row>
        <row r="442">
          <cell r="A442" t="str">
            <v/>
          </cell>
          <cell r="B442">
            <v>1438</v>
          </cell>
          <cell r="D442" t="str">
            <v/>
          </cell>
          <cell r="F442" t="str">
            <v/>
          </cell>
          <cell r="J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/>
          </cell>
          <cell r="S442" t="str">
            <v/>
          </cell>
          <cell r="T442" t="str">
            <v/>
          </cell>
        </row>
        <row r="443">
          <cell r="A443" t="str">
            <v/>
          </cell>
          <cell r="B443">
            <v>1439</v>
          </cell>
          <cell r="D443" t="str">
            <v/>
          </cell>
          <cell r="F443" t="str">
            <v/>
          </cell>
          <cell r="J443">
            <v>0</v>
          </cell>
          <cell r="L443">
            <v>0</v>
          </cell>
          <cell r="M443">
            <v>0</v>
          </cell>
          <cell r="N443">
            <v>0</v>
          </cell>
          <cell r="O443" t="str">
            <v/>
          </cell>
          <cell r="S443" t="str">
            <v/>
          </cell>
          <cell r="T443" t="str">
            <v/>
          </cell>
        </row>
        <row r="444">
          <cell r="A444" t="str">
            <v/>
          </cell>
          <cell r="B444">
            <v>1440</v>
          </cell>
          <cell r="D444" t="str">
            <v/>
          </cell>
          <cell r="F444" t="str">
            <v/>
          </cell>
          <cell r="J444">
            <v>0</v>
          </cell>
          <cell r="L444">
            <v>0</v>
          </cell>
          <cell r="M444">
            <v>0</v>
          </cell>
          <cell r="N444">
            <v>0</v>
          </cell>
          <cell r="O444" t="str">
            <v/>
          </cell>
          <cell r="S444" t="str">
            <v/>
          </cell>
          <cell r="T444" t="str">
            <v/>
          </cell>
        </row>
        <row r="445">
          <cell r="A445" t="str">
            <v/>
          </cell>
          <cell r="B445">
            <v>1441</v>
          </cell>
          <cell r="D445" t="str">
            <v/>
          </cell>
          <cell r="F445" t="str">
            <v/>
          </cell>
          <cell r="J445">
            <v>0</v>
          </cell>
          <cell r="L445">
            <v>0</v>
          </cell>
          <cell r="M445">
            <v>0</v>
          </cell>
          <cell r="N445">
            <v>0</v>
          </cell>
          <cell r="O445" t="str">
            <v/>
          </cell>
          <cell r="S445" t="str">
            <v/>
          </cell>
          <cell r="T445" t="str">
            <v/>
          </cell>
        </row>
        <row r="446">
          <cell r="A446" t="str">
            <v/>
          </cell>
          <cell r="B446">
            <v>1442</v>
          </cell>
          <cell r="D446" t="str">
            <v/>
          </cell>
          <cell r="F446" t="str">
            <v/>
          </cell>
          <cell r="J446">
            <v>0</v>
          </cell>
          <cell r="L446">
            <v>0</v>
          </cell>
          <cell r="M446">
            <v>0</v>
          </cell>
          <cell r="N446">
            <v>0</v>
          </cell>
          <cell r="O446" t="str">
            <v/>
          </cell>
          <cell r="S446" t="str">
            <v/>
          </cell>
          <cell r="T446" t="str">
            <v/>
          </cell>
        </row>
        <row r="447">
          <cell r="A447" t="str">
            <v/>
          </cell>
          <cell r="B447">
            <v>1443</v>
          </cell>
          <cell r="D447" t="str">
            <v/>
          </cell>
          <cell r="F447" t="str">
            <v/>
          </cell>
          <cell r="J447">
            <v>0</v>
          </cell>
          <cell r="L447">
            <v>0</v>
          </cell>
          <cell r="M447">
            <v>0</v>
          </cell>
          <cell r="N447">
            <v>0</v>
          </cell>
          <cell r="O447" t="str">
            <v/>
          </cell>
          <cell r="S447" t="str">
            <v/>
          </cell>
          <cell r="T447" t="str">
            <v/>
          </cell>
        </row>
        <row r="448">
          <cell r="A448" t="str">
            <v/>
          </cell>
          <cell r="B448">
            <v>1444</v>
          </cell>
          <cell r="D448" t="str">
            <v/>
          </cell>
          <cell r="F448" t="str">
            <v/>
          </cell>
          <cell r="J448">
            <v>0</v>
          </cell>
          <cell r="L448">
            <v>0</v>
          </cell>
          <cell r="M448">
            <v>0</v>
          </cell>
          <cell r="N448">
            <v>0</v>
          </cell>
          <cell r="O448" t="str">
            <v/>
          </cell>
          <cell r="S448" t="str">
            <v/>
          </cell>
          <cell r="T448" t="str">
            <v/>
          </cell>
        </row>
        <row r="449">
          <cell r="A449" t="str">
            <v/>
          </cell>
          <cell r="B449">
            <v>1445</v>
          </cell>
          <cell r="D449" t="str">
            <v/>
          </cell>
          <cell r="F449" t="str">
            <v/>
          </cell>
          <cell r="J449">
            <v>0</v>
          </cell>
          <cell r="L449">
            <v>0</v>
          </cell>
          <cell r="M449">
            <v>0</v>
          </cell>
          <cell r="N449">
            <v>0</v>
          </cell>
          <cell r="O449" t="str">
            <v/>
          </cell>
          <cell r="S449" t="str">
            <v/>
          </cell>
          <cell r="T449" t="str">
            <v/>
          </cell>
        </row>
        <row r="450">
          <cell r="A450" t="str">
            <v/>
          </cell>
          <cell r="B450">
            <v>1446</v>
          </cell>
          <cell r="D450" t="str">
            <v/>
          </cell>
          <cell r="F450" t="str">
            <v/>
          </cell>
          <cell r="J450">
            <v>0</v>
          </cell>
          <cell r="L450">
            <v>0</v>
          </cell>
          <cell r="M450">
            <v>0</v>
          </cell>
          <cell r="N450">
            <v>0</v>
          </cell>
          <cell r="O450" t="str">
            <v/>
          </cell>
          <cell r="S450" t="str">
            <v/>
          </cell>
          <cell r="T450" t="str">
            <v/>
          </cell>
        </row>
        <row r="451">
          <cell r="A451" t="str">
            <v/>
          </cell>
          <cell r="B451">
            <v>1447</v>
          </cell>
          <cell r="D451" t="str">
            <v/>
          </cell>
          <cell r="F451" t="str">
            <v/>
          </cell>
          <cell r="J451">
            <v>0</v>
          </cell>
          <cell r="L451">
            <v>0</v>
          </cell>
          <cell r="M451">
            <v>0</v>
          </cell>
          <cell r="N451">
            <v>0</v>
          </cell>
          <cell r="O451" t="str">
            <v/>
          </cell>
          <cell r="S451" t="str">
            <v/>
          </cell>
          <cell r="T451" t="str">
            <v/>
          </cell>
        </row>
        <row r="452">
          <cell r="A452" t="str">
            <v/>
          </cell>
          <cell r="B452">
            <v>1448</v>
          </cell>
          <cell r="D452" t="str">
            <v/>
          </cell>
          <cell r="F452" t="str">
            <v/>
          </cell>
          <cell r="J452">
            <v>0</v>
          </cell>
          <cell r="L452">
            <v>0</v>
          </cell>
          <cell r="M452">
            <v>0</v>
          </cell>
          <cell r="N452">
            <v>0</v>
          </cell>
          <cell r="O452" t="str">
            <v/>
          </cell>
          <cell r="S452" t="str">
            <v/>
          </cell>
          <cell r="T452" t="str">
            <v/>
          </cell>
        </row>
        <row r="453">
          <cell r="A453" t="str">
            <v/>
          </cell>
          <cell r="B453">
            <v>1449</v>
          </cell>
          <cell r="D453" t="str">
            <v/>
          </cell>
          <cell r="F453" t="str">
            <v/>
          </cell>
          <cell r="J453">
            <v>0</v>
          </cell>
          <cell r="L453">
            <v>0</v>
          </cell>
          <cell r="M453">
            <v>0</v>
          </cell>
          <cell r="N453">
            <v>0</v>
          </cell>
          <cell r="O453" t="str">
            <v/>
          </cell>
          <cell r="S453" t="str">
            <v/>
          </cell>
          <cell r="T453" t="str">
            <v/>
          </cell>
        </row>
        <row r="454">
          <cell r="A454" t="str">
            <v/>
          </cell>
          <cell r="B454">
            <v>1450</v>
          </cell>
          <cell r="D454" t="str">
            <v/>
          </cell>
          <cell r="F454" t="str">
            <v/>
          </cell>
          <cell r="J454">
            <v>0</v>
          </cell>
          <cell r="L454">
            <v>0</v>
          </cell>
          <cell r="M454">
            <v>0</v>
          </cell>
          <cell r="N454">
            <v>0</v>
          </cell>
          <cell r="O454" t="str">
            <v/>
          </cell>
          <cell r="S454" t="str">
            <v/>
          </cell>
          <cell r="T454" t="str">
            <v/>
          </cell>
        </row>
        <row r="455">
          <cell r="A455" t="str">
            <v/>
          </cell>
          <cell r="B455">
            <v>1451</v>
          </cell>
          <cell r="D455" t="str">
            <v/>
          </cell>
          <cell r="F455" t="str">
            <v/>
          </cell>
          <cell r="J455">
            <v>0</v>
          </cell>
          <cell r="L455">
            <v>0</v>
          </cell>
          <cell r="M455">
            <v>0</v>
          </cell>
          <cell r="N455">
            <v>0</v>
          </cell>
          <cell r="O455" t="str">
            <v/>
          </cell>
          <cell r="S455" t="str">
            <v/>
          </cell>
          <cell r="T455" t="str">
            <v/>
          </cell>
        </row>
        <row r="456">
          <cell r="A456" t="str">
            <v/>
          </cell>
          <cell r="B456">
            <v>1452</v>
          </cell>
          <cell r="D456" t="str">
            <v/>
          </cell>
          <cell r="F456" t="str">
            <v/>
          </cell>
          <cell r="J456">
            <v>0</v>
          </cell>
          <cell r="L456">
            <v>0</v>
          </cell>
          <cell r="M456">
            <v>0</v>
          </cell>
          <cell r="N456">
            <v>0</v>
          </cell>
          <cell r="O456" t="str">
            <v/>
          </cell>
          <cell r="S456" t="str">
            <v/>
          </cell>
          <cell r="T456" t="str">
            <v/>
          </cell>
        </row>
        <row r="457">
          <cell r="A457" t="str">
            <v/>
          </cell>
          <cell r="B457">
            <v>1453</v>
          </cell>
          <cell r="D457" t="str">
            <v/>
          </cell>
          <cell r="F457" t="str">
            <v/>
          </cell>
          <cell r="J457">
            <v>0</v>
          </cell>
          <cell r="L457">
            <v>0</v>
          </cell>
          <cell r="M457">
            <v>0</v>
          </cell>
          <cell r="N457">
            <v>0</v>
          </cell>
          <cell r="O457" t="str">
            <v/>
          </cell>
          <cell r="S457" t="str">
            <v/>
          </cell>
          <cell r="T457" t="str">
            <v/>
          </cell>
        </row>
        <row r="458">
          <cell r="A458" t="str">
            <v/>
          </cell>
          <cell r="B458">
            <v>1454</v>
          </cell>
          <cell r="D458" t="str">
            <v/>
          </cell>
          <cell r="F458" t="str">
            <v/>
          </cell>
          <cell r="J458">
            <v>0</v>
          </cell>
          <cell r="L458">
            <v>0</v>
          </cell>
          <cell r="M458">
            <v>0</v>
          </cell>
          <cell r="N458">
            <v>0</v>
          </cell>
          <cell r="O458" t="str">
            <v/>
          </cell>
          <cell r="S458" t="str">
            <v/>
          </cell>
          <cell r="T458" t="str">
            <v/>
          </cell>
        </row>
        <row r="459">
          <cell r="A459" t="str">
            <v/>
          </cell>
          <cell r="B459">
            <v>1455</v>
          </cell>
          <cell r="D459" t="str">
            <v/>
          </cell>
          <cell r="F459" t="str">
            <v/>
          </cell>
          <cell r="J459">
            <v>0</v>
          </cell>
          <cell r="L459">
            <v>0</v>
          </cell>
          <cell r="M459">
            <v>0</v>
          </cell>
          <cell r="N459">
            <v>0</v>
          </cell>
          <cell r="O459" t="str">
            <v/>
          </cell>
          <cell r="S459" t="str">
            <v/>
          </cell>
          <cell r="T459" t="str">
            <v/>
          </cell>
        </row>
        <row r="460">
          <cell r="A460" t="str">
            <v/>
          </cell>
          <cell r="B460">
            <v>1456</v>
          </cell>
          <cell r="D460" t="str">
            <v/>
          </cell>
          <cell r="F460" t="str">
            <v/>
          </cell>
          <cell r="J460">
            <v>0</v>
          </cell>
          <cell r="L460">
            <v>0</v>
          </cell>
          <cell r="M460">
            <v>0</v>
          </cell>
          <cell r="N460">
            <v>0</v>
          </cell>
          <cell r="O460" t="str">
            <v/>
          </cell>
          <cell r="S460" t="str">
            <v/>
          </cell>
          <cell r="T460" t="str">
            <v/>
          </cell>
        </row>
        <row r="461">
          <cell r="A461" t="str">
            <v/>
          </cell>
          <cell r="B461">
            <v>1457</v>
          </cell>
          <cell r="D461" t="str">
            <v/>
          </cell>
          <cell r="F461" t="str">
            <v/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  <cell r="O461" t="str">
            <v/>
          </cell>
          <cell r="S461" t="str">
            <v/>
          </cell>
          <cell r="T461" t="str">
            <v/>
          </cell>
        </row>
        <row r="462">
          <cell r="A462" t="str">
            <v/>
          </cell>
          <cell r="B462">
            <v>1458</v>
          </cell>
          <cell r="D462" t="str">
            <v/>
          </cell>
          <cell r="F462" t="str">
            <v/>
          </cell>
          <cell r="J462">
            <v>0</v>
          </cell>
          <cell r="L462">
            <v>0</v>
          </cell>
          <cell r="M462">
            <v>0</v>
          </cell>
          <cell r="N462">
            <v>0</v>
          </cell>
          <cell r="O462" t="str">
            <v/>
          </cell>
          <cell r="S462" t="str">
            <v/>
          </cell>
          <cell r="T462" t="str">
            <v/>
          </cell>
        </row>
        <row r="463">
          <cell r="A463" t="str">
            <v/>
          </cell>
          <cell r="B463">
            <v>1459</v>
          </cell>
          <cell r="D463" t="str">
            <v/>
          </cell>
          <cell r="F463" t="str">
            <v/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  <cell r="O463" t="str">
            <v/>
          </cell>
          <cell r="S463" t="str">
            <v/>
          </cell>
          <cell r="T463" t="str">
            <v/>
          </cell>
        </row>
        <row r="464">
          <cell r="A464" t="str">
            <v/>
          </cell>
          <cell r="B464">
            <v>1460</v>
          </cell>
          <cell r="D464" t="str">
            <v/>
          </cell>
          <cell r="F464" t="str">
            <v/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  <cell r="O464" t="str">
            <v/>
          </cell>
          <cell r="S464" t="str">
            <v/>
          </cell>
          <cell r="T464" t="str">
            <v/>
          </cell>
        </row>
        <row r="465">
          <cell r="A465" t="str">
            <v/>
          </cell>
          <cell r="B465">
            <v>1461</v>
          </cell>
          <cell r="D465" t="str">
            <v/>
          </cell>
          <cell r="F465" t="str">
            <v/>
          </cell>
          <cell r="J465">
            <v>0</v>
          </cell>
          <cell r="L465">
            <v>0</v>
          </cell>
          <cell r="M465">
            <v>0</v>
          </cell>
          <cell r="N465">
            <v>0</v>
          </cell>
          <cell r="O465" t="str">
            <v/>
          </cell>
          <cell r="S465" t="str">
            <v/>
          </cell>
          <cell r="T465" t="str">
            <v/>
          </cell>
        </row>
        <row r="466">
          <cell r="A466" t="str">
            <v/>
          </cell>
          <cell r="B466">
            <v>1462</v>
          </cell>
          <cell r="D466" t="str">
            <v/>
          </cell>
          <cell r="F466" t="str">
            <v/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  <cell r="O466" t="str">
            <v/>
          </cell>
          <cell r="S466" t="str">
            <v/>
          </cell>
          <cell r="T466" t="str">
            <v/>
          </cell>
        </row>
        <row r="467">
          <cell r="A467" t="str">
            <v/>
          </cell>
          <cell r="B467">
            <v>1463</v>
          </cell>
          <cell r="D467" t="str">
            <v/>
          </cell>
          <cell r="F467" t="str">
            <v/>
          </cell>
          <cell r="J467">
            <v>0</v>
          </cell>
          <cell r="L467">
            <v>0</v>
          </cell>
          <cell r="M467">
            <v>0</v>
          </cell>
          <cell r="N467">
            <v>0</v>
          </cell>
          <cell r="O467" t="str">
            <v/>
          </cell>
          <cell r="S467" t="str">
            <v/>
          </cell>
          <cell r="T467" t="str">
            <v/>
          </cell>
        </row>
        <row r="468">
          <cell r="A468" t="str">
            <v/>
          </cell>
          <cell r="B468">
            <v>1464</v>
          </cell>
          <cell r="D468" t="str">
            <v/>
          </cell>
          <cell r="F468" t="str">
            <v/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  <cell r="O468" t="str">
            <v/>
          </cell>
          <cell r="S468" t="str">
            <v/>
          </cell>
          <cell r="T468" t="str">
            <v/>
          </cell>
        </row>
        <row r="469">
          <cell r="A469" t="str">
            <v/>
          </cell>
          <cell r="B469">
            <v>1465</v>
          </cell>
          <cell r="D469" t="str">
            <v/>
          </cell>
          <cell r="F469" t="str">
            <v/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  <cell r="O469" t="str">
            <v/>
          </cell>
          <cell r="S469" t="str">
            <v/>
          </cell>
          <cell r="T469" t="str">
            <v/>
          </cell>
        </row>
        <row r="470">
          <cell r="A470" t="str">
            <v/>
          </cell>
          <cell r="B470">
            <v>1466</v>
          </cell>
          <cell r="D470" t="str">
            <v/>
          </cell>
          <cell r="F470" t="str">
            <v/>
          </cell>
          <cell r="J470">
            <v>0</v>
          </cell>
          <cell r="L470">
            <v>0</v>
          </cell>
          <cell r="M470">
            <v>0</v>
          </cell>
          <cell r="N470">
            <v>0</v>
          </cell>
          <cell r="O470" t="str">
            <v/>
          </cell>
          <cell r="S470" t="str">
            <v/>
          </cell>
          <cell r="T470" t="str">
            <v/>
          </cell>
        </row>
        <row r="471">
          <cell r="A471" t="str">
            <v/>
          </cell>
          <cell r="B471">
            <v>1467</v>
          </cell>
          <cell r="D471" t="str">
            <v/>
          </cell>
          <cell r="F471" t="str">
            <v/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  <cell r="O471" t="str">
            <v/>
          </cell>
          <cell r="S471" t="str">
            <v/>
          </cell>
          <cell r="T471" t="str">
            <v/>
          </cell>
        </row>
        <row r="472">
          <cell r="A472" t="str">
            <v/>
          </cell>
          <cell r="B472">
            <v>1468</v>
          </cell>
          <cell r="D472" t="str">
            <v/>
          </cell>
          <cell r="F472" t="str">
            <v/>
          </cell>
          <cell r="J472">
            <v>0</v>
          </cell>
          <cell r="L472">
            <v>0</v>
          </cell>
          <cell r="M472">
            <v>0</v>
          </cell>
          <cell r="N472">
            <v>0</v>
          </cell>
          <cell r="O472" t="str">
            <v/>
          </cell>
          <cell r="S472" t="str">
            <v/>
          </cell>
          <cell r="T472" t="str">
            <v/>
          </cell>
        </row>
        <row r="473">
          <cell r="A473" t="str">
            <v/>
          </cell>
          <cell r="B473">
            <v>1469</v>
          </cell>
          <cell r="D473" t="str">
            <v/>
          </cell>
          <cell r="F473" t="str">
            <v/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  <cell r="O473" t="str">
            <v/>
          </cell>
          <cell r="S473" t="str">
            <v/>
          </cell>
          <cell r="T473" t="str">
            <v/>
          </cell>
        </row>
        <row r="474">
          <cell r="A474" t="str">
            <v/>
          </cell>
          <cell r="B474">
            <v>1470</v>
          </cell>
          <cell r="D474" t="str">
            <v/>
          </cell>
          <cell r="F474" t="str">
            <v/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  <cell r="O474" t="str">
            <v/>
          </cell>
          <cell r="S474" t="str">
            <v/>
          </cell>
          <cell r="T474" t="str">
            <v/>
          </cell>
        </row>
        <row r="475">
          <cell r="A475" t="str">
            <v/>
          </cell>
          <cell r="B475">
            <v>1471</v>
          </cell>
          <cell r="D475" t="str">
            <v/>
          </cell>
          <cell r="F475" t="str">
            <v/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  <cell r="O475" t="str">
            <v/>
          </cell>
          <cell r="S475" t="str">
            <v/>
          </cell>
          <cell r="T475" t="str">
            <v/>
          </cell>
        </row>
        <row r="476">
          <cell r="A476" t="str">
            <v/>
          </cell>
          <cell r="B476">
            <v>1472</v>
          </cell>
          <cell r="D476" t="str">
            <v/>
          </cell>
          <cell r="F476" t="str">
            <v/>
          </cell>
          <cell r="J476">
            <v>0</v>
          </cell>
          <cell r="L476">
            <v>0</v>
          </cell>
          <cell r="M476">
            <v>0</v>
          </cell>
          <cell r="N476">
            <v>0</v>
          </cell>
          <cell r="O476" t="str">
            <v/>
          </cell>
          <cell r="S476" t="str">
            <v/>
          </cell>
          <cell r="T476" t="str">
            <v/>
          </cell>
        </row>
        <row r="477">
          <cell r="A477" t="str">
            <v/>
          </cell>
          <cell r="B477">
            <v>1473</v>
          </cell>
          <cell r="D477" t="str">
            <v/>
          </cell>
          <cell r="F477" t="str">
            <v/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  <cell r="O477" t="str">
            <v/>
          </cell>
          <cell r="S477" t="str">
            <v/>
          </cell>
          <cell r="T477" t="str">
            <v/>
          </cell>
        </row>
        <row r="478">
          <cell r="A478" t="str">
            <v/>
          </cell>
          <cell r="B478">
            <v>1474</v>
          </cell>
          <cell r="D478" t="str">
            <v/>
          </cell>
          <cell r="F478" t="str">
            <v/>
          </cell>
          <cell r="J478">
            <v>0</v>
          </cell>
          <cell r="L478">
            <v>0</v>
          </cell>
          <cell r="M478">
            <v>0</v>
          </cell>
          <cell r="N478">
            <v>0</v>
          </cell>
          <cell r="O478" t="str">
            <v/>
          </cell>
          <cell r="S478" t="str">
            <v/>
          </cell>
          <cell r="T478" t="str">
            <v/>
          </cell>
        </row>
        <row r="479">
          <cell r="A479" t="str">
            <v/>
          </cell>
          <cell r="B479">
            <v>1475</v>
          </cell>
          <cell r="D479" t="str">
            <v/>
          </cell>
          <cell r="F479" t="str">
            <v/>
          </cell>
          <cell r="J479">
            <v>0</v>
          </cell>
          <cell r="L479">
            <v>0</v>
          </cell>
          <cell r="M479">
            <v>0</v>
          </cell>
          <cell r="N479">
            <v>0</v>
          </cell>
          <cell r="O479" t="str">
            <v/>
          </cell>
          <cell r="S479" t="str">
            <v/>
          </cell>
          <cell r="T479" t="str">
            <v/>
          </cell>
        </row>
        <row r="480">
          <cell r="A480" t="str">
            <v/>
          </cell>
          <cell r="B480">
            <v>1476</v>
          </cell>
          <cell r="D480" t="str">
            <v/>
          </cell>
          <cell r="F480" t="str">
            <v/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  <cell r="O480" t="str">
            <v/>
          </cell>
          <cell r="S480" t="str">
            <v/>
          </cell>
          <cell r="T480" t="str">
            <v/>
          </cell>
        </row>
        <row r="481">
          <cell r="A481" t="str">
            <v/>
          </cell>
          <cell r="B481">
            <v>1477</v>
          </cell>
          <cell r="D481" t="str">
            <v/>
          </cell>
          <cell r="F481" t="str">
            <v/>
          </cell>
          <cell r="J481">
            <v>0</v>
          </cell>
          <cell r="L481">
            <v>0</v>
          </cell>
          <cell r="M481">
            <v>0</v>
          </cell>
          <cell r="N481">
            <v>0</v>
          </cell>
          <cell r="O481" t="str">
            <v/>
          </cell>
          <cell r="S481" t="str">
            <v/>
          </cell>
          <cell r="T481" t="str">
            <v/>
          </cell>
        </row>
        <row r="482">
          <cell r="A482" t="str">
            <v/>
          </cell>
          <cell r="B482">
            <v>1478</v>
          </cell>
          <cell r="D482" t="str">
            <v/>
          </cell>
          <cell r="F482" t="str">
            <v/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  <cell r="O482" t="str">
            <v/>
          </cell>
          <cell r="S482" t="str">
            <v/>
          </cell>
          <cell r="T482" t="str">
            <v/>
          </cell>
        </row>
        <row r="483">
          <cell r="A483" t="str">
            <v/>
          </cell>
          <cell r="B483">
            <v>1479</v>
          </cell>
          <cell r="D483" t="str">
            <v/>
          </cell>
          <cell r="F483" t="str">
            <v/>
          </cell>
          <cell r="J483">
            <v>0</v>
          </cell>
          <cell r="L483">
            <v>0</v>
          </cell>
          <cell r="M483">
            <v>0</v>
          </cell>
          <cell r="N483">
            <v>0</v>
          </cell>
          <cell r="O483" t="str">
            <v/>
          </cell>
          <cell r="S483" t="str">
            <v/>
          </cell>
          <cell r="T483" t="str">
            <v/>
          </cell>
        </row>
        <row r="484">
          <cell r="A484" t="str">
            <v/>
          </cell>
          <cell r="B484">
            <v>1480</v>
          </cell>
          <cell r="D484" t="str">
            <v/>
          </cell>
          <cell r="F484" t="str">
            <v/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  <cell r="O484" t="str">
            <v/>
          </cell>
          <cell r="S484" t="str">
            <v/>
          </cell>
          <cell r="T484" t="str">
            <v/>
          </cell>
        </row>
        <row r="485">
          <cell r="A485" t="str">
            <v/>
          </cell>
          <cell r="B485">
            <v>1481</v>
          </cell>
          <cell r="D485" t="str">
            <v/>
          </cell>
          <cell r="F485" t="str">
            <v/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  <cell r="O485" t="str">
            <v/>
          </cell>
          <cell r="S485" t="str">
            <v/>
          </cell>
          <cell r="T485" t="str">
            <v/>
          </cell>
        </row>
        <row r="486">
          <cell r="A486" t="str">
            <v/>
          </cell>
          <cell r="B486">
            <v>1482</v>
          </cell>
          <cell r="D486" t="str">
            <v/>
          </cell>
          <cell r="F486" t="str">
            <v/>
          </cell>
          <cell r="J486">
            <v>0</v>
          </cell>
          <cell r="L486">
            <v>0</v>
          </cell>
          <cell r="M486">
            <v>0</v>
          </cell>
          <cell r="N486">
            <v>0</v>
          </cell>
          <cell r="O486" t="str">
            <v/>
          </cell>
          <cell r="S486" t="str">
            <v/>
          </cell>
          <cell r="T486" t="str">
            <v/>
          </cell>
        </row>
        <row r="487">
          <cell r="A487" t="str">
            <v/>
          </cell>
          <cell r="B487">
            <v>1483</v>
          </cell>
          <cell r="D487" t="str">
            <v/>
          </cell>
          <cell r="F487" t="str">
            <v/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  <cell r="O487" t="str">
            <v/>
          </cell>
          <cell r="S487" t="str">
            <v/>
          </cell>
          <cell r="T487" t="str">
            <v/>
          </cell>
        </row>
        <row r="488">
          <cell r="A488" t="str">
            <v/>
          </cell>
          <cell r="B488">
            <v>1484</v>
          </cell>
          <cell r="D488" t="str">
            <v/>
          </cell>
          <cell r="F488" t="str">
            <v/>
          </cell>
          <cell r="J488">
            <v>0</v>
          </cell>
          <cell r="L488">
            <v>0</v>
          </cell>
          <cell r="M488">
            <v>0</v>
          </cell>
          <cell r="N488">
            <v>0</v>
          </cell>
          <cell r="O488" t="str">
            <v/>
          </cell>
          <cell r="S488" t="str">
            <v/>
          </cell>
          <cell r="T488" t="str">
            <v/>
          </cell>
        </row>
        <row r="489">
          <cell r="A489" t="str">
            <v/>
          </cell>
          <cell r="B489">
            <v>1485</v>
          </cell>
          <cell r="D489" t="str">
            <v/>
          </cell>
          <cell r="F489" t="str">
            <v/>
          </cell>
          <cell r="J489">
            <v>0</v>
          </cell>
          <cell r="L489">
            <v>0</v>
          </cell>
          <cell r="M489">
            <v>0</v>
          </cell>
          <cell r="N489">
            <v>0</v>
          </cell>
          <cell r="O489" t="str">
            <v/>
          </cell>
          <cell r="S489" t="str">
            <v/>
          </cell>
          <cell r="T489" t="str">
            <v/>
          </cell>
        </row>
        <row r="490">
          <cell r="A490" t="str">
            <v/>
          </cell>
          <cell r="B490">
            <v>1486</v>
          </cell>
          <cell r="D490" t="str">
            <v/>
          </cell>
          <cell r="F490" t="str">
            <v/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  <cell r="O490" t="str">
            <v/>
          </cell>
          <cell r="S490" t="str">
            <v/>
          </cell>
          <cell r="T490" t="str">
            <v/>
          </cell>
        </row>
        <row r="491">
          <cell r="A491" t="str">
            <v/>
          </cell>
          <cell r="B491">
            <v>1487</v>
          </cell>
          <cell r="D491" t="str">
            <v/>
          </cell>
          <cell r="F491" t="str">
            <v/>
          </cell>
          <cell r="J491">
            <v>0</v>
          </cell>
          <cell r="L491">
            <v>0</v>
          </cell>
          <cell r="M491">
            <v>0</v>
          </cell>
          <cell r="N491">
            <v>0</v>
          </cell>
          <cell r="O491" t="str">
            <v/>
          </cell>
          <cell r="S491" t="str">
            <v/>
          </cell>
          <cell r="T491" t="str">
            <v/>
          </cell>
        </row>
        <row r="492">
          <cell r="A492" t="str">
            <v/>
          </cell>
          <cell r="B492">
            <v>1488</v>
          </cell>
          <cell r="D492" t="str">
            <v/>
          </cell>
          <cell r="F492" t="str">
            <v/>
          </cell>
          <cell r="J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/>
          </cell>
          <cell r="S492" t="str">
            <v/>
          </cell>
          <cell r="T492" t="str">
            <v/>
          </cell>
        </row>
        <row r="493">
          <cell r="A493" t="str">
            <v/>
          </cell>
          <cell r="B493">
            <v>1489</v>
          </cell>
          <cell r="D493" t="str">
            <v/>
          </cell>
          <cell r="F493" t="str">
            <v/>
          </cell>
          <cell r="J493">
            <v>0</v>
          </cell>
          <cell r="L493">
            <v>0</v>
          </cell>
          <cell r="M493">
            <v>0</v>
          </cell>
          <cell r="N493">
            <v>0</v>
          </cell>
          <cell r="O493" t="str">
            <v/>
          </cell>
          <cell r="S493" t="str">
            <v/>
          </cell>
          <cell r="T493" t="str">
            <v/>
          </cell>
        </row>
        <row r="494">
          <cell r="A494" t="str">
            <v/>
          </cell>
          <cell r="B494">
            <v>1490</v>
          </cell>
          <cell r="D494" t="str">
            <v/>
          </cell>
          <cell r="F494" t="str">
            <v/>
          </cell>
          <cell r="J494">
            <v>0</v>
          </cell>
          <cell r="L494">
            <v>0</v>
          </cell>
          <cell r="M494">
            <v>0</v>
          </cell>
          <cell r="N494">
            <v>0</v>
          </cell>
          <cell r="O494" t="str">
            <v/>
          </cell>
          <cell r="S494" t="str">
            <v/>
          </cell>
          <cell r="T494" t="str">
            <v/>
          </cell>
        </row>
        <row r="495">
          <cell r="A495" t="str">
            <v/>
          </cell>
          <cell r="B495">
            <v>1491</v>
          </cell>
          <cell r="D495" t="str">
            <v/>
          </cell>
          <cell r="F495" t="str">
            <v/>
          </cell>
          <cell r="J495">
            <v>0</v>
          </cell>
          <cell r="L495">
            <v>0</v>
          </cell>
          <cell r="M495">
            <v>0</v>
          </cell>
          <cell r="N495">
            <v>0</v>
          </cell>
          <cell r="O495" t="str">
            <v/>
          </cell>
          <cell r="S495" t="str">
            <v/>
          </cell>
          <cell r="T495" t="str">
            <v/>
          </cell>
        </row>
        <row r="496">
          <cell r="A496" t="str">
            <v/>
          </cell>
          <cell r="B496">
            <v>1492</v>
          </cell>
          <cell r="D496" t="str">
            <v/>
          </cell>
          <cell r="F496" t="str">
            <v/>
          </cell>
          <cell r="J496">
            <v>0</v>
          </cell>
          <cell r="L496">
            <v>0</v>
          </cell>
          <cell r="M496">
            <v>0</v>
          </cell>
          <cell r="N496">
            <v>0</v>
          </cell>
          <cell r="O496" t="str">
            <v/>
          </cell>
          <cell r="S496" t="str">
            <v/>
          </cell>
          <cell r="T496" t="str">
            <v/>
          </cell>
        </row>
        <row r="497">
          <cell r="A497" t="str">
            <v/>
          </cell>
          <cell r="B497">
            <v>1493</v>
          </cell>
          <cell r="D497" t="str">
            <v/>
          </cell>
          <cell r="F497" t="str">
            <v/>
          </cell>
          <cell r="J497">
            <v>0</v>
          </cell>
          <cell r="L497">
            <v>0</v>
          </cell>
          <cell r="M497">
            <v>0</v>
          </cell>
          <cell r="N497">
            <v>0</v>
          </cell>
          <cell r="O497" t="str">
            <v/>
          </cell>
          <cell r="S497" t="str">
            <v/>
          </cell>
          <cell r="T497" t="str">
            <v/>
          </cell>
        </row>
        <row r="498">
          <cell r="A498" t="str">
            <v/>
          </cell>
          <cell r="B498">
            <v>1494</v>
          </cell>
          <cell r="D498" t="str">
            <v/>
          </cell>
          <cell r="F498" t="str">
            <v/>
          </cell>
          <cell r="J498">
            <v>0</v>
          </cell>
          <cell r="L498">
            <v>0</v>
          </cell>
          <cell r="M498">
            <v>0</v>
          </cell>
          <cell r="N498">
            <v>0</v>
          </cell>
          <cell r="O498" t="str">
            <v/>
          </cell>
          <cell r="S498" t="str">
            <v/>
          </cell>
          <cell r="T498" t="str">
            <v/>
          </cell>
        </row>
        <row r="499">
          <cell r="A499" t="str">
            <v/>
          </cell>
          <cell r="B499">
            <v>1495</v>
          </cell>
          <cell r="D499" t="str">
            <v/>
          </cell>
          <cell r="F499" t="str">
            <v/>
          </cell>
          <cell r="J499">
            <v>0</v>
          </cell>
          <cell r="L499">
            <v>0</v>
          </cell>
          <cell r="M499">
            <v>0</v>
          </cell>
          <cell r="N499">
            <v>0</v>
          </cell>
          <cell r="O499" t="str">
            <v/>
          </cell>
          <cell r="S499" t="str">
            <v/>
          </cell>
          <cell r="T499" t="str">
            <v/>
          </cell>
        </row>
        <row r="500">
          <cell r="A500" t="str">
            <v/>
          </cell>
          <cell r="B500">
            <v>1496</v>
          </cell>
          <cell r="D500" t="str">
            <v/>
          </cell>
          <cell r="F500" t="str">
            <v/>
          </cell>
          <cell r="J500">
            <v>0</v>
          </cell>
          <cell r="L500">
            <v>0</v>
          </cell>
          <cell r="M500">
            <v>0</v>
          </cell>
          <cell r="N500">
            <v>0</v>
          </cell>
          <cell r="O500" t="str">
            <v/>
          </cell>
          <cell r="S500" t="str">
            <v/>
          </cell>
          <cell r="T500" t="str">
            <v/>
          </cell>
        </row>
        <row r="501">
          <cell r="A501" t="str">
            <v/>
          </cell>
          <cell r="B501">
            <v>1497</v>
          </cell>
          <cell r="D501" t="str">
            <v/>
          </cell>
          <cell r="F501" t="str">
            <v/>
          </cell>
          <cell r="J501">
            <v>0</v>
          </cell>
          <cell r="L501">
            <v>0</v>
          </cell>
          <cell r="M501">
            <v>0</v>
          </cell>
          <cell r="N501">
            <v>0</v>
          </cell>
          <cell r="O501" t="str">
            <v/>
          </cell>
          <cell r="S501" t="str">
            <v/>
          </cell>
          <cell r="T501" t="str">
            <v/>
          </cell>
        </row>
        <row r="502">
          <cell r="A502" t="str">
            <v/>
          </cell>
          <cell r="B502">
            <v>1498</v>
          </cell>
          <cell r="D502" t="str">
            <v/>
          </cell>
          <cell r="F502" t="str">
            <v/>
          </cell>
          <cell r="J502">
            <v>0</v>
          </cell>
          <cell r="L502">
            <v>0</v>
          </cell>
          <cell r="M502">
            <v>0</v>
          </cell>
          <cell r="N502">
            <v>0</v>
          </cell>
          <cell r="O502" t="str">
            <v/>
          </cell>
          <cell r="S502" t="str">
            <v/>
          </cell>
          <cell r="T502" t="str">
            <v/>
          </cell>
        </row>
        <row r="503">
          <cell r="A503" t="str">
            <v/>
          </cell>
          <cell r="B503">
            <v>1499</v>
          </cell>
          <cell r="D503" t="str">
            <v/>
          </cell>
          <cell r="F503" t="str">
            <v/>
          </cell>
          <cell r="J503">
            <v>0</v>
          </cell>
          <cell r="L503">
            <v>0</v>
          </cell>
          <cell r="M503">
            <v>0</v>
          </cell>
          <cell r="N503">
            <v>0</v>
          </cell>
          <cell r="O503" t="str">
            <v/>
          </cell>
          <cell r="S503" t="str">
            <v/>
          </cell>
          <cell r="T503" t="str">
            <v/>
          </cell>
        </row>
        <row r="504">
          <cell r="A504" t="str">
            <v/>
          </cell>
          <cell r="B504">
            <v>1500</v>
          </cell>
          <cell r="D504" t="str">
            <v/>
          </cell>
          <cell r="F504" t="str">
            <v/>
          </cell>
          <cell r="J504">
            <v>0</v>
          </cell>
          <cell r="L504">
            <v>0</v>
          </cell>
          <cell r="M504">
            <v>0</v>
          </cell>
          <cell r="N504">
            <v>0</v>
          </cell>
          <cell r="O504" t="str">
            <v/>
          </cell>
          <cell r="S504" t="str">
            <v/>
          </cell>
          <cell r="T504" t="str">
            <v/>
          </cell>
        </row>
        <row r="505">
          <cell r="A505" t="str">
            <v/>
          </cell>
          <cell r="B505">
            <v>1501</v>
          </cell>
          <cell r="D505" t="str">
            <v/>
          </cell>
          <cell r="F505" t="str">
            <v/>
          </cell>
          <cell r="J505">
            <v>0</v>
          </cell>
          <cell r="L505">
            <v>0</v>
          </cell>
          <cell r="M505">
            <v>0</v>
          </cell>
          <cell r="N505">
            <v>0</v>
          </cell>
          <cell r="O505" t="str">
            <v/>
          </cell>
          <cell r="S505" t="str">
            <v/>
          </cell>
          <cell r="T505" t="str">
            <v/>
          </cell>
        </row>
        <row r="506">
          <cell r="A506" t="str">
            <v/>
          </cell>
          <cell r="B506">
            <v>1502</v>
          </cell>
          <cell r="D506" t="str">
            <v/>
          </cell>
          <cell r="F506" t="str">
            <v/>
          </cell>
          <cell r="J506">
            <v>0</v>
          </cell>
          <cell r="L506">
            <v>0</v>
          </cell>
          <cell r="M506">
            <v>0</v>
          </cell>
          <cell r="N506">
            <v>0</v>
          </cell>
          <cell r="O506" t="str">
            <v/>
          </cell>
          <cell r="S506" t="str">
            <v/>
          </cell>
          <cell r="T506" t="str">
            <v/>
          </cell>
        </row>
        <row r="507">
          <cell r="A507" t="str">
            <v/>
          </cell>
          <cell r="B507">
            <v>1503</v>
          </cell>
          <cell r="D507" t="str">
            <v/>
          </cell>
          <cell r="F507" t="str">
            <v/>
          </cell>
          <cell r="J507">
            <v>0</v>
          </cell>
          <cell r="L507">
            <v>0</v>
          </cell>
          <cell r="M507">
            <v>0</v>
          </cell>
          <cell r="N507">
            <v>0</v>
          </cell>
          <cell r="O507" t="str">
            <v/>
          </cell>
          <cell r="S507" t="str">
            <v/>
          </cell>
          <cell r="T507" t="str">
            <v/>
          </cell>
        </row>
        <row r="508">
          <cell r="A508" t="str">
            <v/>
          </cell>
          <cell r="B508">
            <v>1504</v>
          </cell>
          <cell r="D508" t="str">
            <v/>
          </cell>
          <cell r="F508" t="str">
            <v/>
          </cell>
          <cell r="J508">
            <v>0</v>
          </cell>
          <cell r="L508">
            <v>0</v>
          </cell>
          <cell r="M508">
            <v>0</v>
          </cell>
          <cell r="N508">
            <v>0</v>
          </cell>
          <cell r="O508" t="str">
            <v/>
          </cell>
          <cell r="S508" t="str">
            <v/>
          </cell>
          <cell r="T508" t="str">
            <v/>
          </cell>
        </row>
        <row r="509">
          <cell r="A509" t="str">
            <v/>
          </cell>
          <cell r="B509">
            <v>1505</v>
          </cell>
          <cell r="D509" t="str">
            <v/>
          </cell>
          <cell r="F509" t="str">
            <v/>
          </cell>
          <cell r="J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/>
          </cell>
          <cell r="S509" t="str">
            <v/>
          </cell>
          <cell r="T509" t="str">
            <v/>
          </cell>
        </row>
        <row r="510">
          <cell r="A510" t="str">
            <v/>
          </cell>
          <cell r="B510">
            <v>1506</v>
          </cell>
          <cell r="D510" t="str">
            <v/>
          </cell>
          <cell r="F510" t="str">
            <v/>
          </cell>
          <cell r="J510">
            <v>0</v>
          </cell>
          <cell r="L510">
            <v>0</v>
          </cell>
          <cell r="M510">
            <v>0</v>
          </cell>
          <cell r="N510">
            <v>0</v>
          </cell>
          <cell r="O510" t="str">
            <v/>
          </cell>
          <cell r="S510" t="str">
            <v/>
          </cell>
          <cell r="T510" t="str">
            <v/>
          </cell>
        </row>
        <row r="511">
          <cell r="A511" t="str">
            <v/>
          </cell>
          <cell r="B511">
            <v>1507</v>
          </cell>
          <cell r="D511" t="str">
            <v/>
          </cell>
          <cell r="F511" t="str">
            <v/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  <cell r="O511" t="str">
            <v/>
          </cell>
          <cell r="S511" t="str">
            <v/>
          </cell>
          <cell r="T511" t="str">
            <v/>
          </cell>
        </row>
        <row r="512">
          <cell r="A512" t="str">
            <v/>
          </cell>
          <cell r="B512">
            <v>1508</v>
          </cell>
          <cell r="D512" t="str">
            <v/>
          </cell>
          <cell r="F512" t="str">
            <v/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  <cell r="O512" t="str">
            <v/>
          </cell>
          <cell r="S512" t="str">
            <v/>
          </cell>
          <cell r="T512" t="str">
            <v/>
          </cell>
        </row>
        <row r="513">
          <cell r="A513" t="str">
            <v/>
          </cell>
          <cell r="B513">
            <v>1509</v>
          </cell>
          <cell r="D513" t="str">
            <v/>
          </cell>
          <cell r="F513" t="str">
            <v/>
          </cell>
          <cell r="J513">
            <v>0</v>
          </cell>
          <cell r="L513">
            <v>0</v>
          </cell>
          <cell r="M513">
            <v>0</v>
          </cell>
          <cell r="N513">
            <v>0</v>
          </cell>
          <cell r="O513" t="str">
            <v/>
          </cell>
          <cell r="S513" t="str">
            <v/>
          </cell>
          <cell r="T513" t="str">
            <v/>
          </cell>
        </row>
        <row r="514">
          <cell r="A514" t="str">
            <v/>
          </cell>
          <cell r="B514">
            <v>1510</v>
          </cell>
          <cell r="D514" t="str">
            <v/>
          </cell>
          <cell r="F514" t="str">
            <v/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  <cell r="O514" t="str">
            <v/>
          </cell>
          <cell r="S514" t="str">
            <v/>
          </cell>
          <cell r="T514" t="str">
            <v/>
          </cell>
        </row>
        <row r="515">
          <cell r="A515" t="str">
            <v/>
          </cell>
          <cell r="B515">
            <v>1511</v>
          </cell>
          <cell r="D515" t="str">
            <v/>
          </cell>
          <cell r="F515" t="str">
            <v/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  <cell r="O515" t="str">
            <v/>
          </cell>
          <cell r="S515" t="str">
            <v/>
          </cell>
          <cell r="T515" t="str">
            <v/>
          </cell>
        </row>
        <row r="516">
          <cell r="A516" t="str">
            <v/>
          </cell>
          <cell r="B516">
            <v>1512</v>
          </cell>
          <cell r="D516" t="str">
            <v/>
          </cell>
          <cell r="F516" t="str">
            <v/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  <cell r="O516" t="str">
            <v/>
          </cell>
          <cell r="S516" t="str">
            <v/>
          </cell>
          <cell r="T516" t="str">
            <v/>
          </cell>
        </row>
        <row r="517">
          <cell r="A517" t="str">
            <v/>
          </cell>
          <cell r="B517">
            <v>1513</v>
          </cell>
          <cell r="D517" t="str">
            <v/>
          </cell>
          <cell r="F517" t="str">
            <v/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  <cell r="O517" t="str">
            <v/>
          </cell>
          <cell r="S517" t="str">
            <v/>
          </cell>
          <cell r="T517" t="str">
            <v/>
          </cell>
        </row>
        <row r="518">
          <cell r="A518" t="str">
            <v/>
          </cell>
          <cell r="B518">
            <v>1514</v>
          </cell>
          <cell r="D518" t="str">
            <v/>
          </cell>
          <cell r="F518" t="str">
            <v/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  <cell r="O518" t="str">
            <v/>
          </cell>
          <cell r="S518" t="str">
            <v/>
          </cell>
          <cell r="T518" t="str">
            <v/>
          </cell>
        </row>
        <row r="519">
          <cell r="A519" t="str">
            <v/>
          </cell>
          <cell r="B519">
            <v>1515</v>
          </cell>
          <cell r="D519" t="str">
            <v/>
          </cell>
          <cell r="F519" t="str">
            <v/>
          </cell>
          <cell r="J519">
            <v>0</v>
          </cell>
          <cell r="L519">
            <v>0</v>
          </cell>
          <cell r="M519">
            <v>0</v>
          </cell>
          <cell r="N519">
            <v>0</v>
          </cell>
          <cell r="O519" t="str">
            <v/>
          </cell>
          <cell r="S519" t="str">
            <v/>
          </cell>
          <cell r="T519" t="str">
            <v/>
          </cell>
        </row>
        <row r="520">
          <cell r="A520" t="str">
            <v/>
          </cell>
          <cell r="B520">
            <v>1516</v>
          </cell>
          <cell r="D520" t="str">
            <v/>
          </cell>
          <cell r="F520" t="str">
            <v/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  <cell r="O520" t="str">
            <v/>
          </cell>
          <cell r="S520" t="str">
            <v/>
          </cell>
          <cell r="T520" t="str">
            <v/>
          </cell>
        </row>
        <row r="521">
          <cell r="A521" t="str">
            <v/>
          </cell>
          <cell r="B521">
            <v>1517</v>
          </cell>
          <cell r="D521" t="str">
            <v/>
          </cell>
          <cell r="F521" t="str">
            <v/>
          </cell>
          <cell r="J521">
            <v>0</v>
          </cell>
          <cell r="L521">
            <v>0</v>
          </cell>
          <cell r="M521">
            <v>0</v>
          </cell>
          <cell r="N521">
            <v>0</v>
          </cell>
          <cell r="O521" t="str">
            <v/>
          </cell>
          <cell r="S521" t="str">
            <v/>
          </cell>
          <cell r="T521" t="str">
            <v/>
          </cell>
        </row>
        <row r="522">
          <cell r="A522" t="str">
            <v/>
          </cell>
          <cell r="B522">
            <v>1518</v>
          </cell>
          <cell r="D522" t="str">
            <v/>
          </cell>
          <cell r="F522" t="str">
            <v/>
          </cell>
          <cell r="J522">
            <v>0</v>
          </cell>
          <cell r="L522">
            <v>0</v>
          </cell>
          <cell r="M522">
            <v>0</v>
          </cell>
          <cell r="N522">
            <v>0</v>
          </cell>
          <cell r="O522" t="str">
            <v/>
          </cell>
          <cell r="S522" t="str">
            <v/>
          </cell>
          <cell r="T522" t="str">
            <v/>
          </cell>
        </row>
        <row r="523">
          <cell r="A523" t="str">
            <v/>
          </cell>
          <cell r="B523">
            <v>1519</v>
          </cell>
          <cell r="D523" t="str">
            <v/>
          </cell>
          <cell r="F523" t="str">
            <v/>
          </cell>
          <cell r="J523">
            <v>0</v>
          </cell>
          <cell r="L523">
            <v>0</v>
          </cell>
          <cell r="M523">
            <v>0</v>
          </cell>
          <cell r="N523">
            <v>0</v>
          </cell>
          <cell r="O523" t="str">
            <v/>
          </cell>
          <cell r="S523" t="str">
            <v/>
          </cell>
          <cell r="T523" t="str">
            <v/>
          </cell>
        </row>
        <row r="524">
          <cell r="A524" t="str">
            <v/>
          </cell>
          <cell r="B524">
            <v>1520</v>
          </cell>
          <cell r="D524" t="str">
            <v/>
          </cell>
          <cell r="F524" t="str">
            <v/>
          </cell>
          <cell r="J524">
            <v>0</v>
          </cell>
          <cell r="L524">
            <v>0</v>
          </cell>
          <cell r="M524">
            <v>0</v>
          </cell>
          <cell r="N524">
            <v>0</v>
          </cell>
          <cell r="O524" t="str">
            <v/>
          </cell>
          <cell r="S524" t="str">
            <v/>
          </cell>
          <cell r="T524" t="str">
            <v/>
          </cell>
        </row>
        <row r="525">
          <cell r="A525" t="str">
            <v/>
          </cell>
          <cell r="B525">
            <v>1521</v>
          </cell>
          <cell r="D525" t="str">
            <v/>
          </cell>
          <cell r="F525" t="str">
            <v/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  <cell r="O525" t="str">
            <v/>
          </cell>
          <cell r="S525" t="str">
            <v/>
          </cell>
          <cell r="T525" t="str">
            <v/>
          </cell>
        </row>
        <row r="526">
          <cell r="A526" t="str">
            <v/>
          </cell>
          <cell r="B526">
            <v>1522</v>
          </cell>
          <cell r="D526" t="str">
            <v/>
          </cell>
          <cell r="F526" t="str">
            <v/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  <cell r="O526" t="str">
            <v/>
          </cell>
          <cell r="S526" t="str">
            <v/>
          </cell>
          <cell r="T526" t="str">
            <v/>
          </cell>
        </row>
        <row r="527">
          <cell r="A527" t="str">
            <v/>
          </cell>
          <cell r="B527">
            <v>1523</v>
          </cell>
          <cell r="D527" t="str">
            <v/>
          </cell>
          <cell r="F527" t="str">
            <v/>
          </cell>
          <cell r="J527">
            <v>0</v>
          </cell>
          <cell r="L527">
            <v>0</v>
          </cell>
          <cell r="M527">
            <v>0</v>
          </cell>
          <cell r="N527">
            <v>0</v>
          </cell>
          <cell r="O527" t="str">
            <v/>
          </cell>
          <cell r="S527" t="str">
            <v/>
          </cell>
          <cell r="T527" t="str">
            <v/>
          </cell>
        </row>
        <row r="528">
          <cell r="A528" t="str">
            <v/>
          </cell>
          <cell r="B528">
            <v>1524</v>
          </cell>
          <cell r="D528" t="str">
            <v/>
          </cell>
          <cell r="F528" t="str">
            <v/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  <cell r="O528" t="str">
            <v/>
          </cell>
          <cell r="S528" t="str">
            <v/>
          </cell>
          <cell r="T528" t="str">
            <v/>
          </cell>
        </row>
        <row r="529">
          <cell r="A529" t="str">
            <v/>
          </cell>
          <cell r="B529">
            <v>1525</v>
          </cell>
          <cell r="D529" t="str">
            <v/>
          </cell>
          <cell r="F529" t="str">
            <v/>
          </cell>
          <cell r="J529">
            <v>0</v>
          </cell>
          <cell r="L529">
            <v>0</v>
          </cell>
          <cell r="M529">
            <v>0</v>
          </cell>
          <cell r="N529">
            <v>0</v>
          </cell>
          <cell r="O529" t="str">
            <v/>
          </cell>
          <cell r="S529" t="str">
            <v/>
          </cell>
          <cell r="T529" t="str">
            <v/>
          </cell>
        </row>
        <row r="530">
          <cell r="A530" t="str">
            <v/>
          </cell>
          <cell r="B530">
            <v>1526</v>
          </cell>
          <cell r="D530" t="str">
            <v/>
          </cell>
          <cell r="F530" t="str">
            <v/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/>
          </cell>
          <cell r="S530" t="str">
            <v/>
          </cell>
          <cell r="T530" t="str">
            <v/>
          </cell>
        </row>
        <row r="531">
          <cell r="A531" t="str">
            <v/>
          </cell>
          <cell r="B531">
            <v>1527</v>
          </cell>
          <cell r="D531" t="str">
            <v/>
          </cell>
          <cell r="F531" t="str">
            <v/>
          </cell>
          <cell r="J531">
            <v>0</v>
          </cell>
          <cell r="L531">
            <v>0</v>
          </cell>
          <cell r="M531">
            <v>0</v>
          </cell>
          <cell r="N531">
            <v>0</v>
          </cell>
          <cell r="O531" t="str">
            <v/>
          </cell>
          <cell r="S531" t="str">
            <v/>
          </cell>
          <cell r="T531" t="str">
            <v/>
          </cell>
        </row>
        <row r="532">
          <cell r="A532" t="str">
            <v/>
          </cell>
          <cell r="B532">
            <v>1528</v>
          </cell>
          <cell r="D532" t="str">
            <v/>
          </cell>
          <cell r="F532" t="str">
            <v/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  <cell r="O532" t="str">
            <v/>
          </cell>
          <cell r="S532" t="str">
            <v/>
          </cell>
          <cell r="T532" t="str">
            <v/>
          </cell>
        </row>
        <row r="533">
          <cell r="A533" t="str">
            <v/>
          </cell>
          <cell r="B533">
            <v>1529</v>
          </cell>
          <cell r="D533" t="str">
            <v/>
          </cell>
          <cell r="F533" t="str">
            <v/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/>
          </cell>
          <cell r="S533" t="str">
            <v/>
          </cell>
          <cell r="T533" t="str">
            <v/>
          </cell>
        </row>
        <row r="534">
          <cell r="A534" t="str">
            <v/>
          </cell>
          <cell r="B534">
            <v>1530</v>
          </cell>
          <cell r="D534" t="str">
            <v/>
          </cell>
          <cell r="F534" t="str">
            <v/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  <cell r="O534" t="str">
            <v/>
          </cell>
          <cell r="S534" t="str">
            <v/>
          </cell>
          <cell r="T534" t="str">
            <v/>
          </cell>
        </row>
        <row r="535">
          <cell r="A535" t="str">
            <v/>
          </cell>
          <cell r="B535">
            <v>1531</v>
          </cell>
          <cell r="D535" t="str">
            <v/>
          </cell>
          <cell r="F535" t="str">
            <v/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  <cell r="O535" t="str">
            <v/>
          </cell>
          <cell r="S535" t="str">
            <v/>
          </cell>
          <cell r="T535" t="str">
            <v/>
          </cell>
        </row>
        <row r="536">
          <cell r="A536" t="str">
            <v/>
          </cell>
          <cell r="B536">
            <v>1532</v>
          </cell>
          <cell r="D536" t="str">
            <v/>
          </cell>
          <cell r="F536" t="str">
            <v/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  <cell r="O536" t="str">
            <v/>
          </cell>
          <cell r="S536" t="str">
            <v/>
          </cell>
          <cell r="T536" t="str">
            <v/>
          </cell>
        </row>
        <row r="537">
          <cell r="A537" t="str">
            <v/>
          </cell>
          <cell r="B537">
            <v>1533</v>
          </cell>
          <cell r="D537" t="str">
            <v/>
          </cell>
          <cell r="F537" t="str">
            <v/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  <cell r="O537" t="str">
            <v/>
          </cell>
          <cell r="S537" t="str">
            <v/>
          </cell>
          <cell r="T537" t="str">
            <v/>
          </cell>
        </row>
        <row r="538">
          <cell r="A538" t="str">
            <v/>
          </cell>
          <cell r="B538">
            <v>1534</v>
          </cell>
          <cell r="D538" t="str">
            <v/>
          </cell>
          <cell r="F538" t="str">
            <v/>
          </cell>
          <cell r="J538">
            <v>0</v>
          </cell>
          <cell r="L538">
            <v>0</v>
          </cell>
          <cell r="M538">
            <v>0</v>
          </cell>
          <cell r="N538">
            <v>0</v>
          </cell>
          <cell r="O538" t="str">
            <v/>
          </cell>
          <cell r="S538" t="str">
            <v/>
          </cell>
          <cell r="T538" t="str">
            <v/>
          </cell>
        </row>
        <row r="539">
          <cell r="A539" t="str">
            <v/>
          </cell>
          <cell r="B539">
            <v>1535</v>
          </cell>
          <cell r="D539" t="str">
            <v/>
          </cell>
          <cell r="F539" t="str">
            <v/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  <cell r="O539" t="str">
            <v/>
          </cell>
          <cell r="S539" t="str">
            <v/>
          </cell>
          <cell r="T539" t="str">
            <v/>
          </cell>
        </row>
        <row r="540">
          <cell r="A540" t="str">
            <v/>
          </cell>
          <cell r="B540">
            <v>1536</v>
          </cell>
          <cell r="D540" t="str">
            <v/>
          </cell>
          <cell r="F540" t="str">
            <v/>
          </cell>
          <cell r="J540">
            <v>0</v>
          </cell>
          <cell r="L540">
            <v>0</v>
          </cell>
          <cell r="M540">
            <v>0</v>
          </cell>
          <cell r="N540">
            <v>0</v>
          </cell>
          <cell r="O540" t="str">
            <v/>
          </cell>
          <cell r="S540" t="str">
            <v/>
          </cell>
          <cell r="T540" t="str">
            <v/>
          </cell>
        </row>
        <row r="541">
          <cell r="A541" t="str">
            <v/>
          </cell>
          <cell r="B541">
            <v>1537</v>
          </cell>
          <cell r="D541" t="str">
            <v/>
          </cell>
          <cell r="F541" t="str">
            <v/>
          </cell>
          <cell r="J541">
            <v>0</v>
          </cell>
          <cell r="L541">
            <v>0</v>
          </cell>
          <cell r="M541">
            <v>0</v>
          </cell>
          <cell r="N541">
            <v>0</v>
          </cell>
          <cell r="O541" t="str">
            <v/>
          </cell>
          <cell r="S541" t="str">
            <v/>
          </cell>
          <cell r="T541" t="str">
            <v/>
          </cell>
        </row>
        <row r="542">
          <cell r="A542" t="str">
            <v/>
          </cell>
          <cell r="B542">
            <v>1538</v>
          </cell>
          <cell r="D542" t="str">
            <v/>
          </cell>
          <cell r="F542" t="str">
            <v/>
          </cell>
          <cell r="J542">
            <v>0</v>
          </cell>
          <cell r="L542">
            <v>0</v>
          </cell>
          <cell r="M542">
            <v>0</v>
          </cell>
          <cell r="N542">
            <v>0</v>
          </cell>
          <cell r="O542" t="str">
            <v/>
          </cell>
          <cell r="S542" t="str">
            <v/>
          </cell>
          <cell r="T542" t="str">
            <v/>
          </cell>
        </row>
        <row r="543">
          <cell r="A543" t="str">
            <v/>
          </cell>
          <cell r="B543">
            <v>1539</v>
          </cell>
          <cell r="D543" t="str">
            <v/>
          </cell>
          <cell r="F543" t="str">
            <v/>
          </cell>
          <cell r="J543">
            <v>0</v>
          </cell>
          <cell r="L543">
            <v>0</v>
          </cell>
          <cell r="M543">
            <v>0</v>
          </cell>
          <cell r="N543">
            <v>0</v>
          </cell>
          <cell r="O543" t="str">
            <v/>
          </cell>
          <cell r="S543" t="str">
            <v/>
          </cell>
          <cell r="T543" t="str">
            <v/>
          </cell>
        </row>
        <row r="544">
          <cell r="A544" t="str">
            <v/>
          </cell>
          <cell r="B544">
            <v>1540</v>
          </cell>
          <cell r="D544" t="str">
            <v/>
          </cell>
          <cell r="F544" t="str">
            <v/>
          </cell>
          <cell r="J544">
            <v>0</v>
          </cell>
          <cell r="L544">
            <v>0</v>
          </cell>
          <cell r="M544">
            <v>0</v>
          </cell>
          <cell r="N544">
            <v>0</v>
          </cell>
          <cell r="O544" t="str">
            <v/>
          </cell>
          <cell r="S544" t="str">
            <v/>
          </cell>
          <cell r="T544" t="str">
            <v/>
          </cell>
        </row>
        <row r="545">
          <cell r="A545" t="str">
            <v/>
          </cell>
          <cell r="B545">
            <v>1541</v>
          </cell>
          <cell r="D545" t="str">
            <v/>
          </cell>
          <cell r="F545" t="str">
            <v/>
          </cell>
          <cell r="J545">
            <v>0</v>
          </cell>
          <cell r="L545">
            <v>0</v>
          </cell>
          <cell r="M545">
            <v>0</v>
          </cell>
          <cell r="N545">
            <v>0</v>
          </cell>
          <cell r="O545" t="str">
            <v/>
          </cell>
          <cell r="S545" t="str">
            <v/>
          </cell>
          <cell r="T545" t="str">
            <v/>
          </cell>
        </row>
        <row r="546">
          <cell r="A546" t="str">
            <v/>
          </cell>
          <cell r="B546">
            <v>1542</v>
          </cell>
          <cell r="D546" t="str">
            <v/>
          </cell>
          <cell r="F546" t="str">
            <v/>
          </cell>
          <cell r="J546">
            <v>0</v>
          </cell>
          <cell r="L546">
            <v>0</v>
          </cell>
          <cell r="M546">
            <v>0</v>
          </cell>
          <cell r="N546">
            <v>0</v>
          </cell>
          <cell r="O546" t="str">
            <v/>
          </cell>
          <cell r="S546" t="str">
            <v/>
          </cell>
          <cell r="T546" t="str">
            <v/>
          </cell>
        </row>
        <row r="547">
          <cell r="A547" t="str">
            <v/>
          </cell>
          <cell r="B547">
            <v>1543</v>
          </cell>
          <cell r="D547" t="str">
            <v/>
          </cell>
          <cell r="F547" t="str">
            <v/>
          </cell>
          <cell r="J547">
            <v>0</v>
          </cell>
          <cell r="L547">
            <v>0</v>
          </cell>
          <cell r="M547">
            <v>0</v>
          </cell>
          <cell r="N547">
            <v>0</v>
          </cell>
          <cell r="O547" t="str">
            <v/>
          </cell>
          <cell r="S547" t="str">
            <v/>
          </cell>
          <cell r="T547" t="str">
            <v/>
          </cell>
        </row>
        <row r="548">
          <cell r="A548" t="str">
            <v/>
          </cell>
          <cell r="B548">
            <v>1544</v>
          </cell>
          <cell r="D548" t="str">
            <v/>
          </cell>
          <cell r="F548" t="str">
            <v/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  <cell r="O548" t="str">
            <v/>
          </cell>
          <cell r="S548" t="str">
            <v/>
          </cell>
          <cell r="T548" t="str">
            <v/>
          </cell>
        </row>
        <row r="549">
          <cell r="A549" t="str">
            <v/>
          </cell>
          <cell r="B549">
            <v>1545</v>
          </cell>
          <cell r="D549" t="str">
            <v/>
          </cell>
          <cell r="F549" t="str">
            <v/>
          </cell>
          <cell r="J549">
            <v>0</v>
          </cell>
          <cell r="L549">
            <v>0</v>
          </cell>
          <cell r="M549">
            <v>0</v>
          </cell>
          <cell r="N549">
            <v>0</v>
          </cell>
          <cell r="O549" t="str">
            <v/>
          </cell>
          <cell r="S549" t="str">
            <v/>
          </cell>
          <cell r="T549" t="str">
            <v/>
          </cell>
        </row>
        <row r="550">
          <cell r="A550" t="str">
            <v/>
          </cell>
          <cell r="B550">
            <v>1546</v>
          </cell>
          <cell r="D550" t="str">
            <v/>
          </cell>
          <cell r="F550" t="str">
            <v/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  <cell r="O550" t="str">
            <v/>
          </cell>
          <cell r="S550" t="str">
            <v/>
          </cell>
          <cell r="T550" t="str">
            <v/>
          </cell>
        </row>
        <row r="551">
          <cell r="A551" t="str">
            <v/>
          </cell>
          <cell r="B551">
            <v>1547</v>
          </cell>
          <cell r="D551" t="str">
            <v/>
          </cell>
          <cell r="F551" t="str">
            <v/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  <cell r="O551" t="str">
            <v/>
          </cell>
          <cell r="S551" t="str">
            <v/>
          </cell>
          <cell r="T551" t="str">
            <v/>
          </cell>
        </row>
        <row r="552">
          <cell r="A552" t="str">
            <v/>
          </cell>
          <cell r="B552">
            <v>1548</v>
          </cell>
          <cell r="D552" t="str">
            <v/>
          </cell>
          <cell r="F552" t="str">
            <v/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  <cell r="O552" t="str">
            <v/>
          </cell>
          <cell r="S552" t="str">
            <v/>
          </cell>
          <cell r="T552" t="str">
            <v/>
          </cell>
        </row>
        <row r="553">
          <cell r="A553" t="str">
            <v/>
          </cell>
          <cell r="B553">
            <v>1549</v>
          </cell>
          <cell r="D553" t="str">
            <v/>
          </cell>
          <cell r="F553" t="str">
            <v/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  <cell r="O553" t="str">
            <v/>
          </cell>
          <cell r="S553" t="str">
            <v/>
          </cell>
          <cell r="T553" t="str">
            <v/>
          </cell>
        </row>
        <row r="554">
          <cell r="A554" t="str">
            <v/>
          </cell>
          <cell r="B554">
            <v>1550</v>
          </cell>
          <cell r="D554" t="str">
            <v/>
          </cell>
          <cell r="F554" t="str">
            <v/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  <cell r="O554" t="str">
            <v/>
          </cell>
          <cell r="S554" t="str">
            <v/>
          </cell>
          <cell r="T554" t="str">
            <v/>
          </cell>
        </row>
        <row r="555">
          <cell r="A555" t="str">
            <v/>
          </cell>
          <cell r="B555">
            <v>1551</v>
          </cell>
          <cell r="D555" t="str">
            <v/>
          </cell>
          <cell r="F555" t="str">
            <v/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  <cell r="O555" t="str">
            <v/>
          </cell>
          <cell r="S555" t="str">
            <v/>
          </cell>
          <cell r="T555" t="str">
            <v/>
          </cell>
        </row>
        <row r="556">
          <cell r="A556" t="str">
            <v/>
          </cell>
          <cell r="B556">
            <v>1552</v>
          </cell>
          <cell r="D556" t="str">
            <v/>
          </cell>
          <cell r="F556" t="str">
            <v/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  <cell r="O556" t="str">
            <v/>
          </cell>
          <cell r="S556" t="str">
            <v/>
          </cell>
          <cell r="T556" t="str">
            <v/>
          </cell>
        </row>
        <row r="557">
          <cell r="A557" t="str">
            <v/>
          </cell>
          <cell r="B557">
            <v>1553</v>
          </cell>
          <cell r="D557" t="str">
            <v/>
          </cell>
          <cell r="F557" t="str">
            <v/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  <cell r="O557" t="str">
            <v/>
          </cell>
          <cell r="S557" t="str">
            <v/>
          </cell>
          <cell r="T557" t="str">
            <v/>
          </cell>
        </row>
        <row r="558">
          <cell r="A558" t="str">
            <v/>
          </cell>
          <cell r="B558">
            <v>1554</v>
          </cell>
          <cell r="D558" t="str">
            <v/>
          </cell>
          <cell r="F558" t="str">
            <v/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  <cell r="O558" t="str">
            <v/>
          </cell>
          <cell r="S558" t="str">
            <v/>
          </cell>
          <cell r="T558" t="str">
            <v/>
          </cell>
        </row>
        <row r="559">
          <cell r="A559" t="str">
            <v/>
          </cell>
          <cell r="B559">
            <v>1555</v>
          </cell>
          <cell r="D559" t="str">
            <v/>
          </cell>
          <cell r="F559" t="str">
            <v/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  <cell r="O559" t="str">
            <v/>
          </cell>
          <cell r="S559" t="str">
            <v/>
          </cell>
          <cell r="T559" t="str">
            <v/>
          </cell>
        </row>
        <row r="560">
          <cell r="A560" t="str">
            <v/>
          </cell>
          <cell r="B560">
            <v>1556</v>
          </cell>
          <cell r="D560" t="str">
            <v/>
          </cell>
          <cell r="F560" t="str">
            <v/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  <cell r="O560" t="str">
            <v/>
          </cell>
          <cell r="S560" t="str">
            <v/>
          </cell>
          <cell r="T560" t="str">
            <v/>
          </cell>
        </row>
        <row r="561">
          <cell r="A561" t="str">
            <v/>
          </cell>
          <cell r="B561">
            <v>1557</v>
          </cell>
          <cell r="D561" t="str">
            <v/>
          </cell>
          <cell r="F561" t="str">
            <v/>
          </cell>
          <cell r="J561">
            <v>0</v>
          </cell>
          <cell r="L561">
            <v>0</v>
          </cell>
          <cell r="M561">
            <v>0</v>
          </cell>
          <cell r="N561">
            <v>0</v>
          </cell>
          <cell r="O561" t="str">
            <v/>
          </cell>
          <cell r="S561" t="str">
            <v/>
          </cell>
          <cell r="T561" t="str">
            <v/>
          </cell>
        </row>
        <row r="562">
          <cell r="A562" t="str">
            <v/>
          </cell>
          <cell r="B562">
            <v>1558</v>
          </cell>
          <cell r="D562" t="str">
            <v/>
          </cell>
          <cell r="F562" t="str">
            <v/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  <cell r="O562" t="str">
            <v/>
          </cell>
          <cell r="S562" t="str">
            <v/>
          </cell>
          <cell r="T562" t="str">
            <v/>
          </cell>
        </row>
        <row r="563">
          <cell r="A563" t="str">
            <v/>
          </cell>
          <cell r="B563">
            <v>1559</v>
          </cell>
          <cell r="D563" t="str">
            <v/>
          </cell>
          <cell r="F563" t="str">
            <v/>
          </cell>
          <cell r="J563">
            <v>0</v>
          </cell>
          <cell r="L563">
            <v>0</v>
          </cell>
          <cell r="M563">
            <v>0</v>
          </cell>
          <cell r="N563">
            <v>0</v>
          </cell>
          <cell r="O563" t="str">
            <v/>
          </cell>
          <cell r="S563" t="str">
            <v/>
          </cell>
          <cell r="T563" t="str">
            <v/>
          </cell>
        </row>
        <row r="564">
          <cell r="A564" t="str">
            <v/>
          </cell>
          <cell r="B564">
            <v>1560</v>
          </cell>
          <cell r="D564" t="str">
            <v/>
          </cell>
          <cell r="F564" t="str">
            <v/>
          </cell>
          <cell r="J564">
            <v>0</v>
          </cell>
          <cell r="L564">
            <v>0</v>
          </cell>
          <cell r="M564">
            <v>0</v>
          </cell>
          <cell r="N564">
            <v>0</v>
          </cell>
          <cell r="O564" t="str">
            <v/>
          </cell>
          <cell r="S564" t="str">
            <v/>
          </cell>
          <cell r="T564" t="str">
            <v/>
          </cell>
        </row>
        <row r="565">
          <cell r="A565" t="str">
            <v/>
          </cell>
          <cell r="B565">
            <v>1561</v>
          </cell>
          <cell r="D565" t="str">
            <v/>
          </cell>
          <cell r="F565" t="str">
            <v/>
          </cell>
          <cell r="J565">
            <v>0</v>
          </cell>
          <cell r="L565">
            <v>0</v>
          </cell>
          <cell r="M565">
            <v>0</v>
          </cell>
          <cell r="N565">
            <v>0</v>
          </cell>
          <cell r="O565" t="str">
            <v/>
          </cell>
          <cell r="S565" t="str">
            <v/>
          </cell>
          <cell r="T565" t="str">
            <v/>
          </cell>
        </row>
        <row r="566">
          <cell r="A566" t="str">
            <v/>
          </cell>
          <cell r="B566">
            <v>1562</v>
          </cell>
          <cell r="D566" t="str">
            <v/>
          </cell>
          <cell r="F566" t="str">
            <v/>
          </cell>
          <cell r="J566">
            <v>0</v>
          </cell>
          <cell r="L566">
            <v>0</v>
          </cell>
          <cell r="M566">
            <v>0</v>
          </cell>
          <cell r="N566">
            <v>0</v>
          </cell>
          <cell r="O566" t="str">
            <v/>
          </cell>
          <cell r="S566" t="str">
            <v/>
          </cell>
          <cell r="T566" t="str">
            <v/>
          </cell>
        </row>
        <row r="567">
          <cell r="A567" t="str">
            <v/>
          </cell>
          <cell r="B567">
            <v>1563</v>
          </cell>
          <cell r="D567" t="str">
            <v/>
          </cell>
          <cell r="F567" t="str">
            <v/>
          </cell>
          <cell r="J567">
            <v>0</v>
          </cell>
          <cell r="L567">
            <v>0</v>
          </cell>
          <cell r="M567">
            <v>0</v>
          </cell>
          <cell r="N567">
            <v>0</v>
          </cell>
          <cell r="O567" t="str">
            <v/>
          </cell>
          <cell r="S567" t="str">
            <v/>
          </cell>
          <cell r="T567" t="str">
            <v/>
          </cell>
        </row>
        <row r="568">
          <cell r="A568" t="str">
            <v/>
          </cell>
          <cell r="B568">
            <v>1564</v>
          </cell>
          <cell r="D568" t="str">
            <v/>
          </cell>
          <cell r="F568" t="str">
            <v/>
          </cell>
          <cell r="J568">
            <v>0</v>
          </cell>
          <cell r="L568">
            <v>0</v>
          </cell>
          <cell r="M568">
            <v>0</v>
          </cell>
          <cell r="N568">
            <v>0</v>
          </cell>
          <cell r="O568" t="str">
            <v/>
          </cell>
          <cell r="S568" t="str">
            <v/>
          </cell>
          <cell r="T568" t="str">
            <v/>
          </cell>
        </row>
        <row r="569">
          <cell r="A569" t="str">
            <v/>
          </cell>
          <cell r="B569">
            <v>1565</v>
          </cell>
          <cell r="D569" t="str">
            <v/>
          </cell>
          <cell r="F569" t="str">
            <v/>
          </cell>
          <cell r="J569">
            <v>0</v>
          </cell>
          <cell r="L569">
            <v>0</v>
          </cell>
          <cell r="M569">
            <v>0</v>
          </cell>
          <cell r="N569">
            <v>0</v>
          </cell>
          <cell r="O569" t="str">
            <v/>
          </cell>
          <cell r="S569" t="str">
            <v/>
          </cell>
          <cell r="T569" t="str">
            <v/>
          </cell>
        </row>
        <row r="570">
          <cell r="A570" t="str">
            <v/>
          </cell>
          <cell r="B570">
            <v>1566</v>
          </cell>
          <cell r="D570" t="str">
            <v/>
          </cell>
          <cell r="F570" t="str">
            <v/>
          </cell>
          <cell r="J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/>
          </cell>
          <cell r="S570" t="str">
            <v/>
          </cell>
          <cell r="T570" t="str">
            <v/>
          </cell>
        </row>
        <row r="571">
          <cell r="A571" t="str">
            <v/>
          </cell>
          <cell r="B571">
            <v>1567</v>
          </cell>
          <cell r="D571" t="str">
            <v/>
          </cell>
          <cell r="F571" t="str">
            <v/>
          </cell>
          <cell r="J571">
            <v>0</v>
          </cell>
          <cell r="L571">
            <v>0</v>
          </cell>
          <cell r="M571">
            <v>0</v>
          </cell>
          <cell r="N571">
            <v>0</v>
          </cell>
          <cell r="O571" t="str">
            <v/>
          </cell>
          <cell r="S571" t="str">
            <v/>
          </cell>
          <cell r="T571" t="str">
            <v/>
          </cell>
        </row>
        <row r="572">
          <cell r="A572" t="str">
            <v/>
          </cell>
          <cell r="B572">
            <v>1568</v>
          </cell>
          <cell r="D572" t="str">
            <v/>
          </cell>
          <cell r="F572" t="str">
            <v/>
          </cell>
          <cell r="J572">
            <v>0</v>
          </cell>
          <cell r="L572">
            <v>0</v>
          </cell>
          <cell r="M572">
            <v>0</v>
          </cell>
          <cell r="N572">
            <v>0</v>
          </cell>
          <cell r="O572" t="str">
            <v/>
          </cell>
          <cell r="S572" t="str">
            <v/>
          </cell>
          <cell r="T572" t="str">
            <v/>
          </cell>
        </row>
        <row r="573">
          <cell r="A573" t="str">
            <v/>
          </cell>
          <cell r="B573">
            <v>1569</v>
          </cell>
          <cell r="D573" t="str">
            <v/>
          </cell>
          <cell r="F573" t="str">
            <v/>
          </cell>
          <cell r="J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/>
          </cell>
          <cell r="S573" t="str">
            <v/>
          </cell>
          <cell r="T573" t="str">
            <v/>
          </cell>
        </row>
        <row r="574">
          <cell r="A574" t="str">
            <v/>
          </cell>
          <cell r="B574">
            <v>1570</v>
          </cell>
          <cell r="D574" t="str">
            <v/>
          </cell>
          <cell r="F574" t="str">
            <v/>
          </cell>
          <cell r="J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/>
          </cell>
          <cell r="S574" t="str">
            <v/>
          </cell>
          <cell r="T574" t="str">
            <v/>
          </cell>
        </row>
        <row r="575">
          <cell r="A575" t="str">
            <v/>
          </cell>
          <cell r="B575">
            <v>1571</v>
          </cell>
          <cell r="D575" t="str">
            <v/>
          </cell>
          <cell r="F575" t="str">
            <v/>
          </cell>
          <cell r="J575">
            <v>0</v>
          </cell>
          <cell r="L575">
            <v>0</v>
          </cell>
          <cell r="M575">
            <v>0</v>
          </cell>
          <cell r="N575">
            <v>0</v>
          </cell>
          <cell r="O575" t="str">
            <v/>
          </cell>
          <cell r="S575" t="str">
            <v/>
          </cell>
          <cell r="T575" t="str">
            <v/>
          </cell>
        </row>
        <row r="576">
          <cell r="A576" t="str">
            <v/>
          </cell>
          <cell r="B576">
            <v>1572</v>
          </cell>
          <cell r="D576" t="str">
            <v/>
          </cell>
          <cell r="F576" t="str">
            <v/>
          </cell>
          <cell r="J576">
            <v>0</v>
          </cell>
          <cell r="L576">
            <v>0</v>
          </cell>
          <cell r="M576">
            <v>0</v>
          </cell>
          <cell r="N576">
            <v>0</v>
          </cell>
          <cell r="O576" t="str">
            <v/>
          </cell>
          <cell r="S576" t="str">
            <v/>
          </cell>
          <cell r="T576" t="str">
            <v/>
          </cell>
        </row>
        <row r="577">
          <cell r="A577" t="str">
            <v/>
          </cell>
          <cell r="B577">
            <v>1573</v>
          </cell>
          <cell r="D577" t="str">
            <v/>
          </cell>
          <cell r="F577" t="str">
            <v/>
          </cell>
          <cell r="J577">
            <v>0</v>
          </cell>
          <cell r="L577">
            <v>0</v>
          </cell>
          <cell r="M577">
            <v>0</v>
          </cell>
          <cell r="N577">
            <v>0</v>
          </cell>
          <cell r="O577" t="str">
            <v/>
          </cell>
          <cell r="S577" t="str">
            <v/>
          </cell>
          <cell r="T577" t="str">
            <v/>
          </cell>
        </row>
        <row r="578">
          <cell r="A578" t="str">
            <v/>
          </cell>
          <cell r="B578">
            <v>1574</v>
          </cell>
          <cell r="D578" t="str">
            <v/>
          </cell>
          <cell r="F578" t="str">
            <v/>
          </cell>
          <cell r="J578">
            <v>0</v>
          </cell>
          <cell r="L578">
            <v>0</v>
          </cell>
          <cell r="M578">
            <v>0</v>
          </cell>
          <cell r="N578">
            <v>0</v>
          </cell>
          <cell r="O578" t="str">
            <v/>
          </cell>
          <cell r="S578" t="str">
            <v/>
          </cell>
          <cell r="T578" t="str">
            <v/>
          </cell>
        </row>
        <row r="579">
          <cell r="A579" t="str">
            <v/>
          </cell>
          <cell r="B579">
            <v>1575</v>
          </cell>
          <cell r="D579" t="str">
            <v/>
          </cell>
          <cell r="F579" t="str">
            <v/>
          </cell>
          <cell r="J579">
            <v>0</v>
          </cell>
          <cell r="L579">
            <v>0</v>
          </cell>
          <cell r="M579">
            <v>0</v>
          </cell>
          <cell r="N579">
            <v>0</v>
          </cell>
          <cell r="O579" t="str">
            <v/>
          </cell>
          <cell r="S579" t="str">
            <v/>
          </cell>
          <cell r="T579" t="str">
            <v/>
          </cell>
        </row>
        <row r="580">
          <cell r="A580" t="str">
            <v/>
          </cell>
          <cell r="B580">
            <v>1576</v>
          </cell>
          <cell r="D580" t="str">
            <v/>
          </cell>
          <cell r="F580" t="str">
            <v/>
          </cell>
          <cell r="J580">
            <v>0</v>
          </cell>
          <cell r="L580">
            <v>0</v>
          </cell>
          <cell r="M580">
            <v>0</v>
          </cell>
          <cell r="N580">
            <v>0</v>
          </cell>
          <cell r="O580" t="str">
            <v/>
          </cell>
          <cell r="S580" t="str">
            <v/>
          </cell>
          <cell r="T580" t="str">
            <v/>
          </cell>
        </row>
        <row r="581">
          <cell r="A581" t="str">
            <v/>
          </cell>
          <cell r="B581">
            <v>1577</v>
          </cell>
          <cell r="D581" t="str">
            <v/>
          </cell>
          <cell r="F581" t="str">
            <v/>
          </cell>
          <cell r="J581">
            <v>0</v>
          </cell>
          <cell r="L581">
            <v>0</v>
          </cell>
          <cell r="M581">
            <v>0</v>
          </cell>
          <cell r="N581">
            <v>0</v>
          </cell>
          <cell r="O581" t="str">
            <v/>
          </cell>
          <cell r="S581" t="str">
            <v/>
          </cell>
          <cell r="T581" t="str">
            <v/>
          </cell>
        </row>
        <row r="582">
          <cell r="A582" t="str">
            <v/>
          </cell>
          <cell r="B582">
            <v>1578</v>
          </cell>
          <cell r="D582" t="str">
            <v/>
          </cell>
          <cell r="F582" t="str">
            <v/>
          </cell>
          <cell r="J582">
            <v>0</v>
          </cell>
          <cell r="L582">
            <v>0</v>
          </cell>
          <cell r="M582">
            <v>0</v>
          </cell>
          <cell r="N582">
            <v>0</v>
          </cell>
          <cell r="O582" t="str">
            <v/>
          </cell>
          <cell r="S582" t="str">
            <v/>
          </cell>
          <cell r="T582" t="str">
            <v/>
          </cell>
        </row>
        <row r="583">
          <cell r="A583" t="str">
            <v/>
          </cell>
          <cell r="B583">
            <v>1579</v>
          </cell>
          <cell r="D583" t="str">
            <v/>
          </cell>
          <cell r="F583" t="str">
            <v/>
          </cell>
          <cell r="J583">
            <v>0</v>
          </cell>
          <cell r="L583">
            <v>0</v>
          </cell>
          <cell r="M583">
            <v>0</v>
          </cell>
          <cell r="N583">
            <v>0</v>
          </cell>
          <cell r="O583" t="str">
            <v/>
          </cell>
          <cell r="S583" t="str">
            <v/>
          </cell>
          <cell r="T583" t="str">
            <v/>
          </cell>
        </row>
        <row r="584">
          <cell r="A584" t="str">
            <v/>
          </cell>
          <cell r="B584">
            <v>1580</v>
          </cell>
          <cell r="D584" t="str">
            <v/>
          </cell>
          <cell r="F584" t="str">
            <v/>
          </cell>
          <cell r="J584">
            <v>0</v>
          </cell>
          <cell r="L584">
            <v>0</v>
          </cell>
          <cell r="M584">
            <v>0</v>
          </cell>
          <cell r="N584">
            <v>0</v>
          </cell>
          <cell r="O584" t="str">
            <v/>
          </cell>
          <cell r="S584" t="str">
            <v/>
          </cell>
          <cell r="T584" t="str">
            <v/>
          </cell>
        </row>
        <row r="585">
          <cell r="A585" t="str">
            <v/>
          </cell>
          <cell r="B585">
            <v>1581</v>
          </cell>
          <cell r="D585" t="str">
            <v/>
          </cell>
          <cell r="F585" t="str">
            <v/>
          </cell>
          <cell r="J585">
            <v>0</v>
          </cell>
          <cell r="L585">
            <v>0</v>
          </cell>
          <cell r="M585">
            <v>0</v>
          </cell>
          <cell r="N585">
            <v>0</v>
          </cell>
          <cell r="O585" t="str">
            <v/>
          </cell>
          <cell r="S585" t="str">
            <v/>
          </cell>
          <cell r="T585" t="str">
            <v/>
          </cell>
        </row>
        <row r="586">
          <cell r="A586" t="str">
            <v/>
          </cell>
          <cell r="B586">
            <v>1582</v>
          </cell>
          <cell r="D586" t="str">
            <v/>
          </cell>
          <cell r="F586" t="str">
            <v/>
          </cell>
          <cell r="J586">
            <v>0</v>
          </cell>
          <cell r="L586">
            <v>0</v>
          </cell>
          <cell r="M586">
            <v>0</v>
          </cell>
          <cell r="N586">
            <v>0</v>
          </cell>
          <cell r="O586" t="str">
            <v/>
          </cell>
          <cell r="S586" t="str">
            <v/>
          </cell>
          <cell r="T586" t="str">
            <v/>
          </cell>
        </row>
        <row r="587">
          <cell r="A587" t="str">
            <v/>
          </cell>
          <cell r="B587">
            <v>1583</v>
          </cell>
          <cell r="D587" t="str">
            <v/>
          </cell>
          <cell r="F587" t="str">
            <v/>
          </cell>
          <cell r="J587">
            <v>0</v>
          </cell>
          <cell r="L587">
            <v>0</v>
          </cell>
          <cell r="M587">
            <v>0</v>
          </cell>
          <cell r="N587">
            <v>0</v>
          </cell>
          <cell r="O587" t="str">
            <v/>
          </cell>
          <cell r="S587" t="str">
            <v/>
          </cell>
          <cell r="T587" t="str">
            <v/>
          </cell>
        </row>
        <row r="588">
          <cell r="A588" t="str">
            <v/>
          </cell>
          <cell r="B588">
            <v>1584</v>
          </cell>
          <cell r="D588" t="str">
            <v/>
          </cell>
          <cell r="F588" t="str">
            <v/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O588" t="str">
            <v/>
          </cell>
          <cell r="S588" t="str">
            <v/>
          </cell>
          <cell r="T588" t="str">
            <v/>
          </cell>
        </row>
        <row r="589">
          <cell r="A589" t="str">
            <v/>
          </cell>
          <cell r="B589">
            <v>1585</v>
          </cell>
          <cell r="D589" t="str">
            <v/>
          </cell>
          <cell r="F589" t="str">
            <v/>
          </cell>
          <cell r="J589">
            <v>0</v>
          </cell>
          <cell r="L589">
            <v>0</v>
          </cell>
          <cell r="M589">
            <v>0</v>
          </cell>
          <cell r="N589">
            <v>0</v>
          </cell>
          <cell r="O589" t="str">
            <v/>
          </cell>
          <cell r="S589" t="str">
            <v/>
          </cell>
          <cell r="T589" t="str">
            <v/>
          </cell>
        </row>
        <row r="590">
          <cell r="A590" t="str">
            <v/>
          </cell>
          <cell r="B590">
            <v>1586</v>
          </cell>
          <cell r="D590" t="str">
            <v/>
          </cell>
          <cell r="F590" t="str">
            <v/>
          </cell>
          <cell r="J590">
            <v>0</v>
          </cell>
          <cell r="L590">
            <v>0</v>
          </cell>
          <cell r="M590">
            <v>0</v>
          </cell>
          <cell r="N590">
            <v>0</v>
          </cell>
          <cell r="O590" t="str">
            <v/>
          </cell>
          <cell r="S590" t="str">
            <v/>
          </cell>
          <cell r="T590" t="str">
            <v/>
          </cell>
        </row>
        <row r="591">
          <cell r="A591" t="str">
            <v/>
          </cell>
          <cell r="B591">
            <v>1587</v>
          </cell>
          <cell r="D591" t="str">
            <v/>
          </cell>
          <cell r="F591" t="str">
            <v/>
          </cell>
          <cell r="J591">
            <v>0</v>
          </cell>
          <cell r="L591">
            <v>0</v>
          </cell>
          <cell r="M591">
            <v>0</v>
          </cell>
          <cell r="N591">
            <v>0</v>
          </cell>
          <cell r="O591" t="str">
            <v/>
          </cell>
          <cell r="S591" t="str">
            <v/>
          </cell>
          <cell r="T591" t="str">
            <v/>
          </cell>
        </row>
        <row r="592">
          <cell r="A592" t="str">
            <v/>
          </cell>
          <cell r="B592">
            <v>1588</v>
          </cell>
          <cell r="D592" t="str">
            <v/>
          </cell>
          <cell r="F592" t="str">
            <v/>
          </cell>
          <cell r="J592">
            <v>0</v>
          </cell>
          <cell r="L592">
            <v>0</v>
          </cell>
          <cell r="M592">
            <v>0</v>
          </cell>
          <cell r="N592">
            <v>0</v>
          </cell>
          <cell r="O592" t="str">
            <v/>
          </cell>
          <cell r="S592" t="str">
            <v/>
          </cell>
          <cell r="T592" t="str">
            <v/>
          </cell>
        </row>
        <row r="593">
          <cell r="A593" t="str">
            <v/>
          </cell>
          <cell r="B593">
            <v>1589</v>
          </cell>
          <cell r="D593" t="str">
            <v/>
          </cell>
          <cell r="F593" t="str">
            <v/>
          </cell>
          <cell r="J593">
            <v>0</v>
          </cell>
          <cell r="L593">
            <v>0</v>
          </cell>
          <cell r="M593">
            <v>0</v>
          </cell>
          <cell r="N593">
            <v>0</v>
          </cell>
          <cell r="O593" t="str">
            <v/>
          </cell>
          <cell r="S593" t="str">
            <v/>
          </cell>
          <cell r="T593" t="str">
            <v/>
          </cell>
        </row>
        <row r="594">
          <cell r="A594" t="str">
            <v/>
          </cell>
          <cell r="B594">
            <v>1590</v>
          </cell>
          <cell r="D594" t="str">
            <v/>
          </cell>
          <cell r="F594" t="str">
            <v/>
          </cell>
          <cell r="J594">
            <v>0</v>
          </cell>
          <cell r="L594">
            <v>0</v>
          </cell>
          <cell r="M594">
            <v>0</v>
          </cell>
          <cell r="N594">
            <v>0</v>
          </cell>
          <cell r="O594" t="str">
            <v/>
          </cell>
          <cell r="S594" t="str">
            <v/>
          </cell>
          <cell r="T594" t="str">
            <v/>
          </cell>
        </row>
        <row r="595">
          <cell r="A595" t="str">
            <v/>
          </cell>
          <cell r="B595">
            <v>1591</v>
          </cell>
          <cell r="D595" t="str">
            <v/>
          </cell>
          <cell r="F595" t="str">
            <v/>
          </cell>
          <cell r="J595">
            <v>0</v>
          </cell>
          <cell r="L595">
            <v>0</v>
          </cell>
          <cell r="M595">
            <v>0</v>
          </cell>
          <cell r="N595">
            <v>0</v>
          </cell>
          <cell r="O595" t="str">
            <v/>
          </cell>
          <cell r="S595" t="str">
            <v/>
          </cell>
          <cell r="T595" t="str">
            <v/>
          </cell>
        </row>
        <row r="596">
          <cell r="A596" t="str">
            <v/>
          </cell>
          <cell r="B596">
            <v>1592</v>
          </cell>
          <cell r="D596" t="str">
            <v/>
          </cell>
          <cell r="F596" t="str">
            <v/>
          </cell>
          <cell r="J596">
            <v>0</v>
          </cell>
          <cell r="L596">
            <v>0</v>
          </cell>
          <cell r="M596">
            <v>0</v>
          </cell>
          <cell r="N596">
            <v>0</v>
          </cell>
          <cell r="O596" t="str">
            <v/>
          </cell>
          <cell r="S596" t="str">
            <v/>
          </cell>
          <cell r="T596" t="str">
            <v/>
          </cell>
        </row>
        <row r="597">
          <cell r="A597" t="str">
            <v/>
          </cell>
          <cell r="B597">
            <v>1593</v>
          </cell>
          <cell r="D597" t="str">
            <v/>
          </cell>
          <cell r="F597" t="str">
            <v/>
          </cell>
          <cell r="J597">
            <v>0</v>
          </cell>
          <cell r="L597">
            <v>0</v>
          </cell>
          <cell r="M597">
            <v>0</v>
          </cell>
          <cell r="N597">
            <v>0</v>
          </cell>
          <cell r="O597" t="str">
            <v/>
          </cell>
          <cell r="S597" t="str">
            <v/>
          </cell>
          <cell r="T597" t="str">
            <v/>
          </cell>
        </row>
        <row r="598">
          <cell r="A598" t="str">
            <v/>
          </cell>
          <cell r="B598">
            <v>1594</v>
          </cell>
          <cell r="D598" t="str">
            <v/>
          </cell>
          <cell r="F598" t="str">
            <v/>
          </cell>
          <cell r="J598">
            <v>0</v>
          </cell>
          <cell r="L598">
            <v>0</v>
          </cell>
          <cell r="M598">
            <v>0</v>
          </cell>
          <cell r="N598">
            <v>0</v>
          </cell>
          <cell r="O598" t="str">
            <v/>
          </cell>
          <cell r="S598" t="str">
            <v/>
          </cell>
          <cell r="T598" t="str">
            <v/>
          </cell>
        </row>
        <row r="599">
          <cell r="A599" t="str">
            <v/>
          </cell>
          <cell r="B599">
            <v>1595</v>
          </cell>
          <cell r="D599" t="str">
            <v/>
          </cell>
          <cell r="F599" t="str">
            <v/>
          </cell>
          <cell r="J599">
            <v>0</v>
          </cell>
          <cell r="L599">
            <v>0</v>
          </cell>
          <cell r="M599">
            <v>0</v>
          </cell>
          <cell r="N599">
            <v>0</v>
          </cell>
          <cell r="O599" t="str">
            <v/>
          </cell>
          <cell r="S599" t="str">
            <v/>
          </cell>
          <cell r="T599" t="str">
            <v/>
          </cell>
        </row>
        <row r="600">
          <cell r="A600" t="str">
            <v/>
          </cell>
          <cell r="B600">
            <v>1596</v>
          </cell>
          <cell r="D600" t="str">
            <v/>
          </cell>
          <cell r="F600" t="str">
            <v/>
          </cell>
          <cell r="J600">
            <v>0</v>
          </cell>
          <cell r="L600">
            <v>0</v>
          </cell>
          <cell r="M600">
            <v>0</v>
          </cell>
          <cell r="N600">
            <v>0</v>
          </cell>
          <cell r="O600" t="str">
            <v/>
          </cell>
          <cell r="S600" t="str">
            <v/>
          </cell>
          <cell r="T600" t="str">
            <v/>
          </cell>
        </row>
        <row r="601">
          <cell r="A601" t="str">
            <v/>
          </cell>
          <cell r="B601">
            <v>1597</v>
          </cell>
          <cell r="D601" t="str">
            <v/>
          </cell>
          <cell r="F601" t="str">
            <v/>
          </cell>
          <cell r="J601">
            <v>0</v>
          </cell>
          <cell r="L601">
            <v>0</v>
          </cell>
          <cell r="M601">
            <v>0</v>
          </cell>
          <cell r="N601">
            <v>0</v>
          </cell>
          <cell r="O601" t="str">
            <v/>
          </cell>
          <cell r="S601" t="str">
            <v/>
          </cell>
          <cell r="T601" t="str">
            <v/>
          </cell>
        </row>
        <row r="602">
          <cell r="A602" t="str">
            <v/>
          </cell>
          <cell r="B602">
            <v>1598</v>
          </cell>
          <cell r="D602" t="str">
            <v/>
          </cell>
          <cell r="F602" t="str">
            <v/>
          </cell>
          <cell r="J602">
            <v>0</v>
          </cell>
          <cell r="L602">
            <v>0</v>
          </cell>
          <cell r="M602">
            <v>0</v>
          </cell>
          <cell r="N602">
            <v>0</v>
          </cell>
          <cell r="O602" t="str">
            <v/>
          </cell>
          <cell r="S602" t="str">
            <v/>
          </cell>
          <cell r="T602" t="str">
            <v/>
          </cell>
        </row>
        <row r="603">
          <cell r="A603" t="str">
            <v/>
          </cell>
          <cell r="B603">
            <v>1599</v>
          </cell>
          <cell r="D603" t="str">
            <v/>
          </cell>
          <cell r="F603" t="str">
            <v/>
          </cell>
          <cell r="J603">
            <v>0</v>
          </cell>
          <cell r="L603">
            <v>0</v>
          </cell>
          <cell r="M603">
            <v>0</v>
          </cell>
          <cell r="N603">
            <v>0</v>
          </cell>
          <cell r="O603" t="str">
            <v/>
          </cell>
          <cell r="S603" t="str">
            <v/>
          </cell>
          <cell r="T603" t="str">
            <v/>
          </cell>
        </row>
        <row r="604">
          <cell r="A604" t="str">
            <v/>
          </cell>
          <cell r="B604">
            <v>1600</v>
          </cell>
          <cell r="D604" t="str">
            <v/>
          </cell>
          <cell r="F604" t="str">
            <v/>
          </cell>
          <cell r="J604">
            <v>0</v>
          </cell>
          <cell r="L604">
            <v>0</v>
          </cell>
          <cell r="M604">
            <v>0</v>
          </cell>
          <cell r="N604">
            <v>0</v>
          </cell>
          <cell r="O604" t="str">
            <v/>
          </cell>
          <cell r="S604" t="str">
            <v/>
          </cell>
          <cell r="T604" t="str">
            <v/>
          </cell>
        </row>
        <row r="605">
          <cell r="A605" t="str">
            <v/>
          </cell>
          <cell r="B605">
            <v>1601</v>
          </cell>
          <cell r="D605" t="str">
            <v/>
          </cell>
          <cell r="F605" t="str">
            <v/>
          </cell>
          <cell r="J605">
            <v>0</v>
          </cell>
          <cell r="L605">
            <v>0</v>
          </cell>
          <cell r="M605">
            <v>0</v>
          </cell>
          <cell r="N605">
            <v>0</v>
          </cell>
          <cell r="O605" t="str">
            <v/>
          </cell>
          <cell r="S605" t="str">
            <v/>
          </cell>
          <cell r="T605" t="str">
            <v/>
          </cell>
        </row>
        <row r="606">
          <cell r="A606" t="str">
            <v/>
          </cell>
          <cell r="B606">
            <v>1602</v>
          </cell>
          <cell r="D606" t="str">
            <v/>
          </cell>
          <cell r="F606" t="str">
            <v/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  <cell r="O606" t="str">
            <v/>
          </cell>
          <cell r="S606" t="str">
            <v/>
          </cell>
          <cell r="T606" t="str">
            <v/>
          </cell>
        </row>
        <row r="607">
          <cell r="A607" t="str">
            <v/>
          </cell>
          <cell r="B607">
            <v>1603</v>
          </cell>
          <cell r="D607" t="str">
            <v/>
          </cell>
          <cell r="F607" t="str">
            <v/>
          </cell>
          <cell r="J607">
            <v>0</v>
          </cell>
          <cell r="L607">
            <v>0</v>
          </cell>
          <cell r="M607">
            <v>0</v>
          </cell>
          <cell r="N607">
            <v>0</v>
          </cell>
          <cell r="O607" t="str">
            <v/>
          </cell>
          <cell r="S607" t="str">
            <v/>
          </cell>
          <cell r="T607" t="str">
            <v/>
          </cell>
        </row>
        <row r="608">
          <cell r="A608" t="str">
            <v/>
          </cell>
          <cell r="B608">
            <v>1604</v>
          </cell>
          <cell r="D608" t="str">
            <v/>
          </cell>
          <cell r="F608" t="str">
            <v/>
          </cell>
          <cell r="J608">
            <v>0</v>
          </cell>
          <cell r="L608">
            <v>0</v>
          </cell>
          <cell r="M608">
            <v>0</v>
          </cell>
          <cell r="N608">
            <v>0</v>
          </cell>
          <cell r="O608" t="str">
            <v/>
          </cell>
          <cell r="S608" t="str">
            <v/>
          </cell>
          <cell r="T608" t="str">
            <v/>
          </cell>
        </row>
        <row r="609">
          <cell r="A609" t="str">
            <v/>
          </cell>
          <cell r="B609">
            <v>1605</v>
          </cell>
          <cell r="D609" t="str">
            <v/>
          </cell>
          <cell r="F609" t="str">
            <v/>
          </cell>
          <cell r="J609">
            <v>0</v>
          </cell>
          <cell r="L609">
            <v>0</v>
          </cell>
          <cell r="M609">
            <v>0</v>
          </cell>
          <cell r="N609">
            <v>0</v>
          </cell>
          <cell r="O609" t="str">
            <v/>
          </cell>
          <cell r="S609" t="str">
            <v/>
          </cell>
          <cell r="T609" t="str">
            <v/>
          </cell>
        </row>
        <row r="610">
          <cell r="A610" t="str">
            <v/>
          </cell>
          <cell r="B610">
            <v>1606</v>
          </cell>
          <cell r="D610" t="str">
            <v/>
          </cell>
          <cell r="F610" t="str">
            <v/>
          </cell>
          <cell r="J610">
            <v>0</v>
          </cell>
          <cell r="L610">
            <v>0</v>
          </cell>
          <cell r="M610">
            <v>0</v>
          </cell>
          <cell r="N610">
            <v>0</v>
          </cell>
          <cell r="O610" t="str">
            <v/>
          </cell>
          <cell r="S610" t="str">
            <v/>
          </cell>
          <cell r="T610" t="str">
            <v/>
          </cell>
        </row>
        <row r="611">
          <cell r="A611" t="str">
            <v/>
          </cell>
          <cell r="B611">
            <v>1607</v>
          </cell>
          <cell r="D611" t="str">
            <v/>
          </cell>
          <cell r="F611" t="str">
            <v/>
          </cell>
          <cell r="J611">
            <v>0</v>
          </cell>
          <cell r="L611">
            <v>0</v>
          </cell>
          <cell r="M611">
            <v>0</v>
          </cell>
          <cell r="N611">
            <v>0</v>
          </cell>
          <cell r="O611" t="str">
            <v/>
          </cell>
          <cell r="S611" t="str">
            <v/>
          </cell>
          <cell r="T611" t="str">
            <v/>
          </cell>
        </row>
        <row r="612">
          <cell r="A612" t="str">
            <v/>
          </cell>
          <cell r="B612">
            <v>1608</v>
          </cell>
          <cell r="D612" t="str">
            <v/>
          </cell>
          <cell r="F612" t="str">
            <v/>
          </cell>
          <cell r="J612">
            <v>0</v>
          </cell>
          <cell r="L612">
            <v>0</v>
          </cell>
          <cell r="M612">
            <v>0</v>
          </cell>
          <cell r="N612">
            <v>0</v>
          </cell>
          <cell r="O612" t="str">
            <v/>
          </cell>
          <cell r="S612" t="str">
            <v/>
          </cell>
          <cell r="T612" t="str">
            <v/>
          </cell>
        </row>
        <row r="613">
          <cell r="A613" t="str">
            <v/>
          </cell>
          <cell r="B613">
            <v>1609</v>
          </cell>
          <cell r="D613" t="str">
            <v/>
          </cell>
          <cell r="F613" t="str">
            <v/>
          </cell>
          <cell r="J613">
            <v>0</v>
          </cell>
          <cell r="L613">
            <v>0</v>
          </cell>
          <cell r="M613">
            <v>0</v>
          </cell>
          <cell r="N613">
            <v>0</v>
          </cell>
          <cell r="O613" t="str">
            <v/>
          </cell>
          <cell r="S613" t="str">
            <v/>
          </cell>
          <cell r="T613" t="str">
            <v/>
          </cell>
        </row>
        <row r="614">
          <cell r="A614" t="str">
            <v/>
          </cell>
          <cell r="B614">
            <v>1610</v>
          </cell>
          <cell r="D614" t="str">
            <v/>
          </cell>
          <cell r="F614" t="str">
            <v/>
          </cell>
          <cell r="J614">
            <v>0</v>
          </cell>
          <cell r="L614">
            <v>0</v>
          </cell>
          <cell r="M614">
            <v>0</v>
          </cell>
          <cell r="N614">
            <v>0</v>
          </cell>
          <cell r="O614" t="str">
            <v/>
          </cell>
          <cell r="S614" t="str">
            <v/>
          </cell>
          <cell r="T614" t="str">
            <v/>
          </cell>
        </row>
        <row r="615">
          <cell r="A615" t="str">
            <v/>
          </cell>
          <cell r="B615">
            <v>1611</v>
          </cell>
          <cell r="D615" t="str">
            <v/>
          </cell>
          <cell r="F615" t="str">
            <v/>
          </cell>
          <cell r="J615">
            <v>0</v>
          </cell>
          <cell r="L615">
            <v>0</v>
          </cell>
          <cell r="M615">
            <v>0</v>
          </cell>
          <cell r="N615">
            <v>0</v>
          </cell>
          <cell r="O615" t="str">
            <v/>
          </cell>
          <cell r="S615" t="str">
            <v/>
          </cell>
          <cell r="T615" t="str">
            <v/>
          </cell>
        </row>
        <row r="616">
          <cell r="A616" t="str">
            <v/>
          </cell>
          <cell r="B616">
            <v>1612</v>
          </cell>
          <cell r="D616" t="str">
            <v/>
          </cell>
          <cell r="F616" t="str">
            <v/>
          </cell>
          <cell r="J616">
            <v>0</v>
          </cell>
          <cell r="L616">
            <v>0</v>
          </cell>
          <cell r="M616">
            <v>0</v>
          </cell>
          <cell r="N616">
            <v>0</v>
          </cell>
          <cell r="O616" t="str">
            <v/>
          </cell>
          <cell r="S616" t="str">
            <v/>
          </cell>
          <cell r="T616" t="str">
            <v/>
          </cell>
        </row>
        <row r="617">
          <cell r="A617" t="str">
            <v/>
          </cell>
          <cell r="B617">
            <v>1613</v>
          </cell>
          <cell r="D617" t="str">
            <v/>
          </cell>
          <cell r="F617" t="str">
            <v/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O617" t="str">
            <v/>
          </cell>
          <cell r="S617" t="str">
            <v/>
          </cell>
          <cell r="T617" t="str">
            <v/>
          </cell>
        </row>
        <row r="618">
          <cell r="A618" t="str">
            <v/>
          </cell>
          <cell r="B618">
            <v>1614</v>
          </cell>
          <cell r="D618" t="str">
            <v/>
          </cell>
          <cell r="F618" t="str">
            <v/>
          </cell>
          <cell r="J618">
            <v>0</v>
          </cell>
          <cell r="L618">
            <v>0</v>
          </cell>
          <cell r="M618">
            <v>0</v>
          </cell>
          <cell r="N618">
            <v>0</v>
          </cell>
          <cell r="O618" t="str">
            <v/>
          </cell>
          <cell r="S618" t="str">
            <v/>
          </cell>
          <cell r="T618" t="str">
            <v/>
          </cell>
        </row>
        <row r="619">
          <cell r="A619" t="str">
            <v/>
          </cell>
          <cell r="B619">
            <v>1615</v>
          </cell>
          <cell r="D619" t="str">
            <v/>
          </cell>
          <cell r="F619" t="str">
            <v/>
          </cell>
          <cell r="J619">
            <v>0</v>
          </cell>
          <cell r="L619">
            <v>0</v>
          </cell>
          <cell r="M619">
            <v>0</v>
          </cell>
          <cell r="N619">
            <v>0</v>
          </cell>
          <cell r="O619" t="str">
            <v/>
          </cell>
          <cell r="S619" t="str">
            <v/>
          </cell>
          <cell r="T619" t="str">
            <v/>
          </cell>
        </row>
        <row r="620">
          <cell r="A620" t="str">
            <v/>
          </cell>
          <cell r="B620">
            <v>1616</v>
          </cell>
          <cell r="D620" t="str">
            <v/>
          </cell>
          <cell r="F620" t="str">
            <v/>
          </cell>
          <cell r="J620">
            <v>0</v>
          </cell>
          <cell r="L620">
            <v>0</v>
          </cell>
          <cell r="M620">
            <v>0</v>
          </cell>
          <cell r="N620">
            <v>0</v>
          </cell>
          <cell r="O620" t="str">
            <v/>
          </cell>
          <cell r="S620" t="str">
            <v/>
          </cell>
          <cell r="T620" t="str">
            <v/>
          </cell>
        </row>
        <row r="621">
          <cell r="A621" t="str">
            <v/>
          </cell>
          <cell r="B621">
            <v>1617</v>
          </cell>
          <cell r="D621" t="str">
            <v/>
          </cell>
          <cell r="F621" t="str">
            <v/>
          </cell>
          <cell r="J621">
            <v>0</v>
          </cell>
          <cell r="L621">
            <v>0</v>
          </cell>
          <cell r="M621">
            <v>0</v>
          </cell>
          <cell r="N621">
            <v>0</v>
          </cell>
          <cell r="O621" t="str">
            <v/>
          </cell>
          <cell r="S621" t="str">
            <v/>
          </cell>
          <cell r="T621" t="str">
            <v/>
          </cell>
        </row>
        <row r="622">
          <cell r="A622" t="str">
            <v/>
          </cell>
          <cell r="B622">
            <v>1618</v>
          </cell>
          <cell r="D622" t="str">
            <v/>
          </cell>
          <cell r="F622" t="str">
            <v/>
          </cell>
          <cell r="J622">
            <v>0</v>
          </cell>
          <cell r="L622">
            <v>0</v>
          </cell>
          <cell r="M622">
            <v>0</v>
          </cell>
          <cell r="N622">
            <v>0</v>
          </cell>
          <cell r="O622" t="str">
            <v/>
          </cell>
          <cell r="S622" t="str">
            <v/>
          </cell>
          <cell r="T622" t="str">
            <v/>
          </cell>
        </row>
        <row r="623">
          <cell r="A623" t="str">
            <v/>
          </cell>
          <cell r="B623">
            <v>1619</v>
          </cell>
          <cell r="D623" t="str">
            <v/>
          </cell>
          <cell r="F623" t="str">
            <v/>
          </cell>
          <cell r="J623">
            <v>0</v>
          </cell>
          <cell r="L623">
            <v>0</v>
          </cell>
          <cell r="M623">
            <v>0</v>
          </cell>
          <cell r="N623">
            <v>0</v>
          </cell>
          <cell r="O623" t="str">
            <v/>
          </cell>
          <cell r="S623" t="str">
            <v/>
          </cell>
          <cell r="T623" t="str">
            <v/>
          </cell>
        </row>
        <row r="624">
          <cell r="A624" t="str">
            <v/>
          </cell>
          <cell r="B624">
            <v>1620</v>
          </cell>
          <cell r="D624" t="str">
            <v/>
          </cell>
          <cell r="F624" t="str">
            <v/>
          </cell>
          <cell r="J624">
            <v>0</v>
          </cell>
          <cell r="L624">
            <v>0</v>
          </cell>
          <cell r="M624">
            <v>0</v>
          </cell>
          <cell r="N624">
            <v>0</v>
          </cell>
          <cell r="O624" t="str">
            <v/>
          </cell>
          <cell r="S624" t="str">
            <v/>
          </cell>
          <cell r="T624" t="str">
            <v/>
          </cell>
        </row>
        <row r="625">
          <cell r="A625" t="str">
            <v/>
          </cell>
          <cell r="B625">
            <v>1621</v>
          </cell>
          <cell r="D625" t="str">
            <v/>
          </cell>
          <cell r="F625" t="str">
            <v/>
          </cell>
          <cell r="J625">
            <v>0</v>
          </cell>
          <cell r="L625">
            <v>0</v>
          </cell>
          <cell r="M625">
            <v>0</v>
          </cell>
          <cell r="N625">
            <v>0</v>
          </cell>
          <cell r="O625" t="str">
            <v/>
          </cell>
          <cell r="S625" t="str">
            <v/>
          </cell>
          <cell r="T625" t="str">
            <v/>
          </cell>
        </row>
        <row r="626">
          <cell r="A626" t="str">
            <v/>
          </cell>
          <cell r="B626">
            <v>1622</v>
          </cell>
          <cell r="D626" t="str">
            <v/>
          </cell>
          <cell r="F626" t="str">
            <v/>
          </cell>
          <cell r="J626">
            <v>0</v>
          </cell>
          <cell r="L626">
            <v>0</v>
          </cell>
          <cell r="M626">
            <v>0</v>
          </cell>
          <cell r="N626">
            <v>0</v>
          </cell>
          <cell r="O626" t="str">
            <v/>
          </cell>
          <cell r="S626" t="str">
            <v/>
          </cell>
          <cell r="T626" t="str">
            <v/>
          </cell>
        </row>
        <row r="627">
          <cell r="A627" t="str">
            <v/>
          </cell>
          <cell r="B627">
            <v>1623</v>
          </cell>
          <cell r="D627" t="str">
            <v/>
          </cell>
          <cell r="F627" t="str">
            <v/>
          </cell>
          <cell r="J627">
            <v>0</v>
          </cell>
          <cell r="L627">
            <v>0</v>
          </cell>
          <cell r="M627">
            <v>0</v>
          </cell>
          <cell r="N627">
            <v>0</v>
          </cell>
          <cell r="O627" t="str">
            <v/>
          </cell>
          <cell r="S627" t="str">
            <v/>
          </cell>
          <cell r="T627" t="str">
            <v/>
          </cell>
        </row>
        <row r="628">
          <cell r="A628" t="str">
            <v/>
          </cell>
          <cell r="B628">
            <v>1624</v>
          </cell>
          <cell r="D628" t="str">
            <v/>
          </cell>
          <cell r="F628" t="str">
            <v/>
          </cell>
          <cell r="J628">
            <v>0</v>
          </cell>
          <cell r="L628">
            <v>0</v>
          </cell>
          <cell r="M628">
            <v>0</v>
          </cell>
          <cell r="N628">
            <v>0</v>
          </cell>
          <cell r="O628" t="str">
            <v/>
          </cell>
          <cell r="S628" t="str">
            <v/>
          </cell>
          <cell r="T628" t="str">
            <v/>
          </cell>
        </row>
        <row r="629">
          <cell r="A629" t="str">
            <v/>
          </cell>
          <cell r="B629">
            <v>1625</v>
          </cell>
          <cell r="D629" t="str">
            <v/>
          </cell>
          <cell r="F629" t="str">
            <v/>
          </cell>
          <cell r="J629">
            <v>0</v>
          </cell>
          <cell r="L629">
            <v>0</v>
          </cell>
          <cell r="M629">
            <v>0</v>
          </cell>
          <cell r="N629">
            <v>0</v>
          </cell>
          <cell r="O629" t="str">
            <v/>
          </cell>
          <cell r="S629" t="str">
            <v/>
          </cell>
          <cell r="T629" t="str">
            <v/>
          </cell>
        </row>
        <row r="630">
          <cell r="A630" t="str">
            <v/>
          </cell>
          <cell r="B630">
            <v>1626</v>
          </cell>
          <cell r="D630" t="str">
            <v/>
          </cell>
          <cell r="F630" t="str">
            <v/>
          </cell>
          <cell r="J630">
            <v>0</v>
          </cell>
          <cell r="L630">
            <v>0</v>
          </cell>
          <cell r="M630">
            <v>0</v>
          </cell>
          <cell r="N630">
            <v>0</v>
          </cell>
          <cell r="O630" t="str">
            <v/>
          </cell>
          <cell r="S630" t="str">
            <v/>
          </cell>
          <cell r="T630" t="str">
            <v/>
          </cell>
        </row>
        <row r="631">
          <cell r="A631" t="str">
            <v/>
          </cell>
          <cell r="B631">
            <v>1627</v>
          </cell>
          <cell r="D631" t="str">
            <v/>
          </cell>
          <cell r="F631" t="str">
            <v/>
          </cell>
          <cell r="J631">
            <v>0</v>
          </cell>
          <cell r="L631">
            <v>0</v>
          </cell>
          <cell r="M631">
            <v>0</v>
          </cell>
          <cell r="N631">
            <v>0</v>
          </cell>
          <cell r="O631" t="str">
            <v/>
          </cell>
          <cell r="S631" t="str">
            <v/>
          </cell>
          <cell r="T631" t="str">
            <v/>
          </cell>
        </row>
        <row r="632">
          <cell r="A632" t="str">
            <v/>
          </cell>
          <cell r="B632">
            <v>1628</v>
          </cell>
          <cell r="D632" t="str">
            <v/>
          </cell>
          <cell r="F632" t="str">
            <v/>
          </cell>
          <cell r="J632">
            <v>0</v>
          </cell>
          <cell r="L632">
            <v>0</v>
          </cell>
          <cell r="M632">
            <v>0</v>
          </cell>
          <cell r="N632">
            <v>0</v>
          </cell>
          <cell r="O632" t="str">
            <v/>
          </cell>
          <cell r="S632" t="str">
            <v/>
          </cell>
          <cell r="T632" t="str">
            <v/>
          </cell>
        </row>
        <row r="633">
          <cell r="A633" t="str">
            <v/>
          </cell>
          <cell r="B633">
            <v>1629</v>
          </cell>
          <cell r="D633" t="str">
            <v/>
          </cell>
          <cell r="F633" t="str">
            <v/>
          </cell>
          <cell r="J633">
            <v>0</v>
          </cell>
          <cell r="L633">
            <v>0</v>
          </cell>
          <cell r="M633">
            <v>0</v>
          </cell>
          <cell r="N633">
            <v>0</v>
          </cell>
          <cell r="O633" t="str">
            <v/>
          </cell>
          <cell r="S633" t="str">
            <v/>
          </cell>
          <cell r="T633" t="str">
            <v/>
          </cell>
        </row>
        <row r="634">
          <cell r="A634" t="str">
            <v/>
          </cell>
          <cell r="B634">
            <v>1630</v>
          </cell>
          <cell r="D634" t="str">
            <v/>
          </cell>
          <cell r="F634" t="str">
            <v/>
          </cell>
          <cell r="J634">
            <v>0</v>
          </cell>
          <cell r="L634">
            <v>0</v>
          </cell>
          <cell r="M634">
            <v>0</v>
          </cell>
          <cell r="N634">
            <v>0</v>
          </cell>
          <cell r="O634" t="str">
            <v/>
          </cell>
          <cell r="S634" t="str">
            <v/>
          </cell>
          <cell r="T634" t="str">
            <v/>
          </cell>
        </row>
        <row r="635">
          <cell r="A635" t="str">
            <v/>
          </cell>
          <cell r="B635">
            <v>1631</v>
          </cell>
          <cell r="D635" t="str">
            <v/>
          </cell>
          <cell r="F635" t="str">
            <v/>
          </cell>
          <cell r="J635">
            <v>0</v>
          </cell>
          <cell r="L635">
            <v>0</v>
          </cell>
          <cell r="M635">
            <v>0</v>
          </cell>
          <cell r="N635">
            <v>0</v>
          </cell>
          <cell r="O635" t="str">
            <v/>
          </cell>
          <cell r="S635" t="str">
            <v/>
          </cell>
          <cell r="T635" t="str">
            <v/>
          </cell>
        </row>
        <row r="636">
          <cell r="A636" t="str">
            <v/>
          </cell>
          <cell r="B636">
            <v>1632</v>
          </cell>
          <cell r="D636" t="str">
            <v/>
          </cell>
          <cell r="F636" t="str">
            <v/>
          </cell>
          <cell r="J636">
            <v>0</v>
          </cell>
          <cell r="L636">
            <v>0</v>
          </cell>
          <cell r="M636">
            <v>0</v>
          </cell>
          <cell r="N636">
            <v>0</v>
          </cell>
          <cell r="O636" t="str">
            <v/>
          </cell>
          <cell r="S636" t="str">
            <v/>
          </cell>
          <cell r="T636" t="str">
            <v/>
          </cell>
        </row>
        <row r="637">
          <cell r="A637" t="str">
            <v/>
          </cell>
          <cell r="B637">
            <v>1633</v>
          </cell>
          <cell r="D637" t="str">
            <v/>
          </cell>
          <cell r="F637" t="str">
            <v/>
          </cell>
          <cell r="J637">
            <v>0</v>
          </cell>
          <cell r="L637">
            <v>0</v>
          </cell>
          <cell r="M637">
            <v>0</v>
          </cell>
          <cell r="N637">
            <v>0</v>
          </cell>
          <cell r="O637" t="str">
            <v/>
          </cell>
          <cell r="S637" t="str">
            <v/>
          </cell>
          <cell r="T637" t="str">
            <v/>
          </cell>
        </row>
        <row r="638">
          <cell r="A638" t="str">
            <v/>
          </cell>
          <cell r="B638">
            <v>1634</v>
          </cell>
          <cell r="D638" t="str">
            <v/>
          </cell>
          <cell r="F638" t="str">
            <v/>
          </cell>
          <cell r="J638">
            <v>0</v>
          </cell>
          <cell r="L638">
            <v>0</v>
          </cell>
          <cell r="M638">
            <v>0</v>
          </cell>
          <cell r="N638">
            <v>0</v>
          </cell>
          <cell r="O638" t="str">
            <v/>
          </cell>
          <cell r="S638" t="str">
            <v/>
          </cell>
          <cell r="T638" t="str">
            <v/>
          </cell>
        </row>
        <row r="639">
          <cell r="A639" t="str">
            <v/>
          </cell>
          <cell r="B639">
            <v>1635</v>
          </cell>
          <cell r="D639" t="str">
            <v/>
          </cell>
          <cell r="F639" t="str">
            <v/>
          </cell>
          <cell r="J639">
            <v>0</v>
          </cell>
          <cell r="L639">
            <v>0</v>
          </cell>
          <cell r="M639">
            <v>0</v>
          </cell>
          <cell r="N639">
            <v>0</v>
          </cell>
          <cell r="O639" t="str">
            <v/>
          </cell>
          <cell r="S639" t="str">
            <v/>
          </cell>
          <cell r="T639" t="str">
            <v/>
          </cell>
        </row>
        <row r="640">
          <cell r="A640" t="str">
            <v/>
          </cell>
          <cell r="B640">
            <v>1636</v>
          </cell>
          <cell r="D640" t="str">
            <v/>
          </cell>
          <cell r="F640" t="str">
            <v/>
          </cell>
          <cell r="J640">
            <v>0</v>
          </cell>
          <cell r="L640">
            <v>0</v>
          </cell>
          <cell r="M640">
            <v>0</v>
          </cell>
          <cell r="N640">
            <v>0</v>
          </cell>
          <cell r="O640" t="str">
            <v/>
          </cell>
          <cell r="S640" t="str">
            <v/>
          </cell>
          <cell r="T640" t="str">
            <v/>
          </cell>
        </row>
        <row r="641">
          <cell r="A641" t="str">
            <v/>
          </cell>
          <cell r="B641">
            <v>1637</v>
          </cell>
          <cell r="D641" t="str">
            <v/>
          </cell>
          <cell r="F641" t="str">
            <v/>
          </cell>
          <cell r="J641">
            <v>0</v>
          </cell>
          <cell r="L641">
            <v>0</v>
          </cell>
          <cell r="M641">
            <v>0</v>
          </cell>
          <cell r="N641">
            <v>0</v>
          </cell>
          <cell r="O641" t="str">
            <v/>
          </cell>
          <cell r="S641" t="str">
            <v/>
          </cell>
          <cell r="T641" t="str">
            <v/>
          </cell>
        </row>
        <row r="642">
          <cell r="A642" t="str">
            <v/>
          </cell>
          <cell r="B642">
            <v>1638</v>
          </cell>
          <cell r="D642" t="str">
            <v/>
          </cell>
          <cell r="F642" t="str">
            <v/>
          </cell>
          <cell r="J642">
            <v>0</v>
          </cell>
          <cell r="L642">
            <v>0</v>
          </cell>
          <cell r="M642">
            <v>0</v>
          </cell>
          <cell r="N642">
            <v>0</v>
          </cell>
          <cell r="O642" t="str">
            <v/>
          </cell>
          <cell r="S642" t="str">
            <v/>
          </cell>
          <cell r="T642" t="str">
            <v/>
          </cell>
        </row>
        <row r="643">
          <cell r="A643" t="str">
            <v/>
          </cell>
          <cell r="B643">
            <v>1639</v>
          </cell>
          <cell r="D643" t="str">
            <v/>
          </cell>
          <cell r="F643" t="str">
            <v/>
          </cell>
          <cell r="J643">
            <v>0</v>
          </cell>
          <cell r="L643">
            <v>0</v>
          </cell>
          <cell r="M643">
            <v>0</v>
          </cell>
          <cell r="N643">
            <v>0</v>
          </cell>
          <cell r="O643" t="str">
            <v/>
          </cell>
          <cell r="S643" t="str">
            <v/>
          </cell>
          <cell r="T643" t="str">
            <v/>
          </cell>
        </row>
        <row r="644">
          <cell r="A644" t="str">
            <v/>
          </cell>
          <cell r="B644">
            <v>1640</v>
          </cell>
          <cell r="D644" t="str">
            <v/>
          </cell>
          <cell r="F644" t="str">
            <v/>
          </cell>
          <cell r="J644">
            <v>0</v>
          </cell>
          <cell r="L644">
            <v>0</v>
          </cell>
          <cell r="M644">
            <v>0</v>
          </cell>
          <cell r="N644">
            <v>0</v>
          </cell>
          <cell r="O644" t="str">
            <v/>
          </cell>
          <cell r="S644" t="str">
            <v/>
          </cell>
          <cell r="T644" t="str">
            <v/>
          </cell>
        </row>
        <row r="645">
          <cell r="A645" t="str">
            <v/>
          </cell>
          <cell r="B645">
            <v>1641</v>
          </cell>
          <cell r="D645" t="str">
            <v/>
          </cell>
          <cell r="F645" t="str">
            <v/>
          </cell>
          <cell r="J645">
            <v>0</v>
          </cell>
          <cell r="L645">
            <v>0</v>
          </cell>
          <cell r="M645">
            <v>0</v>
          </cell>
          <cell r="N645">
            <v>0</v>
          </cell>
          <cell r="O645" t="str">
            <v/>
          </cell>
          <cell r="S645" t="str">
            <v/>
          </cell>
          <cell r="T645" t="str">
            <v/>
          </cell>
        </row>
        <row r="646">
          <cell r="A646" t="str">
            <v/>
          </cell>
          <cell r="B646">
            <v>1642</v>
          </cell>
          <cell r="D646" t="str">
            <v/>
          </cell>
          <cell r="F646" t="str">
            <v/>
          </cell>
          <cell r="J646">
            <v>0</v>
          </cell>
          <cell r="L646">
            <v>0</v>
          </cell>
          <cell r="M646">
            <v>0</v>
          </cell>
          <cell r="N646">
            <v>0</v>
          </cell>
          <cell r="O646" t="str">
            <v/>
          </cell>
          <cell r="S646" t="str">
            <v/>
          </cell>
          <cell r="T646" t="str">
            <v/>
          </cell>
        </row>
        <row r="647">
          <cell r="A647" t="str">
            <v/>
          </cell>
          <cell r="B647">
            <v>1643</v>
          </cell>
          <cell r="D647" t="str">
            <v/>
          </cell>
          <cell r="F647" t="str">
            <v/>
          </cell>
          <cell r="J647">
            <v>0</v>
          </cell>
          <cell r="L647">
            <v>0</v>
          </cell>
          <cell r="M647">
            <v>0</v>
          </cell>
          <cell r="N647">
            <v>0</v>
          </cell>
          <cell r="O647" t="str">
            <v/>
          </cell>
          <cell r="S647" t="str">
            <v/>
          </cell>
          <cell r="T647" t="str">
            <v/>
          </cell>
        </row>
        <row r="648">
          <cell r="A648" t="str">
            <v/>
          </cell>
          <cell r="B648">
            <v>1644</v>
          </cell>
          <cell r="D648" t="str">
            <v/>
          </cell>
          <cell r="F648" t="str">
            <v/>
          </cell>
          <cell r="J648">
            <v>0</v>
          </cell>
          <cell r="L648">
            <v>0</v>
          </cell>
          <cell r="M648">
            <v>0</v>
          </cell>
          <cell r="N648">
            <v>0</v>
          </cell>
          <cell r="O648" t="str">
            <v/>
          </cell>
          <cell r="S648" t="str">
            <v/>
          </cell>
          <cell r="T648" t="str">
            <v/>
          </cell>
        </row>
        <row r="649">
          <cell r="A649" t="str">
            <v/>
          </cell>
          <cell r="B649">
            <v>1645</v>
          </cell>
          <cell r="D649" t="str">
            <v/>
          </cell>
          <cell r="F649" t="str">
            <v/>
          </cell>
          <cell r="J649">
            <v>0</v>
          </cell>
          <cell r="L649">
            <v>0</v>
          </cell>
          <cell r="M649">
            <v>0</v>
          </cell>
          <cell r="N649">
            <v>0</v>
          </cell>
          <cell r="O649" t="str">
            <v/>
          </cell>
          <cell r="S649" t="str">
            <v/>
          </cell>
          <cell r="T649" t="str">
            <v/>
          </cell>
        </row>
        <row r="650">
          <cell r="A650" t="str">
            <v/>
          </cell>
          <cell r="B650">
            <v>1646</v>
          </cell>
          <cell r="D650" t="str">
            <v/>
          </cell>
          <cell r="F650" t="str">
            <v/>
          </cell>
          <cell r="J650">
            <v>0</v>
          </cell>
          <cell r="L650">
            <v>0</v>
          </cell>
          <cell r="M650">
            <v>0</v>
          </cell>
          <cell r="N650">
            <v>0</v>
          </cell>
          <cell r="O650" t="str">
            <v/>
          </cell>
          <cell r="S650" t="str">
            <v/>
          </cell>
          <cell r="T650" t="str">
            <v/>
          </cell>
        </row>
        <row r="651">
          <cell r="A651" t="str">
            <v/>
          </cell>
          <cell r="B651">
            <v>1647</v>
          </cell>
          <cell r="D651" t="str">
            <v/>
          </cell>
          <cell r="F651" t="str">
            <v/>
          </cell>
          <cell r="J651">
            <v>0</v>
          </cell>
          <cell r="L651">
            <v>0</v>
          </cell>
          <cell r="M651">
            <v>0</v>
          </cell>
          <cell r="N651">
            <v>0</v>
          </cell>
          <cell r="O651" t="str">
            <v/>
          </cell>
          <cell r="S651" t="str">
            <v/>
          </cell>
          <cell r="T651" t="str">
            <v/>
          </cell>
        </row>
        <row r="652">
          <cell r="A652" t="str">
            <v/>
          </cell>
          <cell r="B652">
            <v>1648</v>
          </cell>
          <cell r="D652" t="str">
            <v/>
          </cell>
          <cell r="F652" t="str">
            <v/>
          </cell>
          <cell r="J652">
            <v>0</v>
          </cell>
          <cell r="L652">
            <v>0</v>
          </cell>
          <cell r="M652">
            <v>0</v>
          </cell>
          <cell r="N652">
            <v>0</v>
          </cell>
          <cell r="O652" t="str">
            <v/>
          </cell>
          <cell r="S652" t="str">
            <v/>
          </cell>
          <cell r="T652" t="str">
            <v/>
          </cell>
        </row>
        <row r="653">
          <cell r="A653" t="str">
            <v/>
          </cell>
          <cell r="B653">
            <v>1649</v>
          </cell>
          <cell r="D653" t="str">
            <v/>
          </cell>
          <cell r="F653" t="str">
            <v/>
          </cell>
          <cell r="J653">
            <v>0</v>
          </cell>
          <cell r="L653">
            <v>0</v>
          </cell>
          <cell r="M653">
            <v>0</v>
          </cell>
          <cell r="N653">
            <v>0</v>
          </cell>
          <cell r="O653" t="str">
            <v/>
          </cell>
          <cell r="S653" t="str">
            <v/>
          </cell>
          <cell r="T653" t="str">
            <v/>
          </cell>
        </row>
        <row r="654">
          <cell r="A654" t="str">
            <v/>
          </cell>
          <cell r="B654">
            <v>1650</v>
          </cell>
          <cell r="D654" t="str">
            <v/>
          </cell>
          <cell r="F654" t="str">
            <v/>
          </cell>
          <cell r="J654">
            <v>0</v>
          </cell>
          <cell r="L654">
            <v>0</v>
          </cell>
          <cell r="M654">
            <v>0</v>
          </cell>
          <cell r="N654">
            <v>0</v>
          </cell>
          <cell r="O654" t="str">
            <v/>
          </cell>
          <cell r="S654" t="str">
            <v/>
          </cell>
          <cell r="T654" t="str">
            <v/>
          </cell>
        </row>
        <row r="655">
          <cell r="A655" t="str">
            <v/>
          </cell>
          <cell r="B655">
            <v>1651</v>
          </cell>
          <cell r="D655" t="str">
            <v/>
          </cell>
          <cell r="F655" t="str">
            <v/>
          </cell>
          <cell r="J655">
            <v>0</v>
          </cell>
          <cell r="L655">
            <v>0</v>
          </cell>
          <cell r="M655">
            <v>0</v>
          </cell>
          <cell r="N655">
            <v>0</v>
          </cell>
          <cell r="O655" t="str">
            <v/>
          </cell>
          <cell r="S655" t="str">
            <v/>
          </cell>
          <cell r="T655" t="str">
            <v/>
          </cell>
        </row>
        <row r="656">
          <cell r="A656" t="str">
            <v/>
          </cell>
          <cell r="B656">
            <v>1652</v>
          </cell>
          <cell r="D656" t="str">
            <v/>
          </cell>
          <cell r="F656" t="str">
            <v/>
          </cell>
          <cell r="J656">
            <v>0</v>
          </cell>
          <cell r="L656">
            <v>0</v>
          </cell>
          <cell r="M656">
            <v>0</v>
          </cell>
          <cell r="N656">
            <v>0</v>
          </cell>
          <cell r="O656" t="str">
            <v/>
          </cell>
          <cell r="S656" t="str">
            <v/>
          </cell>
          <cell r="T656" t="str">
            <v/>
          </cell>
        </row>
        <row r="657">
          <cell r="A657" t="str">
            <v/>
          </cell>
          <cell r="B657">
            <v>1653</v>
          </cell>
          <cell r="D657" t="str">
            <v/>
          </cell>
          <cell r="F657" t="str">
            <v/>
          </cell>
          <cell r="J657">
            <v>0</v>
          </cell>
          <cell r="L657">
            <v>0</v>
          </cell>
          <cell r="M657">
            <v>0</v>
          </cell>
          <cell r="N657">
            <v>0</v>
          </cell>
          <cell r="O657" t="str">
            <v/>
          </cell>
          <cell r="S657" t="str">
            <v/>
          </cell>
          <cell r="T657" t="str">
            <v/>
          </cell>
        </row>
        <row r="658">
          <cell r="A658" t="str">
            <v/>
          </cell>
          <cell r="B658">
            <v>1654</v>
          </cell>
          <cell r="D658" t="str">
            <v/>
          </cell>
          <cell r="F658" t="str">
            <v/>
          </cell>
          <cell r="J658">
            <v>0</v>
          </cell>
          <cell r="L658">
            <v>0</v>
          </cell>
          <cell r="M658">
            <v>0</v>
          </cell>
          <cell r="N658">
            <v>0</v>
          </cell>
          <cell r="O658" t="str">
            <v/>
          </cell>
          <cell r="S658" t="str">
            <v/>
          </cell>
          <cell r="T658" t="str">
            <v/>
          </cell>
        </row>
        <row r="659">
          <cell r="A659" t="str">
            <v/>
          </cell>
          <cell r="B659">
            <v>1655</v>
          </cell>
          <cell r="D659" t="str">
            <v/>
          </cell>
          <cell r="F659" t="str">
            <v/>
          </cell>
          <cell r="J659">
            <v>0</v>
          </cell>
          <cell r="L659">
            <v>0</v>
          </cell>
          <cell r="M659">
            <v>0</v>
          </cell>
          <cell r="N659">
            <v>0</v>
          </cell>
          <cell r="O659" t="str">
            <v/>
          </cell>
          <cell r="S659" t="str">
            <v/>
          </cell>
          <cell r="T659" t="str">
            <v/>
          </cell>
        </row>
        <row r="660">
          <cell r="A660" t="str">
            <v/>
          </cell>
          <cell r="B660">
            <v>1656</v>
          </cell>
          <cell r="D660" t="str">
            <v/>
          </cell>
          <cell r="F660" t="str">
            <v/>
          </cell>
          <cell r="J660">
            <v>0</v>
          </cell>
          <cell r="L660">
            <v>0</v>
          </cell>
          <cell r="M660">
            <v>0</v>
          </cell>
          <cell r="N660">
            <v>0</v>
          </cell>
          <cell r="O660" t="str">
            <v/>
          </cell>
          <cell r="S660" t="str">
            <v/>
          </cell>
          <cell r="T660" t="str">
            <v/>
          </cell>
        </row>
        <row r="661">
          <cell r="A661" t="str">
            <v/>
          </cell>
          <cell r="B661">
            <v>1657</v>
          </cell>
          <cell r="D661" t="str">
            <v/>
          </cell>
          <cell r="F661" t="str">
            <v/>
          </cell>
          <cell r="J661">
            <v>0</v>
          </cell>
          <cell r="L661">
            <v>0</v>
          </cell>
          <cell r="M661">
            <v>0</v>
          </cell>
          <cell r="N661">
            <v>0</v>
          </cell>
          <cell r="O661" t="str">
            <v/>
          </cell>
          <cell r="S661" t="str">
            <v/>
          </cell>
          <cell r="T661" t="str">
            <v/>
          </cell>
        </row>
        <row r="662">
          <cell r="A662" t="str">
            <v/>
          </cell>
          <cell r="B662">
            <v>1658</v>
          </cell>
          <cell r="D662" t="str">
            <v/>
          </cell>
          <cell r="F662" t="str">
            <v/>
          </cell>
          <cell r="J662">
            <v>0</v>
          </cell>
          <cell r="L662">
            <v>0</v>
          </cell>
          <cell r="M662">
            <v>0</v>
          </cell>
          <cell r="N662">
            <v>0</v>
          </cell>
          <cell r="O662" t="str">
            <v/>
          </cell>
          <cell r="S662" t="str">
            <v/>
          </cell>
          <cell r="T662" t="str">
            <v/>
          </cell>
        </row>
        <row r="663">
          <cell r="A663" t="str">
            <v/>
          </cell>
          <cell r="B663">
            <v>1659</v>
          </cell>
          <cell r="D663" t="str">
            <v/>
          </cell>
          <cell r="F663" t="str">
            <v/>
          </cell>
          <cell r="J663">
            <v>0</v>
          </cell>
          <cell r="L663">
            <v>0</v>
          </cell>
          <cell r="M663">
            <v>0</v>
          </cell>
          <cell r="N663">
            <v>0</v>
          </cell>
          <cell r="O663" t="str">
            <v/>
          </cell>
          <cell r="S663" t="str">
            <v/>
          </cell>
          <cell r="T663" t="str">
            <v/>
          </cell>
        </row>
        <row r="664">
          <cell r="A664" t="str">
            <v/>
          </cell>
          <cell r="B664">
            <v>1660</v>
          </cell>
          <cell r="D664" t="str">
            <v/>
          </cell>
          <cell r="F664" t="str">
            <v/>
          </cell>
          <cell r="J664">
            <v>0</v>
          </cell>
          <cell r="L664">
            <v>0</v>
          </cell>
          <cell r="M664">
            <v>0</v>
          </cell>
          <cell r="N664">
            <v>0</v>
          </cell>
          <cell r="O664" t="str">
            <v/>
          </cell>
          <cell r="S664" t="str">
            <v/>
          </cell>
          <cell r="T664" t="str">
            <v/>
          </cell>
        </row>
        <row r="665">
          <cell r="A665" t="str">
            <v/>
          </cell>
          <cell r="B665">
            <v>1661</v>
          </cell>
          <cell r="D665" t="str">
            <v/>
          </cell>
          <cell r="F665" t="str">
            <v/>
          </cell>
          <cell r="J665">
            <v>0</v>
          </cell>
          <cell r="L665">
            <v>0</v>
          </cell>
          <cell r="M665">
            <v>0</v>
          </cell>
          <cell r="N665">
            <v>0</v>
          </cell>
          <cell r="O665" t="str">
            <v/>
          </cell>
          <cell r="S665" t="str">
            <v/>
          </cell>
          <cell r="T665" t="str">
            <v/>
          </cell>
        </row>
        <row r="666">
          <cell r="A666" t="str">
            <v/>
          </cell>
          <cell r="B666">
            <v>1662</v>
          </cell>
          <cell r="D666" t="str">
            <v/>
          </cell>
          <cell r="F666" t="str">
            <v/>
          </cell>
          <cell r="J666">
            <v>0</v>
          </cell>
          <cell r="L666">
            <v>0</v>
          </cell>
          <cell r="M666">
            <v>0</v>
          </cell>
          <cell r="N666">
            <v>0</v>
          </cell>
          <cell r="O666" t="str">
            <v/>
          </cell>
          <cell r="S666" t="str">
            <v/>
          </cell>
          <cell r="T666" t="str">
            <v/>
          </cell>
        </row>
        <row r="667">
          <cell r="A667" t="str">
            <v/>
          </cell>
          <cell r="B667">
            <v>1663</v>
          </cell>
          <cell r="D667" t="str">
            <v/>
          </cell>
          <cell r="F667" t="str">
            <v/>
          </cell>
          <cell r="J667">
            <v>0</v>
          </cell>
          <cell r="L667">
            <v>0</v>
          </cell>
          <cell r="M667">
            <v>0</v>
          </cell>
          <cell r="N667">
            <v>0</v>
          </cell>
          <cell r="O667" t="str">
            <v/>
          </cell>
          <cell r="S667" t="str">
            <v/>
          </cell>
          <cell r="T667" t="str">
            <v/>
          </cell>
        </row>
        <row r="668">
          <cell r="A668" t="str">
            <v/>
          </cell>
          <cell r="B668">
            <v>1664</v>
          </cell>
          <cell r="D668" t="str">
            <v/>
          </cell>
          <cell r="F668" t="str">
            <v/>
          </cell>
          <cell r="J668">
            <v>0</v>
          </cell>
          <cell r="L668">
            <v>0</v>
          </cell>
          <cell r="M668">
            <v>0</v>
          </cell>
          <cell r="N668">
            <v>0</v>
          </cell>
          <cell r="O668" t="str">
            <v/>
          </cell>
          <cell r="S668" t="str">
            <v/>
          </cell>
          <cell r="T668" t="str">
            <v/>
          </cell>
        </row>
        <row r="669">
          <cell r="A669" t="str">
            <v/>
          </cell>
          <cell r="B669">
            <v>1665</v>
          </cell>
          <cell r="D669" t="str">
            <v/>
          </cell>
          <cell r="F669" t="str">
            <v/>
          </cell>
          <cell r="J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/>
          </cell>
          <cell r="S669" t="str">
            <v/>
          </cell>
          <cell r="T669" t="str">
            <v/>
          </cell>
        </row>
        <row r="670">
          <cell r="A670" t="str">
            <v/>
          </cell>
          <cell r="B670">
            <v>1666</v>
          </cell>
          <cell r="D670" t="str">
            <v/>
          </cell>
          <cell r="F670" t="str">
            <v/>
          </cell>
          <cell r="J670">
            <v>0</v>
          </cell>
          <cell r="L670">
            <v>0</v>
          </cell>
          <cell r="M670">
            <v>0</v>
          </cell>
          <cell r="N670">
            <v>0</v>
          </cell>
          <cell r="O670" t="str">
            <v/>
          </cell>
          <cell r="S670" t="str">
            <v/>
          </cell>
          <cell r="T670" t="str">
            <v/>
          </cell>
        </row>
        <row r="671">
          <cell r="A671" t="str">
            <v/>
          </cell>
          <cell r="B671">
            <v>1667</v>
          </cell>
          <cell r="D671" t="str">
            <v/>
          </cell>
          <cell r="F671" t="str">
            <v/>
          </cell>
          <cell r="J671">
            <v>0</v>
          </cell>
          <cell r="L671">
            <v>0</v>
          </cell>
          <cell r="M671">
            <v>0</v>
          </cell>
          <cell r="N671">
            <v>0</v>
          </cell>
          <cell r="O671" t="str">
            <v/>
          </cell>
          <cell r="S671" t="str">
            <v/>
          </cell>
          <cell r="T671" t="str">
            <v/>
          </cell>
        </row>
        <row r="672">
          <cell r="A672" t="str">
            <v/>
          </cell>
          <cell r="B672">
            <v>1668</v>
          </cell>
          <cell r="D672" t="str">
            <v/>
          </cell>
          <cell r="F672" t="str">
            <v/>
          </cell>
          <cell r="J672">
            <v>0</v>
          </cell>
          <cell r="L672">
            <v>0</v>
          </cell>
          <cell r="M672">
            <v>0</v>
          </cell>
          <cell r="N672">
            <v>0</v>
          </cell>
          <cell r="O672" t="str">
            <v/>
          </cell>
          <cell r="S672" t="str">
            <v/>
          </cell>
          <cell r="T672" t="str">
            <v/>
          </cell>
        </row>
        <row r="673">
          <cell r="A673" t="str">
            <v/>
          </cell>
          <cell r="B673">
            <v>1669</v>
          </cell>
          <cell r="D673" t="str">
            <v/>
          </cell>
          <cell r="F673" t="str">
            <v/>
          </cell>
          <cell r="J673">
            <v>0</v>
          </cell>
          <cell r="L673">
            <v>0</v>
          </cell>
          <cell r="M673">
            <v>0</v>
          </cell>
          <cell r="N673">
            <v>0</v>
          </cell>
          <cell r="O673" t="str">
            <v/>
          </cell>
          <cell r="S673" t="str">
            <v/>
          </cell>
          <cell r="T673" t="str">
            <v/>
          </cell>
        </row>
        <row r="674">
          <cell r="A674" t="str">
            <v/>
          </cell>
          <cell r="B674">
            <v>1670</v>
          </cell>
          <cell r="D674" t="str">
            <v/>
          </cell>
          <cell r="F674" t="str">
            <v/>
          </cell>
          <cell r="J674">
            <v>0</v>
          </cell>
          <cell r="L674">
            <v>0</v>
          </cell>
          <cell r="M674">
            <v>0</v>
          </cell>
          <cell r="N674">
            <v>0</v>
          </cell>
          <cell r="O674" t="str">
            <v/>
          </cell>
          <cell r="S674" t="str">
            <v/>
          </cell>
          <cell r="T674" t="str">
            <v/>
          </cell>
        </row>
        <row r="675">
          <cell r="A675" t="str">
            <v/>
          </cell>
          <cell r="B675">
            <v>1671</v>
          </cell>
          <cell r="D675" t="str">
            <v/>
          </cell>
          <cell r="F675" t="str">
            <v/>
          </cell>
          <cell r="J675">
            <v>0</v>
          </cell>
          <cell r="L675">
            <v>0</v>
          </cell>
          <cell r="M675">
            <v>0</v>
          </cell>
          <cell r="N675">
            <v>0</v>
          </cell>
          <cell r="O675" t="str">
            <v/>
          </cell>
          <cell r="S675" t="str">
            <v/>
          </cell>
          <cell r="T675" t="str">
            <v/>
          </cell>
        </row>
        <row r="676">
          <cell r="A676" t="str">
            <v/>
          </cell>
          <cell r="B676">
            <v>1672</v>
          </cell>
          <cell r="D676" t="str">
            <v/>
          </cell>
          <cell r="F676" t="str">
            <v/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  <cell r="O676" t="str">
            <v/>
          </cell>
          <cell r="S676" t="str">
            <v/>
          </cell>
          <cell r="T676" t="str">
            <v/>
          </cell>
        </row>
        <row r="677">
          <cell r="A677" t="str">
            <v/>
          </cell>
          <cell r="B677">
            <v>1673</v>
          </cell>
          <cell r="D677" t="str">
            <v/>
          </cell>
          <cell r="F677" t="str">
            <v/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  <cell r="O677" t="str">
            <v/>
          </cell>
          <cell r="S677" t="str">
            <v/>
          </cell>
          <cell r="T677" t="str">
            <v/>
          </cell>
        </row>
        <row r="678">
          <cell r="A678" t="str">
            <v/>
          </cell>
          <cell r="B678">
            <v>1674</v>
          </cell>
          <cell r="D678" t="str">
            <v/>
          </cell>
          <cell r="F678" t="str">
            <v/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  <cell r="O678" t="str">
            <v/>
          </cell>
          <cell r="S678" t="str">
            <v/>
          </cell>
          <cell r="T678" t="str">
            <v/>
          </cell>
        </row>
        <row r="679">
          <cell r="A679" t="str">
            <v/>
          </cell>
          <cell r="B679">
            <v>1675</v>
          </cell>
          <cell r="D679" t="str">
            <v/>
          </cell>
          <cell r="F679" t="str">
            <v/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  <cell r="O679" t="str">
            <v/>
          </cell>
          <cell r="S679" t="str">
            <v/>
          </cell>
          <cell r="T679" t="str">
            <v/>
          </cell>
        </row>
        <row r="680">
          <cell r="A680" t="str">
            <v/>
          </cell>
          <cell r="B680">
            <v>1676</v>
          </cell>
          <cell r="D680" t="str">
            <v/>
          </cell>
          <cell r="F680" t="str">
            <v/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  <cell r="O680" t="str">
            <v/>
          </cell>
          <cell r="S680" t="str">
            <v/>
          </cell>
          <cell r="T680" t="str">
            <v/>
          </cell>
        </row>
        <row r="681">
          <cell r="A681" t="str">
            <v/>
          </cell>
          <cell r="B681">
            <v>1677</v>
          </cell>
          <cell r="D681" t="str">
            <v/>
          </cell>
          <cell r="F681" t="str">
            <v/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  <cell r="O681" t="str">
            <v/>
          </cell>
          <cell r="S681" t="str">
            <v/>
          </cell>
          <cell r="T681" t="str">
            <v/>
          </cell>
        </row>
        <row r="682">
          <cell r="A682" t="str">
            <v/>
          </cell>
          <cell r="B682">
            <v>1678</v>
          </cell>
          <cell r="D682" t="str">
            <v/>
          </cell>
          <cell r="F682" t="str">
            <v/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  <cell r="O682" t="str">
            <v/>
          </cell>
          <cell r="S682" t="str">
            <v/>
          </cell>
          <cell r="T682" t="str">
            <v/>
          </cell>
        </row>
        <row r="683">
          <cell r="A683" t="str">
            <v/>
          </cell>
          <cell r="B683">
            <v>1679</v>
          </cell>
          <cell r="D683" t="str">
            <v/>
          </cell>
          <cell r="F683" t="str">
            <v/>
          </cell>
          <cell r="J683">
            <v>0</v>
          </cell>
          <cell r="L683">
            <v>0</v>
          </cell>
          <cell r="M683">
            <v>0</v>
          </cell>
          <cell r="N683">
            <v>0</v>
          </cell>
          <cell r="O683" t="str">
            <v/>
          </cell>
          <cell r="S683" t="str">
            <v/>
          </cell>
          <cell r="T683" t="str">
            <v/>
          </cell>
        </row>
        <row r="684">
          <cell r="A684" t="str">
            <v/>
          </cell>
          <cell r="B684">
            <v>1680</v>
          </cell>
          <cell r="D684" t="str">
            <v/>
          </cell>
          <cell r="F684" t="str">
            <v/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  <cell r="O684" t="str">
            <v/>
          </cell>
          <cell r="S684" t="str">
            <v/>
          </cell>
          <cell r="T684" t="str">
            <v/>
          </cell>
        </row>
        <row r="685">
          <cell r="A685" t="str">
            <v/>
          </cell>
          <cell r="B685">
            <v>1681</v>
          </cell>
          <cell r="D685" t="str">
            <v/>
          </cell>
          <cell r="F685" t="str">
            <v/>
          </cell>
          <cell r="J685">
            <v>0</v>
          </cell>
          <cell r="L685">
            <v>0</v>
          </cell>
          <cell r="M685">
            <v>0</v>
          </cell>
          <cell r="N685">
            <v>0</v>
          </cell>
          <cell r="O685" t="str">
            <v/>
          </cell>
          <cell r="S685" t="str">
            <v/>
          </cell>
          <cell r="T685" t="str">
            <v/>
          </cell>
        </row>
        <row r="686">
          <cell r="A686" t="str">
            <v/>
          </cell>
          <cell r="B686">
            <v>1682</v>
          </cell>
          <cell r="D686" t="str">
            <v/>
          </cell>
          <cell r="F686" t="str">
            <v/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  <cell r="O686" t="str">
            <v/>
          </cell>
          <cell r="S686" t="str">
            <v/>
          </cell>
          <cell r="T686" t="str">
            <v/>
          </cell>
        </row>
        <row r="687">
          <cell r="A687" t="str">
            <v/>
          </cell>
          <cell r="B687">
            <v>1683</v>
          </cell>
          <cell r="D687" t="str">
            <v/>
          </cell>
          <cell r="F687" t="str">
            <v/>
          </cell>
          <cell r="J687">
            <v>0</v>
          </cell>
          <cell r="L687">
            <v>0</v>
          </cell>
          <cell r="M687">
            <v>0</v>
          </cell>
          <cell r="N687">
            <v>0</v>
          </cell>
          <cell r="O687" t="str">
            <v/>
          </cell>
          <cell r="S687" t="str">
            <v/>
          </cell>
          <cell r="T687" t="str">
            <v/>
          </cell>
        </row>
        <row r="688">
          <cell r="A688" t="str">
            <v/>
          </cell>
          <cell r="B688">
            <v>1684</v>
          </cell>
          <cell r="D688" t="str">
            <v/>
          </cell>
          <cell r="F688" t="str">
            <v/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  <cell r="O688" t="str">
            <v/>
          </cell>
          <cell r="S688" t="str">
            <v/>
          </cell>
          <cell r="T688" t="str">
            <v/>
          </cell>
        </row>
        <row r="689">
          <cell r="A689" t="str">
            <v/>
          </cell>
          <cell r="B689">
            <v>1685</v>
          </cell>
          <cell r="D689" t="str">
            <v/>
          </cell>
          <cell r="F689" t="str">
            <v/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  <cell r="O689" t="str">
            <v/>
          </cell>
          <cell r="S689" t="str">
            <v/>
          </cell>
          <cell r="T689" t="str">
            <v/>
          </cell>
        </row>
        <row r="690">
          <cell r="A690" t="str">
            <v/>
          </cell>
          <cell r="B690">
            <v>1686</v>
          </cell>
          <cell r="D690" t="str">
            <v/>
          </cell>
          <cell r="F690" t="str">
            <v/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  <cell r="O690" t="str">
            <v/>
          </cell>
          <cell r="S690" t="str">
            <v/>
          </cell>
          <cell r="T690" t="str">
            <v/>
          </cell>
        </row>
        <row r="691">
          <cell r="A691" t="str">
            <v/>
          </cell>
          <cell r="B691">
            <v>1687</v>
          </cell>
          <cell r="D691" t="str">
            <v/>
          </cell>
          <cell r="F691" t="str">
            <v/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  <cell r="O691" t="str">
            <v/>
          </cell>
          <cell r="S691" t="str">
            <v/>
          </cell>
          <cell r="T691" t="str">
            <v/>
          </cell>
        </row>
        <row r="692">
          <cell r="A692" t="str">
            <v/>
          </cell>
          <cell r="B692">
            <v>1688</v>
          </cell>
          <cell r="D692" t="str">
            <v/>
          </cell>
          <cell r="F692" t="str">
            <v/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  <cell r="O692" t="str">
            <v/>
          </cell>
          <cell r="S692" t="str">
            <v/>
          </cell>
          <cell r="T692" t="str">
            <v/>
          </cell>
        </row>
        <row r="693">
          <cell r="A693" t="str">
            <v/>
          </cell>
          <cell r="B693">
            <v>1689</v>
          </cell>
          <cell r="D693" t="str">
            <v/>
          </cell>
          <cell r="F693" t="str">
            <v/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  <cell r="O693" t="str">
            <v/>
          </cell>
          <cell r="S693" t="str">
            <v/>
          </cell>
          <cell r="T693" t="str">
            <v/>
          </cell>
        </row>
        <row r="694">
          <cell r="A694" t="str">
            <v/>
          </cell>
          <cell r="B694">
            <v>1690</v>
          </cell>
          <cell r="D694" t="str">
            <v/>
          </cell>
          <cell r="F694" t="str">
            <v/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  <cell r="O694" t="str">
            <v/>
          </cell>
          <cell r="S694" t="str">
            <v/>
          </cell>
          <cell r="T694" t="str">
            <v/>
          </cell>
        </row>
        <row r="695">
          <cell r="A695" t="str">
            <v/>
          </cell>
          <cell r="B695">
            <v>1691</v>
          </cell>
          <cell r="D695" t="str">
            <v/>
          </cell>
          <cell r="F695" t="str">
            <v/>
          </cell>
          <cell r="J695">
            <v>0</v>
          </cell>
          <cell r="L695">
            <v>0</v>
          </cell>
          <cell r="M695">
            <v>0</v>
          </cell>
          <cell r="N695">
            <v>0</v>
          </cell>
          <cell r="O695" t="str">
            <v/>
          </cell>
          <cell r="S695" t="str">
            <v/>
          </cell>
          <cell r="T695" t="str">
            <v/>
          </cell>
        </row>
        <row r="696">
          <cell r="A696" t="str">
            <v/>
          </cell>
          <cell r="B696">
            <v>1692</v>
          </cell>
          <cell r="D696" t="str">
            <v/>
          </cell>
          <cell r="F696" t="str">
            <v/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  <cell r="O696" t="str">
            <v/>
          </cell>
          <cell r="S696" t="str">
            <v/>
          </cell>
          <cell r="T696" t="str">
            <v/>
          </cell>
        </row>
        <row r="697">
          <cell r="A697" t="str">
            <v/>
          </cell>
          <cell r="B697">
            <v>1693</v>
          </cell>
          <cell r="D697" t="str">
            <v/>
          </cell>
          <cell r="F697" t="str">
            <v/>
          </cell>
          <cell r="J697">
            <v>0</v>
          </cell>
          <cell r="L697">
            <v>0</v>
          </cell>
          <cell r="M697">
            <v>0</v>
          </cell>
          <cell r="N697">
            <v>0</v>
          </cell>
          <cell r="O697" t="str">
            <v/>
          </cell>
          <cell r="S697" t="str">
            <v/>
          </cell>
          <cell r="T697" t="str">
            <v/>
          </cell>
        </row>
        <row r="698">
          <cell r="A698" t="str">
            <v/>
          </cell>
          <cell r="B698">
            <v>1694</v>
          </cell>
          <cell r="D698" t="str">
            <v/>
          </cell>
          <cell r="F698" t="str">
            <v/>
          </cell>
          <cell r="J698">
            <v>0</v>
          </cell>
          <cell r="L698">
            <v>0</v>
          </cell>
          <cell r="M698">
            <v>0</v>
          </cell>
          <cell r="N698">
            <v>0</v>
          </cell>
          <cell r="O698" t="str">
            <v/>
          </cell>
          <cell r="S698" t="str">
            <v/>
          </cell>
          <cell r="T698" t="str">
            <v/>
          </cell>
        </row>
        <row r="699">
          <cell r="A699" t="str">
            <v/>
          </cell>
          <cell r="B699">
            <v>1695</v>
          </cell>
          <cell r="D699" t="str">
            <v/>
          </cell>
          <cell r="F699" t="str">
            <v/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  <cell r="O699" t="str">
            <v/>
          </cell>
          <cell r="S699" t="str">
            <v/>
          </cell>
          <cell r="T699" t="str">
            <v/>
          </cell>
        </row>
        <row r="700">
          <cell r="A700" t="str">
            <v/>
          </cell>
          <cell r="B700">
            <v>1696</v>
          </cell>
          <cell r="D700" t="str">
            <v/>
          </cell>
          <cell r="F700" t="str">
            <v/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  <cell r="O700" t="str">
            <v/>
          </cell>
          <cell r="S700" t="str">
            <v/>
          </cell>
          <cell r="T700" t="str">
            <v/>
          </cell>
        </row>
        <row r="701">
          <cell r="A701" t="str">
            <v/>
          </cell>
          <cell r="B701">
            <v>1697</v>
          </cell>
          <cell r="D701" t="str">
            <v/>
          </cell>
          <cell r="F701" t="str">
            <v/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  <cell r="O701" t="str">
            <v/>
          </cell>
          <cell r="S701" t="str">
            <v/>
          </cell>
          <cell r="T701" t="str">
            <v/>
          </cell>
        </row>
        <row r="702">
          <cell r="A702" t="str">
            <v/>
          </cell>
          <cell r="B702">
            <v>1698</v>
          </cell>
          <cell r="D702" t="str">
            <v/>
          </cell>
          <cell r="F702" t="str">
            <v/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  <cell r="O702" t="str">
            <v/>
          </cell>
          <cell r="S702" t="str">
            <v/>
          </cell>
          <cell r="T702" t="str">
            <v/>
          </cell>
        </row>
        <row r="703">
          <cell r="A703" t="str">
            <v/>
          </cell>
          <cell r="B703">
            <v>1699</v>
          </cell>
          <cell r="D703" t="str">
            <v/>
          </cell>
          <cell r="F703" t="str">
            <v/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  <cell r="O703" t="str">
            <v/>
          </cell>
          <cell r="S703" t="str">
            <v/>
          </cell>
          <cell r="T703" t="str">
            <v/>
          </cell>
        </row>
        <row r="704">
          <cell r="A704" t="str">
            <v/>
          </cell>
          <cell r="B704">
            <v>1700</v>
          </cell>
          <cell r="D704" t="str">
            <v/>
          </cell>
          <cell r="F704" t="str">
            <v/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  <cell r="O704" t="str">
            <v/>
          </cell>
          <cell r="S704" t="str">
            <v/>
          </cell>
          <cell r="T704" t="str">
            <v/>
          </cell>
        </row>
        <row r="705">
          <cell r="A705" t="str">
            <v/>
          </cell>
          <cell r="B705">
            <v>1701</v>
          </cell>
          <cell r="D705" t="str">
            <v/>
          </cell>
          <cell r="F705" t="str">
            <v/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  <cell r="O705" t="str">
            <v/>
          </cell>
          <cell r="S705" t="str">
            <v/>
          </cell>
          <cell r="T705" t="str">
            <v/>
          </cell>
        </row>
        <row r="706">
          <cell r="A706" t="str">
            <v/>
          </cell>
          <cell r="B706">
            <v>1702</v>
          </cell>
          <cell r="D706" t="str">
            <v/>
          </cell>
          <cell r="F706" t="str">
            <v/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  <cell r="O706" t="str">
            <v/>
          </cell>
          <cell r="S706" t="str">
            <v/>
          </cell>
          <cell r="T706" t="str">
            <v/>
          </cell>
        </row>
        <row r="707">
          <cell r="A707" t="str">
            <v/>
          </cell>
          <cell r="B707">
            <v>1703</v>
          </cell>
          <cell r="D707" t="str">
            <v/>
          </cell>
          <cell r="F707" t="str">
            <v/>
          </cell>
          <cell r="J707">
            <v>0</v>
          </cell>
          <cell r="L707">
            <v>0</v>
          </cell>
          <cell r="M707">
            <v>0</v>
          </cell>
          <cell r="N707">
            <v>0</v>
          </cell>
          <cell r="O707" t="str">
            <v/>
          </cell>
          <cell r="S707" t="str">
            <v/>
          </cell>
          <cell r="T707" t="str">
            <v/>
          </cell>
        </row>
        <row r="708">
          <cell r="A708" t="str">
            <v/>
          </cell>
          <cell r="B708">
            <v>1704</v>
          </cell>
          <cell r="D708" t="str">
            <v/>
          </cell>
          <cell r="F708" t="str">
            <v/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  <cell r="O708" t="str">
            <v/>
          </cell>
          <cell r="S708" t="str">
            <v/>
          </cell>
          <cell r="T708" t="str">
            <v/>
          </cell>
        </row>
        <row r="709">
          <cell r="A709" t="str">
            <v/>
          </cell>
          <cell r="B709">
            <v>1705</v>
          </cell>
          <cell r="D709" t="str">
            <v/>
          </cell>
          <cell r="F709" t="str">
            <v/>
          </cell>
          <cell r="J709">
            <v>0</v>
          </cell>
          <cell r="L709">
            <v>0</v>
          </cell>
          <cell r="M709">
            <v>0</v>
          </cell>
          <cell r="N709">
            <v>0</v>
          </cell>
          <cell r="O709" t="str">
            <v/>
          </cell>
          <cell r="S709" t="str">
            <v/>
          </cell>
          <cell r="T709" t="str">
            <v/>
          </cell>
        </row>
        <row r="710">
          <cell r="A710" t="str">
            <v/>
          </cell>
          <cell r="B710">
            <v>1706</v>
          </cell>
          <cell r="D710" t="str">
            <v/>
          </cell>
          <cell r="F710" t="str">
            <v/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  <cell r="O710" t="str">
            <v/>
          </cell>
          <cell r="S710" t="str">
            <v/>
          </cell>
          <cell r="T710" t="str">
            <v/>
          </cell>
        </row>
        <row r="711">
          <cell r="A711" t="str">
            <v/>
          </cell>
          <cell r="B711">
            <v>1707</v>
          </cell>
          <cell r="D711" t="str">
            <v/>
          </cell>
          <cell r="F711" t="str">
            <v/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  <cell r="O711" t="str">
            <v/>
          </cell>
          <cell r="S711" t="str">
            <v/>
          </cell>
          <cell r="T711" t="str">
            <v/>
          </cell>
        </row>
        <row r="712">
          <cell r="A712" t="str">
            <v/>
          </cell>
          <cell r="B712">
            <v>1708</v>
          </cell>
          <cell r="D712" t="str">
            <v/>
          </cell>
          <cell r="F712" t="str">
            <v/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  <cell r="O712" t="str">
            <v/>
          </cell>
          <cell r="S712" t="str">
            <v/>
          </cell>
          <cell r="T712" t="str">
            <v/>
          </cell>
        </row>
        <row r="713">
          <cell r="A713" t="str">
            <v/>
          </cell>
          <cell r="B713">
            <v>1709</v>
          </cell>
          <cell r="D713" t="str">
            <v/>
          </cell>
          <cell r="F713" t="str">
            <v/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  <cell r="O713" t="str">
            <v/>
          </cell>
          <cell r="S713" t="str">
            <v/>
          </cell>
          <cell r="T713" t="str">
            <v/>
          </cell>
        </row>
        <row r="714">
          <cell r="A714" t="str">
            <v/>
          </cell>
          <cell r="B714">
            <v>1710</v>
          </cell>
          <cell r="D714" t="str">
            <v/>
          </cell>
          <cell r="F714" t="str">
            <v/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  <cell r="O714" t="str">
            <v/>
          </cell>
          <cell r="S714" t="str">
            <v/>
          </cell>
          <cell r="T714" t="str">
            <v/>
          </cell>
        </row>
        <row r="715">
          <cell r="A715" t="str">
            <v/>
          </cell>
          <cell r="B715">
            <v>1711</v>
          </cell>
          <cell r="D715" t="str">
            <v/>
          </cell>
          <cell r="F715" t="str">
            <v/>
          </cell>
          <cell r="J715">
            <v>0</v>
          </cell>
          <cell r="L715">
            <v>0</v>
          </cell>
          <cell r="M715">
            <v>0</v>
          </cell>
          <cell r="N715">
            <v>0</v>
          </cell>
          <cell r="O715" t="str">
            <v/>
          </cell>
          <cell r="S715" t="str">
            <v/>
          </cell>
          <cell r="T715" t="str">
            <v/>
          </cell>
        </row>
        <row r="716">
          <cell r="A716" t="str">
            <v/>
          </cell>
          <cell r="B716">
            <v>1712</v>
          </cell>
          <cell r="D716" t="str">
            <v/>
          </cell>
          <cell r="F716" t="str">
            <v/>
          </cell>
          <cell r="J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/>
          </cell>
          <cell r="S716" t="str">
            <v/>
          </cell>
          <cell r="T716" t="str">
            <v/>
          </cell>
        </row>
        <row r="717">
          <cell r="A717" t="str">
            <v/>
          </cell>
          <cell r="B717">
            <v>1713</v>
          </cell>
          <cell r="D717" t="str">
            <v/>
          </cell>
          <cell r="F717" t="str">
            <v/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  <cell r="O717" t="str">
            <v/>
          </cell>
          <cell r="S717" t="str">
            <v/>
          </cell>
          <cell r="T717" t="str">
            <v/>
          </cell>
        </row>
        <row r="718">
          <cell r="A718" t="str">
            <v/>
          </cell>
          <cell r="B718">
            <v>1714</v>
          </cell>
          <cell r="D718" t="str">
            <v/>
          </cell>
          <cell r="F718" t="str">
            <v/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  <cell r="O718" t="str">
            <v/>
          </cell>
          <cell r="S718" t="str">
            <v/>
          </cell>
          <cell r="T718" t="str">
            <v/>
          </cell>
        </row>
        <row r="719">
          <cell r="A719" t="str">
            <v/>
          </cell>
          <cell r="B719">
            <v>1715</v>
          </cell>
          <cell r="D719" t="str">
            <v/>
          </cell>
          <cell r="F719" t="str">
            <v/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  <cell r="O719" t="str">
            <v/>
          </cell>
          <cell r="S719" t="str">
            <v/>
          </cell>
          <cell r="T719" t="str">
            <v/>
          </cell>
        </row>
        <row r="720">
          <cell r="A720" t="str">
            <v/>
          </cell>
          <cell r="B720">
            <v>1716</v>
          </cell>
          <cell r="D720" t="str">
            <v/>
          </cell>
          <cell r="F720" t="str">
            <v/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  <cell r="O720" t="str">
            <v/>
          </cell>
          <cell r="S720" t="str">
            <v/>
          </cell>
          <cell r="T720" t="str">
            <v/>
          </cell>
        </row>
        <row r="721">
          <cell r="A721" t="str">
            <v/>
          </cell>
          <cell r="B721">
            <v>1717</v>
          </cell>
          <cell r="D721" t="str">
            <v/>
          </cell>
          <cell r="F721" t="str">
            <v/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  <cell r="O721" t="str">
            <v/>
          </cell>
          <cell r="S721" t="str">
            <v/>
          </cell>
          <cell r="T721" t="str">
            <v/>
          </cell>
        </row>
        <row r="722">
          <cell r="A722" t="str">
            <v/>
          </cell>
          <cell r="B722">
            <v>1718</v>
          </cell>
          <cell r="D722" t="str">
            <v/>
          </cell>
          <cell r="F722" t="str">
            <v/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  <cell r="O722" t="str">
            <v/>
          </cell>
          <cell r="S722" t="str">
            <v/>
          </cell>
          <cell r="T722" t="str">
            <v/>
          </cell>
        </row>
        <row r="723">
          <cell r="A723" t="str">
            <v/>
          </cell>
          <cell r="B723">
            <v>1719</v>
          </cell>
          <cell r="D723" t="str">
            <v/>
          </cell>
          <cell r="F723" t="str">
            <v/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  <cell r="O723" t="str">
            <v/>
          </cell>
          <cell r="S723" t="str">
            <v/>
          </cell>
          <cell r="T723" t="str">
            <v/>
          </cell>
        </row>
        <row r="724">
          <cell r="A724" t="str">
            <v/>
          </cell>
          <cell r="B724">
            <v>1720</v>
          </cell>
          <cell r="D724" t="str">
            <v/>
          </cell>
          <cell r="F724" t="str">
            <v/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  <cell r="O724" t="str">
            <v/>
          </cell>
          <cell r="S724" t="str">
            <v/>
          </cell>
          <cell r="T724" t="str">
            <v/>
          </cell>
        </row>
        <row r="725">
          <cell r="A725" t="str">
            <v/>
          </cell>
          <cell r="B725">
            <v>1721</v>
          </cell>
          <cell r="D725" t="str">
            <v/>
          </cell>
          <cell r="F725" t="str">
            <v/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  <cell r="O725" t="str">
            <v/>
          </cell>
          <cell r="S725" t="str">
            <v/>
          </cell>
          <cell r="T725" t="str">
            <v/>
          </cell>
        </row>
        <row r="726">
          <cell r="A726" t="str">
            <v/>
          </cell>
          <cell r="B726">
            <v>1722</v>
          </cell>
          <cell r="D726" t="str">
            <v/>
          </cell>
          <cell r="F726" t="str">
            <v/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  <cell r="O726" t="str">
            <v/>
          </cell>
          <cell r="S726" t="str">
            <v/>
          </cell>
          <cell r="T726" t="str">
            <v/>
          </cell>
        </row>
        <row r="727">
          <cell r="A727" t="str">
            <v/>
          </cell>
          <cell r="B727">
            <v>1723</v>
          </cell>
          <cell r="D727" t="str">
            <v/>
          </cell>
          <cell r="F727" t="str">
            <v/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  <cell r="O727" t="str">
            <v/>
          </cell>
          <cell r="S727" t="str">
            <v/>
          </cell>
          <cell r="T727" t="str">
            <v/>
          </cell>
        </row>
        <row r="728">
          <cell r="A728" t="str">
            <v/>
          </cell>
          <cell r="B728">
            <v>1724</v>
          </cell>
          <cell r="D728" t="str">
            <v/>
          </cell>
          <cell r="F728" t="str">
            <v/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  <cell r="O728" t="str">
            <v/>
          </cell>
          <cell r="S728" t="str">
            <v/>
          </cell>
          <cell r="T728" t="str">
            <v/>
          </cell>
        </row>
        <row r="729">
          <cell r="A729" t="str">
            <v/>
          </cell>
          <cell r="B729">
            <v>1725</v>
          </cell>
          <cell r="D729" t="str">
            <v/>
          </cell>
          <cell r="F729" t="str">
            <v/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  <cell r="O729" t="str">
            <v/>
          </cell>
          <cell r="S729" t="str">
            <v/>
          </cell>
          <cell r="T729" t="str">
            <v/>
          </cell>
        </row>
        <row r="730">
          <cell r="A730" t="str">
            <v/>
          </cell>
          <cell r="B730">
            <v>1726</v>
          </cell>
          <cell r="D730" t="str">
            <v/>
          </cell>
          <cell r="F730" t="str">
            <v/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  <cell r="O730" t="str">
            <v/>
          </cell>
          <cell r="S730" t="str">
            <v/>
          </cell>
          <cell r="T730" t="str">
            <v/>
          </cell>
        </row>
        <row r="731">
          <cell r="A731" t="str">
            <v/>
          </cell>
          <cell r="B731">
            <v>1727</v>
          </cell>
          <cell r="D731" t="str">
            <v/>
          </cell>
          <cell r="F731" t="str">
            <v/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  <cell r="O731" t="str">
            <v/>
          </cell>
          <cell r="S731" t="str">
            <v/>
          </cell>
          <cell r="T731" t="str">
            <v/>
          </cell>
        </row>
        <row r="732">
          <cell r="A732" t="str">
            <v/>
          </cell>
          <cell r="B732">
            <v>1728</v>
          </cell>
          <cell r="D732" t="str">
            <v/>
          </cell>
          <cell r="F732" t="str">
            <v/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  <cell r="O732" t="str">
            <v/>
          </cell>
          <cell r="S732" t="str">
            <v/>
          </cell>
          <cell r="T732" t="str">
            <v/>
          </cell>
        </row>
        <row r="733">
          <cell r="A733" t="str">
            <v/>
          </cell>
          <cell r="B733">
            <v>1729</v>
          </cell>
          <cell r="D733" t="str">
            <v/>
          </cell>
          <cell r="F733" t="str">
            <v/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  <cell r="O733" t="str">
            <v/>
          </cell>
          <cell r="S733" t="str">
            <v/>
          </cell>
          <cell r="T733" t="str">
            <v/>
          </cell>
        </row>
        <row r="734">
          <cell r="A734" t="str">
            <v/>
          </cell>
          <cell r="B734">
            <v>1730</v>
          </cell>
          <cell r="D734" t="str">
            <v/>
          </cell>
          <cell r="F734" t="str">
            <v/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  <cell r="O734" t="str">
            <v/>
          </cell>
          <cell r="S734" t="str">
            <v/>
          </cell>
          <cell r="T734" t="str">
            <v/>
          </cell>
        </row>
        <row r="735">
          <cell r="A735" t="str">
            <v/>
          </cell>
          <cell r="B735">
            <v>1731</v>
          </cell>
          <cell r="D735" t="str">
            <v/>
          </cell>
          <cell r="F735" t="str">
            <v/>
          </cell>
          <cell r="J735">
            <v>0</v>
          </cell>
          <cell r="L735">
            <v>0</v>
          </cell>
          <cell r="M735">
            <v>0</v>
          </cell>
          <cell r="N735">
            <v>0</v>
          </cell>
          <cell r="O735" t="str">
            <v/>
          </cell>
          <cell r="S735" t="str">
            <v/>
          </cell>
          <cell r="T735" t="str">
            <v/>
          </cell>
        </row>
        <row r="736">
          <cell r="A736" t="str">
            <v/>
          </cell>
          <cell r="B736">
            <v>1732</v>
          </cell>
          <cell r="D736" t="str">
            <v/>
          </cell>
          <cell r="F736" t="str">
            <v/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  <cell r="O736" t="str">
            <v/>
          </cell>
          <cell r="S736" t="str">
            <v/>
          </cell>
          <cell r="T736" t="str">
            <v/>
          </cell>
        </row>
        <row r="737">
          <cell r="A737" t="str">
            <v/>
          </cell>
          <cell r="B737">
            <v>1733</v>
          </cell>
          <cell r="D737" t="str">
            <v/>
          </cell>
          <cell r="F737" t="str">
            <v/>
          </cell>
          <cell r="J737">
            <v>0</v>
          </cell>
          <cell r="L737">
            <v>0</v>
          </cell>
          <cell r="M737">
            <v>0</v>
          </cell>
          <cell r="N737">
            <v>0</v>
          </cell>
          <cell r="O737" t="str">
            <v/>
          </cell>
          <cell r="S737" t="str">
            <v/>
          </cell>
          <cell r="T737" t="str">
            <v/>
          </cell>
        </row>
        <row r="738">
          <cell r="A738" t="str">
            <v/>
          </cell>
          <cell r="B738">
            <v>1734</v>
          </cell>
          <cell r="D738" t="str">
            <v/>
          </cell>
          <cell r="F738" t="str">
            <v/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  <cell r="O738" t="str">
            <v/>
          </cell>
          <cell r="S738" t="str">
            <v/>
          </cell>
          <cell r="T738" t="str">
            <v/>
          </cell>
        </row>
        <row r="739">
          <cell r="A739" t="str">
            <v/>
          </cell>
          <cell r="B739">
            <v>1735</v>
          </cell>
          <cell r="D739" t="str">
            <v/>
          </cell>
          <cell r="F739" t="str">
            <v/>
          </cell>
          <cell r="J739">
            <v>0</v>
          </cell>
          <cell r="L739">
            <v>0</v>
          </cell>
          <cell r="M739">
            <v>0</v>
          </cell>
          <cell r="N739">
            <v>0</v>
          </cell>
          <cell r="O739" t="str">
            <v/>
          </cell>
          <cell r="S739" t="str">
            <v/>
          </cell>
          <cell r="T739" t="str">
            <v/>
          </cell>
        </row>
        <row r="740">
          <cell r="A740" t="str">
            <v/>
          </cell>
          <cell r="B740">
            <v>1736</v>
          </cell>
          <cell r="D740" t="str">
            <v/>
          </cell>
          <cell r="F740" t="str">
            <v/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  <cell r="O740" t="str">
            <v/>
          </cell>
          <cell r="S740" t="str">
            <v/>
          </cell>
          <cell r="T740" t="str">
            <v/>
          </cell>
        </row>
        <row r="741">
          <cell r="A741" t="str">
            <v/>
          </cell>
          <cell r="B741">
            <v>1737</v>
          </cell>
          <cell r="D741" t="str">
            <v/>
          </cell>
          <cell r="F741" t="str">
            <v/>
          </cell>
          <cell r="J741">
            <v>0</v>
          </cell>
          <cell r="L741">
            <v>0</v>
          </cell>
          <cell r="M741">
            <v>0</v>
          </cell>
          <cell r="N741">
            <v>0</v>
          </cell>
          <cell r="O741" t="str">
            <v/>
          </cell>
          <cell r="S741" t="str">
            <v/>
          </cell>
          <cell r="T741" t="str">
            <v/>
          </cell>
        </row>
        <row r="742">
          <cell r="A742" t="str">
            <v/>
          </cell>
          <cell r="B742">
            <v>1738</v>
          </cell>
          <cell r="D742" t="str">
            <v/>
          </cell>
          <cell r="F742" t="str">
            <v/>
          </cell>
          <cell r="J742">
            <v>0</v>
          </cell>
          <cell r="L742">
            <v>0</v>
          </cell>
          <cell r="M742">
            <v>0</v>
          </cell>
          <cell r="N742">
            <v>0</v>
          </cell>
          <cell r="O742" t="str">
            <v/>
          </cell>
          <cell r="S742" t="str">
            <v/>
          </cell>
          <cell r="T742" t="str">
            <v/>
          </cell>
        </row>
        <row r="743">
          <cell r="A743" t="str">
            <v/>
          </cell>
          <cell r="B743">
            <v>1739</v>
          </cell>
          <cell r="D743" t="str">
            <v/>
          </cell>
          <cell r="F743" t="str">
            <v/>
          </cell>
          <cell r="J743">
            <v>0</v>
          </cell>
          <cell r="L743">
            <v>0</v>
          </cell>
          <cell r="M743">
            <v>0</v>
          </cell>
          <cell r="N743">
            <v>0</v>
          </cell>
          <cell r="O743" t="str">
            <v/>
          </cell>
          <cell r="S743" t="str">
            <v/>
          </cell>
          <cell r="T743" t="str">
            <v/>
          </cell>
        </row>
        <row r="744">
          <cell r="A744" t="str">
            <v/>
          </cell>
          <cell r="B744">
            <v>1740</v>
          </cell>
          <cell r="D744" t="str">
            <v/>
          </cell>
          <cell r="F744" t="str">
            <v/>
          </cell>
          <cell r="J744">
            <v>0</v>
          </cell>
          <cell r="L744">
            <v>0</v>
          </cell>
          <cell r="M744">
            <v>0</v>
          </cell>
          <cell r="N744">
            <v>0</v>
          </cell>
          <cell r="O744" t="str">
            <v/>
          </cell>
          <cell r="S744" t="str">
            <v/>
          </cell>
          <cell r="T744" t="str">
            <v/>
          </cell>
        </row>
        <row r="745">
          <cell r="A745" t="str">
            <v/>
          </cell>
          <cell r="B745">
            <v>1741</v>
          </cell>
          <cell r="D745" t="str">
            <v/>
          </cell>
          <cell r="F745" t="str">
            <v/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  <cell r="O745" t="str">
            <v/>
          </cell>
          <cell r="S745" t="str">
            <v/>
          </cell>
          <cell r="T745" t="str">
            <v/>
          </cell>
        </row>
        <row r="746">
          <cell r="A746" t="str">
            <v/>
          </cell>
          <cell r="B746">
            <v>1742</v>
          </cell>
          <cell r="D746" t="str">
            <v/>
          </cell>
          <cell r="F746" t="str">
            <v/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  <cell r="O746" t="str">
            <v/>
          </cell>
          <cell r="S746" t="str">
            <v/>
          </cell>
          <cell r="T746" t="str">
            <v/>
          </cell>
        </row>
        <row r="747">
          <cell r="A747" t="str">
            <v/>
          </cell>
          <cell r="B747">
            <v>1743</v>
          </cell>
          <cell r="D747" t="str">
            <v/>
          </cell>
          <cell r="F747" t="str">
            <v/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  <cell r="O747" t="str">
            <v/>
          </cell>
          <cell r="S747" t="str">
            <v/>
          </cell>
          <cell r="T747" t="str">
            <v/>
          </cell>
        </row>
        <row r="748">
          <cell r="A748" t="str">
            <v/>
          </cell>
          <cell r="B748">
            <v>1744</v>
          </cell>
          <cell r="D748" t="str">
            <v/>
          </cell>
          <cell r="F748" t="str">
            <v/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  <cell r="O748" t="str">
            <v/>
          </cell>
          <cell r="S748" t="str">
            <v/>
          </cell>
          <cell r="T748" t="str">
            <v/>
          </cell>
        </row>
        <row r="749">
          <cell r="A749" t="str">
            <v/>
          </cell>
          <cell r="B749">
            <v>1745</v>
          </cell>
          <cell r="D749" t="str">
            <v/>
          </cell>
          <cell r="F749" t="str">
            <v/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  <cell r="O749" t="str">
            <v/>
          </cell>
          <cell r="S749" t="str">
            <v/>
          </cell>
          <cell r="T749" t="str">
            <v/>
          </cell>
        </row>
        <row r="750">
          <cell r="A750" t="str">
            <v/>
          </cell>
          <cell r="B750">
            <v>1746</v>
          </cell>
          <cell r="D750" t="str">
            <v/>
          </cell>
          <cell r="F750" t="str">
            <v/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  <cell r="O750" t="str">
            <v/>
          </cell>
          <cell r="S750" t="str">
            <v/>
          </cell>
          <cell r="T750" t="str">
            <v/>
          </cell>
        </row>
        <row r="751">
          <cell r="A751" t="str">
            <v/>
          </cell>
          <cell r="B751">
            <v>1747</v>
          </cell>
          <cell r="D751" t="str">
            <v/>
          </cell>
          <cell r="F751" t="str">
            <v/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  <cell r="O751" t="str">
            <v/>
          </cell>
          <cell r="S751" t="str">
            <v/>
          </cell>
          <cell r="T751" t="str">
            <v/>
          </cell>
        </row>
        <row r="752">
          <cell r="A752" t="str">
            <v/>
          </cell>
          <cell r="B752">
            <v>1748</v>
          </cell>
          <cell r="D752" t="str">
            <v/>
          </cell>
          <cell r="F752" t="str">
            <v/>
          </cell>
          <cell r="J752">
            <v>0</v>
          </cell>
          <cell r="L752">
            <v>0</v>
          </cell>
          <cell r="M752">
            <v>0</v>
          </cell>
          <cell r="N752">
            <v>0</v>
          </cell>
          <cell r="O752" t="str">
            <v/>
          </cell>
          <cell r="S752" t="str">
            <v/>
          </cell>
          <cell r="T752" t="str">
            <v/>
          </cell>
        </row>
        <row r="753">
          <cell r="A753" t="str">
            <v/>
          </cell>
          <cell r="B753">
            <v>1749</v>
          </cell>
          <cell r="D753" t="str">
            <v/>
          </cell>
          <cell r="F753" t="str">
            <v/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  <cell r="O753" t="str">
            <v/>
          </cell>
          <cell r="S753" t="str">
            <v/>
          </cell>
          <cell r="T753" t="str">
            <v/>
          </cell>
        </row>
        <row r="754">
          <cell r="A754" t="str">
            <v/>
          </cell>
          <cell r="B754">
            <v>1750</v>
          </cell>
          <cell r="D754" t="str">
            <v/>
          </cell>
          <cell r="F754" t="str">
            <v/>
          </cell>
          <cell r="J754">
            <v>0</v>
          </cell>
          <cell r="L754">
            <v>0</v>
          </cell>
          <cell r="M754">
            <v>0</v>
          </cell>
          <cell r="N754">
            <v>0</v>
          </cell>
          <cell r="O754" t="str">
            <v/>
          </cell>
          <cell r="S754" t="str">
            <v/>
          </cell>
          <cell r="T754" t="str">
            <v/>
          </cell>
        </row>
        <row r="755">
          <cell r="A755" t="str">
            <v/>
          </cell>
          <cell r="B755">
            <v>1751</v>
          </cell>
          <cell r="D755" t="str">
            <v/>
          </cell>
          <cell r="F755" t="str">
            <v/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  <cell r="O755" t="str">
            <v/>
          </cell>
          <cell r="S755" t="str">
            <v/>
          </cell>
          <cell r="T755" t="str">
            <v/>
          </cell>
        </row>
        <row r="756">
          <cell r="A756" t="str">
            <v/>
          </cell>
          <cell r="B756">
            <v>1752</v>
          </cell>
          <cell r="D756" t="str">
            <v/>
          </cell>
          <cell r="F756" t="str">
            <v/>
          </cell>
          <cell r="J756">
            <v>0</v>
          </cell>
          <cell r="L756">
            <v>0</v>
          </cell>
          <cell r="M756">
            <v>0</v>
          </cell>
          <cell r="N756">
            <v>0</v>
          </cell>
          <cell r="O756" t="str">
            <v/>
          </cell>
          <cell r="S756" t="str">
            <v/>
          </cell>
          <cell r="T756" t="str">
            <v/>
          </cell>
        </row>
        <row r="757">
          <cell r="A757" t="str">
            <v/>
          </cell>
          <cell r="B757">
            <v>1753</v>
          </cell>
          <cell r="D757" t="str">
            <v/>
          </cell>
          <cell r="F757" t="str">
            <v/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  <cell r="O757" t="str">
            <v/>
          </cell>
          <cell r="S757" t="str">
            <v/>
          </cell>
          <cell r="T757" t="str">
            <v/>
          </cell>
        </row>
        <row r="758">
          <cell r="A758" t="str">
            <v/>
          </cell>
          <cell r="B758">
            <v>1754</v>
          </cell>
          <cell r="D758" t="str">
            <v/>
          </cell>
          <cell r="F758" t="str">
            <v/>
          </cell>
          <cell r="J758">
            <v>0</v>
          </cell>
          <cell r="L758">
            <v>0</v>
          </cell>
          <cell r="M758">
            <v>0</v>
          </cell>
          <cell r="N758">
            <v>0</v>
          </cell>
          <cell r="O758" t="str">
            <v/>
          </cell>
          <cell r="S758" t="str">
            <v/>
          </cell>
          <cell r="T758" t="str">
            <v/>
          </cell>
        </row>
        <row r="759">
          <cell r="A759" t="str">
            <v/>
          </cell>
          <cell r="B759">
            <v>1755</v>
          </cell>
          <cell r="D759" t="str">
            <v/>
          </cell>
          <cell r="F759" t="str">
            <v/>
          </cell>
          <cell r="J759">
            <v>0</v>
          </cell>
          <cell r="L759">
            <v>0</v>
          </cell>
          <cell r="M759">
            <v>0</v>
          </cell>
          <cell r="N759">
            <v>0</v>
          </cell>
          <cell r="O759" t="str">
            <v/>
          </cell>
          <cell r="S759" t="str">
            <v/>
          </cell>
          <cell r="T759" t="str">
            <v/>
          </cell>
        </row>
        <row r="760">
          <cell r="A760" t="str">
            <v/>
          </cell>
          <cell r="B760">
            <v>1756</v>
          </cell>
          <cell r="D760" t="str">
            <v/>
          </cell>
          <cell r="F760" t="str">
            <v/>
          </cell>
          <cell r="J760">
            <v>0</v>
          </cell>
          <cell r="L760">
            <v>0</v>
          </cell>
          <cell r="M760">
            <v>0</v>
          </cell>
          <cell r="N760">
            <v>0</v>
          </cell>
          <cell r="O760" t="str">
            <v/>
          </cell>
          <cell r="S760" t="str">
            <v/>
          </cell>
          <cell r="T760" t="str">
            <v/>
          </cell>
        </row>
        <row r="761">
          <cell r="A761" t="str">
            <v/>
          </cell>
          <cell r="B761">
            <v>1757</v>
          </cell>
          <cell r="D761" t="str">
            <v/>
          </cell>
          <cell r="F761" t="str">
            <v/>
          </cell>
          <cell r="J761">
            <v>0</v>
          </cell>
          <cell r="L761">
            <v>0</v>
          </cell>
          <cell r="M761">
            <v>0</v>
          </cell>
          <cell r="N761">
            <v>0</v>
          </cell>
          <cell r="O761" t="str">
            <v/>
          </cell>
          <cell r="S761" t="str">
            <v/>
          </cell>
          <cell r="T761" t="str">
            <v/>
          </cell>
        </row>
        <row r="762">
          <cell r="A762" t="str">
            <v/>
          </cell>
          <cell r="B762">
            <v>1758</v>
          </cell>
          <cell r="D762" t="str">
            <v/>
          </cell>
          <cell r="F762" t="str">
            <v/>
          </cell>
          <cell r="J762">
            <v>0</v>
          </cell>
          <cell r="L762">
            <v>0</v>
          </cell>
          <cell r="M762">
            <v>0</v>
          </cell>
          <cell r="N762">
            <v>0</v>
          </cell>
          <cell r="O762" t="str">
            <v/>
          </cell>
          <cell r="S762" t="str">
            <v/>
          </cell>
          <cell r="T762" t="str">
            <v/>
          </cell>
        </row>
        <row r="763">
          <cell r="A763" t="str">
            <v/>
          </cell>
          <cell r="B763">
            <v>1759</v>
          </cell>
          <cell r="D763" t="str">
            <v/>
          </cell>
          <cell r="F763" t="str">
            <v/>
          </cell>
          <cell r="J763">
            <v>0</v>
          </cell>
          <cell r="L763">
            <v>0</v>
          </cell>
          <cell r="M763">
            <v>0</v>
          </cell>
          <cell r="N763">
            <v>0</v>
          </cell>
          <cell r="O763" t="str">
            <v/>
          </cell>
          <cell r="S763" t="str">
            <v/>
          </cell>
          <cell r="T763" t="str">
            <v/>
          </cell>
        </row>
        <row r="764">
          <cell r="A764" t="str">
            <v/>
          </cell>
          <cell r="B764">
            <v>1760</v>
          </cell>
          <cell r="D764" t="str">
            <v/>
          </cell>
          <cell r="F764" t="str">
            <v/>
          </cell>
          <cell r="J764">
            <v>0</v>
          </cell>
          <cell r="L764">
            <v>0</v>
          </cell>
          <cell r="M764">
            <v>0</v>
          </cell>
          <cell r="N764">
            <v>0</v>
          </cell>
          <cell r="O764" t="str">
            <v/>
          </cell>
          <cell r="S764" t="str">
            <v/>
          </cell>
          <cell r="T764" t="str">
            <v/>
          </cell>
        </row>
        <row r="765">
          <cell r="A765" t="str">
            <v/>
          </cell>
          <cell r="B765">
            <v>1761</v>
          </cell>
          <cell r="D765" t="str">
            <v/>
          </cell>
          <cell r="F765" t="str">
            <v/>
          </cell>
          <cell r="J765">
            <v>0</v>
          </cell>
          <cell r="L765">
            <v>0</v>
          </cell>
          <cell r="M765">
            <v>0</v>
          </cell>
          <cell r="N765">
            <v>0</v>
          </cell>
          <cell r="O765" t="str">
            <v/>
          </cell>
          <cell r="S765" t="str">
            <v/>
          </cell>
          <cell r="T765" t="str">
            <v/>
          </cell>
        </row>
        <row r="766">
          <cell r="A766" t="str">
            <v/>
          </cell>
          <cell r="B766">
            <v>1762</v>
          </cell>
          <cell r="D766" t="str">
            <v/>
          </cell>
          <cell r="F766" t="str">
            <v/>
          </cell>
          <cell r="J766">
            <v>0</v>
          </cell>
          <cell r="L766">
            <v>0</v>
          </cell>
          <cell r="M766">
            <v>0</v>
          </cell>
          <cell r="N766">
            <v>0</v>
          </cell>
          <cell r="O766" t="str">
            <v/>
          </cell>
          <cell r="S766" t="str">
            <v/>
          </cell>
          <cell r="T766" t="str">
            <v/>
          </cell>
        </row>
        <row r="767">
          <cell r="A767" t="str">
            <v/>
          </cell>
          <cell r="B767">
            <v>1763</v>
          </cell>
          <cell r="D767" t="str">
            <v/>
          </cell>
          <cell r="F767" t="str">
            <v/>
          </cell>
          <cell r="J767">
            <v>0</v>
          </cell>
          <cell r="L767">
            <v>0</v>
          </cell>
          <cell r="M767">
            <v>0</v>
          </cell>
          <cell r="N767">
            <v>0</v>
          </cell>
          <cell r="O767" t="str">
            <v/>
          </cell>
          <cell r="S767" t="str">
            <v/>
          </cell>
          <cell r="T767" t="str">
            <v/>
          </cell>
        </row>
        <row r="768">
          <cell r="A768" t="str">
            <v/>
          </cell>
          <cell r="B768">
            <v>1764</v>
          </cell>
          <cell r="D768" t="str">
            <v/>
          </cell>
          <cell r="F768" t="str">
            <v/>
          </cell>
          <cell r="J768">
            <v>0</v>
          </cell>
          <cell r="L768">
            <v>0</v>
          </cell>
          <cell r="M768">
            <v>0</v>
          </cell>
          <cell r="N768">
            <v>0</v>
          </cell>
          <cell r="O768" t="str">
            <v/>
          </cell>
          <cell r="S768" t="str">
            <v/>
          </cell>
          <cell r="T768" t="str">
            <v/>
          </cell>
        </row>
        <row r="769">
          <cell r="A769" t="str">
            <v/>
          </cell>
          <cell r="B769">
            <v>1765</v>
          </cell>
          <cell r="D769" t="str">
            <v/>
          </cell>
          <cell r="F769" t="str">
            <v/>
          </cell>
          <cell r="J769">
            <v>0</v>
          </cell>
          <cell r="L769">
            <v>0</v>
          </cell>
          <cell r="M769">
            <v>0</v>
          </cell>
          <cell r="N769">
            <v>0</v>
          </cell>
          <cell r="O769" t="str">
            <v/>
          </cell>
          <cell r="S769" t="str">
            <v/>
          </cell>
          <cell r="T769" t="str">
            <v/>
          </cell>
        </row>
        <row r="770">
          <cell r="A770" t="str">
            <v/>
          </cell>
          <cell r="B770">
            <v>1766</v>
          </cell>
          <cell r="D770" t="str">
            <v/>
          </cell>
          <cell r="F770" t="str">
            <v/>
          </cell>
          <cell r="J770">
            <v>0</v>
          </cell>
          <cell r="L770">
            <v>0</v>
          </cell>
          <cell r="M770">
            <v>0</v>
          </cell>
          <cell r="N770">
            <v>0</v>
          </cell>
          <cell r="O770" t="str">
            <v/>
          </cell>
          <cell r="S770" t="str">
            <v/>
          </cell>
          <cell r="T770" t="str">
            <v/>
          </cell>
        </row>
        <row r="771">
          <cell r="A771" t="str">
            <v/>
          </cell>
          <cell r="B771">
            <v>1767</v>
          </cell>
          <cell r="D771" t="str">
            <v/>
          </cell>
          <cell r="F771" t="str">
            <v/>
          </cell>
          <cell r="J771">
            <v>0</v>
          </cell>
          <cell r="L771">
            <v>0</v>
          </cell>
          <cell r="M771">
            <v>0</v>
          </cell>
          <cell r="N771">
            <v>0</v>
          </cell>
          <cell r="O771" t="str">
            <v/>
          </cell>
          <cell r="S771" t="str">
            <v/>
          </cell>
          <cell r="T771" t="str">
            <v/>
          </cell>
        </row>
        <row r="772">
          <cell r="A772" t="str">
            <v/>
          </cell>
          <cell r="B772">
            <v>1768</v>
          </cell>
          <cell r="D772" t="str">
            <v/>
          </cell>
          <cell r="F772" t="str">
            <v/>
          </cell>
          <cell r="J772">
            <v>0</v>
          </cell>
          <cell r="L772">
            <v>0</v>
          </cell>
          <cell r="M772">
            <v>0</v>
          </cell>
          <cell r="N772">
            <v>0</v>
          </cell>
          <cell r="O772" t="str">
            <v/>
          </cell>
          <cell r="S772" t="str">
            <v/>
          </cell>
          <cell r="T772" t="str">
            <v/>
          </cell>
        </row>
        <row r="773">
          <cell r="A773" t="str">
            <v/>
          </cell>
          <cell r="B773">
            <v>1769</v>
          </cell>
          <cell r="D773" t="str">
            <v/>
          </cell>
          <cell r="F773" t="str">
            <v/>
          </cell>
          <cell r="J773">
            <v>0</v>
          </cell>
          <cell r="L773">
            <v>0</v>
          </cell>
          <cell r="M773">
            <v>0</v>
          </cell>
          <cell r="N773">
            <v>0</v>
          </cell>
          <cell r="O773" t="str">
            <v/>
          </cell>
          <cell r="S773" t="str">
            <v/>
          </cell>
          <cell r="T773" t="str">
            <v/>
          </cell>
        </row>
        <row r="774">
          <cell r="A774" t="str">
            <v/>
          </cell>
          <cell r="B774">
            <v>1770</v>
          </cell>
          <cell r="D774" t="str">
            <v/>
          </cell>
          <cell r="F774" t="str">
            <v/>
          </cell>
          <cell r="J774">
            <v>0</v>
          </cell>
          <cell r="L774">
            <v>0</v>
          </cell>
          <cell r="M774">
            <v>0</v>
          </cell>
          <cell r="N774">
            <v>0</v>
          </cell>
          <cell r="O774" t="str">
            <v/>
          </cell>
          <cell r="S774" t="str">
            <v/>
          </cell>
          <cell r="T774" t="str">
            <v/>
          </cell>
        </row>
        <row r="775">
          <cell r="A775" t="str">
            <v/>
          </cell>
          <cell r="B775">
            <v>1771</v>
          </cell>
          <cell r="D775" t="str">
            <v/>
          </cell>
          <cell r="F775" t="str">
            <v/>
          </cell>
          <cell r="J775">
            <v>0</v>
          </cell>
          <cell r="L775">
            <v>0</v>
          </cell>
          <cell r="M775">
            <v>0</v>
          </cell>
          <cell r="N775">
            <v>0</v>
          </cell>
          <cell r="O775" t="str">
            <v/>
          </cell>
          <cell r="S775" t="str">
            <v/>
          </cell>
          <cell r="T775" t="str">
            <v/>
          </cell>
        </row>
        <row r="776">
          <cell r="A776" t="str">
            <v/>
          </cell>
          <cell r="B776">
            <v>1772</v>
          </cell>
          <cell r="D776" t="str">
            <v/>
          </cell>
          <cell r="F776" t="str">
            <v/>
          </cell>
          <cell r="J776">
            <v>0</v>
          </cell>
          <cell r="L776">
            <v>0</v>
          </cell>
          <cell r="M776">
            <v>0</v>
          </cell>
          <cell r="N776">
            <v>0</v>
          </cell>
          <cell r="O776" t="str">
            <v/>
          </cell>
          <cell r="S776" t="str">
            <v/>
          </cell>
          <cell r="T776" t="str">
            <v/>
          </cell>
        </row>
        <row r="777">
          <cell r="A777" t="str">
            <v/>
          </cell>
          <cell r="B777">
            <v>1773</v>
          </cell>
          <cell r="D777" t="str">
            <v/>
          </cell>
          <cell r="F777" t="str">
            <v/>
          </cell>
          <cell r="J777">
            <v>0</v>
          </cell>
          <cell r="L777">
            <v>0</v>
          </cell>
          <cell r="M777">
            <v>0</v>
          </cell>
          <cell r="N777">
            <v>0</v>
          </cell>
          <cell r="O777" t="str">
            <v/>
          </cell>
          <cell r="S777" t="str">
            <v/>
          </cell>
          <cell r="T777" t="str">
            <v/>
          </cell>
        </row>
        <row r="778">
          <cell r="A778" t="str">
            <v/>
          </cell>
          <cell r="B778">
            <v>1774</v>
          </cell>
          <cell r="D778" t="str">
            <v/>
          </cell>
          <cell r="F778" t="str">
            <v/>
          </cell>
          <cell r="J778">
            <v>0</v>
          </cell>
          <cell r="L778">
            <v>0</v>
          </cell>
          <cell r="M778">
            <v>0</v>
          </cell>
          <cell r="N778">
            <v>0</v>
          </cell>
          <cell r="O778" t="str">
            <v/>
          </cell>
          <cell r="S778" t="str">
            <v/>
          </cell>
          <cell r="T778" t="str">
            <v/>
          </cell>
        </row>
        <row r="779">
          <cell r="A779" t="str">
            <v/>
          </cell>
          <cell r="B779">
            <v>1775</v>
          </cell>
          <cell r="D779" t="str">
            <v/>
          </cell>
          <cell r="F779" t="str">
            <v/>
          </cell>
          <cell r="J779">
            <v>0</v>
          </cell>
          <cell r="L779">
            <v>0</v>
          </cell>
          <cell r="M779">
            <v>0</v>
          </cell>
          <cell r="N779">
            <v>0</v>
          </cell>
          <cell r="O779" t="str">
            <v/>
          </cell>
          <cell r="S779" t="str">
            <v/>
          </cell>
          <cell r="T779" t="str">
            <v/>
          </cell>
        </row>
        <row r="780">
          <cell r="A780" t="str">
            <v/>
          </cell>
          <cell r="B780">
            <v>1776</v>
          </cell>
          <cell r="D780" t="str">
            <v/>
          </cell>
          <cell r="F780" t="str">
            <v/>
          </cell>
          <cell r="J780">
            <v>0</v>
          </cell>
          <cell r="L780">
            <v>0</v>
          </cell>
          <cell r="M780">
            <v>0</v>
          </cell>
          <cell r="N780">
            <v>0</v>
          </cell>
          <cell r="O780" t="str">
            <v/>
          </cell>
          <cell r="S780" t="str">
            <v/>
          </cell>
          <cell r="T780" t="str">
            <v/>
          </cell>
        </row>
        <row r="781">
          <cell r="A781" t="str">
            <v/>
          </cell>
          <cell r="B781">
            <v>1777</v>
          </cell>
          <cell r="D781" t="str">
            <v/>
          </cell>
          <cell r="F781" t="str">
            <v/>
          </cell>
          <cell r="J781">
            <v>0</v>
          </cell>
          <cell r="L781">
            <v>0</v>
          </cell>
          <cell r="M781">
            <v>0</v>
          </cell>
          <cell r="N781">
            <v>0</v>
          </cell>
          <cell r="O781" t="str">
            <v/>
          </cell>
          <cell r="S781" t="str">
            <v/>
          </cell>
          <cell r="T781" t="str">
            <v/>
          </cell>
        </row>
        <row r="782">
          <cell r="A782" t="str">
            <v/>
          </cell>
          <cell r="B782">
            <v>1778</v>
          </cell>
          <cell r="D782" t="str">
            <v/>
          </cell>
          <cell r="F782" t="str">
            <v/>
          </cell>
          <cell r="J782">
            <v>0</v>
          </cell>
          <cell r="L782">
            <v>0</v>
          </cell>
          <cell r="M782">
            <v>0</v>
          </cell>
          <cell r="N782">
            <v>0</v>
          </cell>
          <cell r="O782" t="str">
            <v/>
          </cell>
          <cell r="S782" t="str">
            <v/>
          </cell>
          <cell r="T782" t="str">
            <v/>
          </cell>
        </row>
        <row r="783">
          <cell r="A783" t="str">
            <v/>
          </cell>
          <cell r="B783">
            <v>1779</v>
          </cell>
          <cell r="D783" t="str">
            <v/>
          </cell>
          <cell r="F783" t="str">
            <v/>
          </cell>
          <cell r="J783">
            <v>0</v>
          </cell>
          <cell r="L783">
            <v>0</v>
          </cell>
          <cell r="M783">
            <v>0</v>
          </cell>
          <cell r="N783">
            <v>0</v>
          </cell>
          <cell r="O783" t="str">
            <v/>
          </cell>
          <cell r="S783" t="str">
            <v/>
          </cell>
          <cell r="T783" t="str">
            <v/>
          </cell>
        </row>
        <row r="784">
          <cell r="A784" t="str">
            <v/>
          </cell>
          <cell r="B784">
            <v>1780</v>
          </cell>
          <cell r="D784" t="str">
            <v/>
          </cell>
          <cell r="F784" t="str">
            <v/>
          </cell>
          <cell r="J784">
            <v>0</v>
          </cell>
          <cell r="L784">
            <v>0</v>
          </cell>
          <cell r="M784">
            <v>0</v>
          </cell>
          <cell r="N784">
            <v>0</v>
          </cell>
          <cell r="O784" t="str">
            <v/>
          </cell>
          <cell r="S784" t="str">
            <v/>
          </cell>
          <cell r="T784" t="str">
            <v/>
          </cell>
        </row>
        <row r="785">
          <cell r="A785" t="str">
            <v/>
          </cell>
          <cell r="B785">
            <v>1781</v>
          </cell>
          <cell r="D785" t="str">
            <v/>
          </cell>
          <cell r="F785" t="str">
            <v/>
          </cell>
          <cell r="J785">
            <v>0</v>
          </cell>
          <cell r="L785">
            <v>0</v>
          </cell>
          <cell r="M785">
            <v>0</v>
          </cell>
          <cell r="N785">
            <v>0</v>
          </cell>
          <cell r="O785" t="str">
            <v/>
          </cell>
          <cell r="S785" t="str">
            <v/>
          </cell>
          <cell r="T785" t="str">
            <v/>
          </cell>
        </row>
        <row r="786">
          <cell r="A786" t="str">
            <v/>
          </cell>
          <cell r="B786">
            <v>1782</v>
          </cell>
          <cell r="D786" t="str">
            <v/>
          </cell>
          <cell r="F786" t="str">
            <v/>
          </cell>
          <cell r="J786">
            <v>0</v>
          </cell>
          <cell r="L786">
            <v>0</v>
          </cell>
          <cell r="M786">
            <v>0</v>
          </cell>
          <cell r="N786">
            <v>0</v>
          </cell>
          <cell r="O786" t="str">
            <v/>
          </cell>
          <cell r="S786" t="str">
            <v/>
          </cell>
          <cell r="T786" t="str">
            <v/>
          </cell>
        </row>
        <row r="787">
          <cell r="A787" t="str">
            <v/>
          </cell>
          <cell r="B787">
            <v>1783</v>
          </cell>
          <cell r="D787" t="str">
            <v/>
          </cell>
          <cell r="F787" t="str">
            <v/>
          </cell>
          <cell r="J787">
            <v>0</v>
          </cell>
          <cell r="L787">
            <v>0</v>
          </cell>
          <cell r="M787">
            <v>0</v>
          </cell>
          <cell r="N787">
            <v>0</v>
          </cell>
          <cell r="O787" t="str">
            <v/>
          </cell>
          <cell r="S787" t="str">
            <v/>
          </cell>
          <cell r="T787" t="str">
            <v/>
          </cell>
        </row>
        <row r="788">
          <cell r="A788" t="str">
            <v/>
          </cell>
          <cell r="B788">
            <v>1784</v>
          </cell>
          <cell r="D788" t="str">
            <v/>
          </cell>
          <cell r="F788" t="str">
            <v/>
          </cell>
          <cell r="J788">
            <v>0</v>
          </cell>
          <cell r="L788">
            <v>0</v>
          </cell>
          <cell r="M788">
            <v>0</v>
          </cell>
          <cell r="N788">
            <v>0</v>
          </cell>
          <cell r="O788" t="str">
            <v/>
          </cell>
          <cell r="S788" t="str">
            <v/>
          </cell>
          <cell r="T788" t="str">
            <v/>
          </cell>
        </row>
        <row r="789">
          <cell r="A789" t="str">
            <v/>
          </cell>
          <cell r="B789">
            <v>1785</v>
          </cell>
          <cell r="D789" t="str">
            <v/>
          </cell>
          <cell r="F789" t="str">
            <v/>
          </cell>
          <cell r="J789">
            <v>0</v>
          </cell>
          <cell r="L789">
            <v>0</v>
          </cell>
          <cell r="M789">
            <v>0</v>
          </cell>
          <cell r="N789">
            <v>0</v>
          </cell>
          <cell r="O789" t="str">
            <v/>
          </cell>
          <cell r="S789" t="str">
            <v/>
          </cell>
          <cell r="T789" t="str">
            <v/>
          </cell>
        </row>
        <row r="790">
          <cell r="A790" t="str">
            <v/>
          </cell>
          <cell r="B790">
            <v>1786</v>
          </cell>
          <cell r="D790" t="str">
            <v/>
          </cell>
          <cell r="F790" t="str">
            <v/>
          </cell>
          <cell r="J790">
            <v>0</v>
          </cell>
          <cell r="L790">
            <v>0</v>
          </cell>
          <cell r="M790">
            <v>0</v>
          </cell>
          <cell r="N790">
            <v>0</v>
          </cell>
          <cell r="O790" t="str">
            <v/>
          </cell>
          <cell r="S790" t="str">
            <v/>
          </cell>
          <cell r="T790" t="str">
            <v/>
          </cell>
        </row>
        <row r="791">
          <cell r="A791" t="str">
            <v/>
          </cell>
          <cell r="B791">
            <v>1787</v>
          </cell>
          <cell r="D791" t="str">
            <v/>
          </cell>
          <cell r="F791" t="str">
            <v/>
          </cell>
          <cell r="J791">
            <v>0</v>
          </cell>
          <cell r="L791">
            <v>0</v>
          </cell>
          <cell r="M791">
            <v>0</v>
          </cell>
          <cell r="N791">
            <v>0</v>
          </cell>
          <cell r="O791" t="str">
            <v/>
          </cell>
          <cell r="S791" t="str">
            <v/>
          </cell>
          <cell r="T791" t="str">
            <v/>
          </cell>
        </row>
        <row r="792">
          <cell r="A792" t="str">
            <v/>
          </cell>
          <cell r="B792">
            <v>1788</v>
          </cell>
          <cell r="D792" t="str">
            <v/>
          </cell>
          <cell r="F792" t="str">
            <v/>
          </cell>
          <cell r="J792">
            <v>0</v>
          </cell>
          <cell r="L792">
            <v>0</v>
          </cell>
          <cell r="M792">
            <v>0</v>
          </cell>
          <cell r="N792">
            <v>0</v>
          </cell>
          <cell r="O792" t="str">
            <v/>
          </cell>
          <cell r="S792" t="str">
            <v/>
          </cell>
          <cell r="T792" t="str">
            <v/>
          </cell>
        </row>
        <row r="793">
          <cell r="A793" t="str">
            <v/>
          </cell>
          <cell r="B793">
            <v>1789</v>
          </cell>
          <cell r="D793" t="str">
            <v/>
          </cell>
          <cell r="F793" t="str">
            <v/>
          </cell>
          <cell r="J793">
            <v>0</v>
          </cell>
          <cell r="L793">
            <v>0</v>
          </cell>
          <cell r="M793">
            <v>0</v>
          </cell>
          <cell r="N793">
            <v>0</v>
          </cell>
          <cell r="O793" t="str">
            <v/>
          </cell>
          <cell r="S793" t="str">
            <v/>
          </cell>
          <cell r="T793" t="str">
            <v/>
          </cell>
        </row>
        <row r="794">
          <cell r="A794" t="str">
            <v/>
          </cell>
          <cell r="B794">
            <v>1790</v>
          </cell>
          <cell r="D794" t="str">
            <v/>
          </cell>
          <cell r="F794" t="str">
            <v/>
          </cell>
          <cell r="J794">
            <v>0</v>
          </cell>
          <cell r="L794">
            <v>0</v>
          </cell>
          <cell r="M794">
            <v>0</v>
          </cell>
          <cell r="N794">
            <v>0</v>
          </cell>
          <cell r="O794" t="str">
            <v/>
          </cell>
          <cell r="S794" t="str">
            <v/>
          </cell>
          <cell r="T794" t="str">
            <v/>
          </cell>
        </row>
        <row r="795">
          <cell r="A795" t="str">
            <v/>
          </cell>
          <cell r="B795">
            <v>1791</v>
          </cell>
          <cell r="D795" t="str">
            <v/>
          </cell>
          <cell r="F795" t="str">
            <v/>
          </cell>
          <cell r="J795">
            <v>0</v>
          </cell>
          <cell r="L795">
            <v>0</v>
          </cell>
          <cell r="M795">
            <v>0</v>
          </cell>
          <cell r="N795">
            <v>0</v>
          </cell>
          <cell r="O795" t="str">
            <v/>
          </cell>
          <cell r="S795" t="str">
            <v/>
          </cell>
          <cell r="T795" t="str">
            <v/>
          </cell>
        </row>
        <row r="796">
          <cell r="A796" t="str">
            <v/>
          </cell>
          <cell r="B796">
            <v>1792</v>
          </cell>
          <cell r="D796" t="str">
            <v/>
          </cell>
          <cell r="F796" t="str">
            <v/>
          </cell>
          <cell r="J796">
            <v>0</v>
          </cell>
          <cell r="L796">
            <v>0</v>
          </cell>
          <cell r="M796">
            <v>0</v>
          </cell>
          <cell r="N796">
            <v>0</v>
          </cell>
          <cell r="O796" t="str">
            <v/>
          </cell>
          <cell r="S796" t="str">
            <v/>
          </cell>
          <cell r="T796" t="str">
            <v/>
          </cell>
        </row>
        <row r="797">
          <cell r="A797" t="str">
            <v/>
          </cell>
          <cell r="B797">
            <v>1793</v>
          </cell>
          <cell r="D797" t="str">
            <v/>
          </cell>
          <cell r="F797" t="str">
            <v/>
          </cell>
          <cell r="J797">
            <v>0</v>
          </cell>
          <cell r="L797">
            <v>0</v>
          </cell>
          <cell r="M797">
            <v>0</v>
          </cell>
          <cell r="N797">
            <v>0</v>
          </cell>
          <cell r="O797" t="str">
            <v/>
          </cell>
          <cell r="S797" t="str">
            <v/>
          </cell>
          <cell r="T797" t="str">
            <v/>
          </cell>
        </row>
        <row r="798">
          <cell r="A798" t="str">
            <v/>
          </cell>
          <cell r="B798">
            <v>1794</v>
          </cell>
          <cell r="D798" t="str">
            <v/>
          </cell>
          <cell r="F798" t="str">
            <v/>
          </cell>
          <cell r="J798">
            <v>0</v>
          </cell>
          <cell r="L798">
            <v>0</v>
          </cell>
          <cell r="M798">
            <v>0</v>
          </cell>
          <cell r="N798">
            <v>0</v>
          </cell>
          <cell r="O798" t="str">
            <v/>
          </cell>
          <cell r="S798" t="str">
            <v/>
          </cell>
          <cell r="T798" t="str">
            <v/>
          </cell>
        </row>
        <row r="799">
          <cell r="A799" t="str">
            <v/>
          </cell>
          <cell r="B799">
            <v>1795</v>
          </cell>
          <cell r="D799" t="str">
            <v/>
          </cell>
          <cell r="F799" t="str">
            <v/>
          </cell>
          <cell r="J799">
            <v>0</v>
          </cell>
          <cell r="L799">
            <v>0</v>
          </cell>
          <cell r="M799">
            <v>0</v>
          </cell>
          <cell r="N799">
            <v>0</v>
          </cell>
          <cell r="O799" t="str">
            <v/>
          </cell>
          <cell r="S799" t="str">
            <v/>
          </cell>
          <cell r="T799" t="str">
            <v/>
          </cell>
        </row>
        <row r="800">
          <cell r="A800" t="str">
            <v/>
          </cell>
          <cell r="B800">
            <v>1796</v>
          </cell>
          <cell r="D800" t="str">
            <v/>
          </cell>
          <cell r="F800" t="str">
            <v/>
          </cell>
          <cell r="J800">
            <v>0</v>
          </cell>
          <cell r="L800">
            <v>0</v>
          </cell>
          <cell r="M800">
            <v>0</v>
          </cell>
          <cell r="N800">
            <v>0</v>
          </cell>
          <cell r="O800" t="str">
            <v/>
          </cell>
          <cell r="S800" t="str">
            <v/>
          </cell>
          <cell r="T800" t="str">
            <v/>
          </cell>
        </row>
        <row r="801">
          <cell r="A801" t="str">
            <v/>
          </cell>
          <cell r="B801">
            <v>1797</v>
          </cell>
          <cell r="D801" t="str">
            <v/>
          </cell>
          <cell r="F801" t="str">
            <v/>
          </cell>
          <cell r="J801">
            <v>0</v>
          </cell>
          <cell r="L801">
            <v>0</v>
          </cell>
          <cell r="M801">
            <v>0</v>
          </cell>
          <cell r="N801">
            <v>0</v>
          </cell>
          <cell r="O801" t="str">
            <v/>
          </cell>
          <cell r="S801" t="str">
            <v/>
          </cell>
          <cell r="T801" t="str">
            <v/>
          </cell>
        </row>
        <row r="802">
          <cell r="A802" t="str">
            <v/>
          </cell>
          <cell r="B802">
            <v>1798</v>
          </cell>
          <cell r="D802" t="str">
            <v/>
          </cell>
          <cell r="F802" t="str">
            <v/>
          </cell>
          <cell r="J802">
            <v>0</v>
          </cell>
          <cell r="L802">
            <v>0</v>
          </cell>
          <cell r="M802">
            <v>0</v>
          </cell>
          <cell r="N802">
            <v>0</v>
          </cell>
          <cell r="O802" t="str">
            <v/>
          </cell>
          <cell r="S802" t="str">
            <v/>
          </cell>
          <cell r="T802" t="str">
            <v/>
          </cell>
        </row>
        <row r="803">
          <cell r="A803" t="str">
            <v/>
          </cell>
          <cell r="B803">
            <v>1799</v>
          </cell>
          <cell r="D803" t="str">
            <v/>
          </cell>
          <cell r="F803" t="str">
            <v/>
          </cell>
          <cell r="J803">
            <v>0</v>
          </cell>
          <cell r="L803">
            <v>0</v>
          </cell>
          <cell r="M803">
            <v>0</v>
          </cell>
          <cell r="N803">
            <v>0</v>
          </cell>
          <cell r="O803" t="str">
            <v/>
          </cell>
          <cell r="S803" t="str">
            <v/>
          </cell>
          <cell r="T803" t="str">
            <v/>
          </cell>
        </row>
        <row r="804">
          <cell r="A804" t="str">
            <v/>
          </cell>
          <cell r="B804">
            <v>1800</v>
          </cell>
          <cell r="D804" t="str">
            <v/>
          </cell>
          <cell r="F804" t="str">
            <v/>
          </cell>
          <cell r="J804">
            <v>0</v>
          </cell>
          <cell r="L804">
            <v>0</v>
          </cell>
          <cell r="M804">
            <v>0</v>
          </cell>
          <cell r="N804">
            <v>0</v>
          </cell>
          <cell r="O804" t="str">
            <v/>
          </cell>
          <cell r="S804" t="str">
            <v/>
          </cell>
          <cell r="T804" t="str">
            <v/>
          </cell>
        </row>
        <row r="805">
          <cell r="A805" t="str">
            <v/>
          </cell>
          <cell r="B805">
            <v>1801</v>
          </cell>
          <cell r="D805" t="str">
            <v/>
          </cell>
          <cell r="F805" t="str">
            <v/>
          </cell>
          <cell r="J805">
            <v>0</v>
          </cell>
          <cell r="L805">
            <v>0</v>
          </cell>
          <cell r="M805">
            <v>0</v>
          </cell>
          <cell r="N805">
            <v>0</v>
          </cell>
          <cell r="O805" t="str">
            <v/>
          </cell>
          <cell r="S805" t="str">
            <v/>
          </cell>
          <cell r="T805" t="str">
            <v/>
          </cell>
        </row>
        <row r="806">
          <cell r="A806" t="str">
            <v/>
          </cell>
          <cell r="B806">
            <v>1802</v>
          </cell>
          <cell r="D806" t="str">
            <v/>
          </cell>
          <cell r="F806" t="str">
            <v/>
          </cell>
          <cell r="J806">
            <v>0</v>
          </cell>
          <cell r="L806">
            <v>0</v>
          </cell>
          <cell r="M806">
            <v>0</v>
          </cell>
          <cell r="N806">
            <v>0</v>
          </cell>
          <cell r="O806" t="str">
            <v/>
          </cell>
          <cell r="S806" t="str">
            <v/>
          </cell>
          <cell r="T806" t="str">
            <v/>
          </cell>
        </row>
        <row r="807">
          <cell r="A807" t="str">
            <v/>
          </cell>
          <cell r="B807">
            <v>1803</v>
          </cell>
          <cell r="D807" t="str">
            <v/>
          </cell>
          <cell r="F807" t="str">
            <v/>
          </cell>
          <cell r="J807">
            <v>0</v>
          </cell>
          <cell r="L807">
            <v>0</v>
          </cell>
          <cell r="M807">
            <v>0</v>
          </cell>
          <cell r="N807">
            <v>0</v>
          </cell>
          <cell r="O807" t="str">
            <v/>
          </cell>
          <cell r="S807" t="str">
            <v/>
          </cell>
          <cell r="T807" t="str">
            <v/>
          </cell>
        </row>
        <row r="808">
          <cell r="A808" t="str">
            <v/>
          </cell>
          <cell r="B808">
            <v>1804</v>
          </cell>
          <cell r="D808" t="str">
            <v/>
          </cell>
          <cell r="F808" t="str">
            <v/>
          </cell>
          <cell r="J808">
            <v>0</v>
          </cell>
          <cell r="L808">
            <v>0</v>
          </cell>
          <cell r="M808">
            <v>0</v>
          </cell>
          <cell r="N808">
            <v>0</v>
          </cell>
          <cell r="O808" t="str">
            <v/>
          </cell>
          <cell r="S808" t="str">
            <v/>
          </cell>
          <cell r="T808" t="str">
            <v/>
          </cell>
        </row>
        <row r="809">
          <cell r="A809" t="str">
            <v/>
          </cell>
          <cell r="B809">
            <v>1805</v>
          </cell>
          <cell r="D809" t="str">
            <v/>
          </cell>
          <cell r="F809" t="str">
            <v/>
          </cell>
          <cell r="J809">
            <v>0</v>
          </cell>
          <cell r="L809">
            <v>0</v>
          </cell>
          <cell r="M809">
            <v>0</v>
          </cell>
          <cell r="N809">
            <v>0</v>
          </cell>
          <cell r="O809" t="str">
            <v/>
          </cell>
          <cell r="S809" t="str">
            <v/>
          </cell>
          <cell r="T809" t="str">
            <v/>
          </cell>
        </row>
        <row r="810">
          <cell r="A810" t="str">
            <v/>
          </cell>
          <cell r="B810">
            <v>1806</v>
          </cell>
          <cell r="D810" t="str">
            <v/>
          </cell>
          <cell r="F810" t="str">
            <v/>
          </cell>
          <cell r="J810">
            <v>0</v>
          </cell>
          <cell r="L810">
            <v>0</v>
          </cell>
          <cell r="M810">
            <v>0</v>
          </cell>
          <cell r="N810">
            <v>0</v>
          </cell>
          <cell r="O810" t="str">
            <v/>
          </cell>
          <cell r="S810" t="str">
            <v/>
          </cell>
          <cell r="T810" t="str">
            <v/>
          </cell>
        </row>
        <row r="811">
          <cell r="A811" t="str">
            <v/>
          </cell>
          <cell r="B811">
            <v>1807</v>
          </cell>
          <cell r="D811" t="str">
            <v/>
          </cell>
          <cell r="F811" t="str">
            <v/>
          </cell>
          <cell r="J811">
            <v>0</v>
          </cell>
          <cell r="L811">
            <v>0</v>
          </cell>
          <cell r="M811">
            <v>0</v>
          </cell>
          <cell r="N811">
            <v>0</v>
          </cell>
          <cell r="O811" t="str">
            <v/>
          </cell>
          <cell r="S811" t="str">
            <v/>
          </cell>
          <cell r="T811" t="str">
            <v/>
          </cell>
        </row>
        <row r="812">
          <cell r="A812" t="str">
            <v/>
          </cell>
          <cell r="B812">
            <v>1808</v>
          </cell>
          <cell r="D812" t="str">
            <v/>
          </cell>
          <cell r="F812" t="str">
            <v/>
          </cell>
          <cell r="J812">
            <v>0</v>
          </cell>
          <cell r="L812">
            <v>0</v>
          </cell>
          <cell r="M812">
            <v>0</v>
          </cell>
          <cell r="N812">
            <v>0</v>
          </cell>
          <cell r="O812" t="str">
            <v/>
          </cell>
          <cell r="S812" t="str">
            <v/>
          </cell>
          <cell r="T812" t="str">
            <v/>
          </cell>
        </row>
        <row r="813">
          <cell r="A813" t="str">
            <v/>
          </cell>
          <cell r="B813">
            <v>1809</v>
          </cell>
          <cell r="D813" t="str">
            <v/>
          </cell>
          <cell r="F813" t="str">
            <v/>
          </cell>
          <cell r="J813">
            <v>0</v>
          </cell>
          <cell r="L813">
            <v>0</v>
          </cell>
          <cell r="M813">
            <v>0</v>
          </cell>
          <cell r="N813">
            <v>0</v>
          </cell>
          <cell r="O813" t="str">
            <v/>
          </cell>
          <cell r="S813" t="str">
            <v/>
          </cell>
          <cell r="T813" t="str">
            <v/>
          </cell>
        </row>
        <row r="814">
          <cell r="A814" t="str">
            <v/>
          </cell>
          <cell r="B814">
            <v>1810</v>
          </cell>
          <cell r="D814" t="str">
            <v/>
          </cell>
          <cell r="F814" t="str">
            <v/>
          </cell>
          <cell r="J814">
            <v>0</v>
          </cell>
          <cell r="L814">
            <v>0</v>
          </cell>
          <cell r="M814">
            <v>0</v>
          </cell>
          <cell r="N814">
            <v>0</v>
          </cell>
          <cell r="O814" t="str">
            <v/>
          </cell>
          <cell r="S814" t="str">
            <v/>
          </cell>
          <cell r="T814" t="str">
            <v/>
          </cell>
        </row>
        <row r="815">
          <cell r="A815" t="str">
            <v/>
          </cell>
          <cell r="B815">
            <v>1811</v>
          </cell>
          <cell r="D815" t="str">
            <v/>
          </cell>
          <cell r="F815" t="str">
            <v/>
          </cell>
          <cell r="J815">
            <v>0</v>
          </cell>
          <cell r="L815">
            <v>0</v>
          </cell>
          <cell r="M815">
            <v>0</v>
          </cell>
          <cell r="N815">
            <v>0</v>
          </cell>
          <cell r="O815" t="str">
            <v/>
          </cell>
          <cell r="S815" t="str">
            <v/>
          </cell>
          <cell r="T815" t="str">
            <v/>
          </cell>
        </row>
        <row r="816">
          <cell r="A816" t="str">
            <v/>
          </cell>
          <cell r="B816">
            <v>1812</v>
          </cell>
          <cell r="D816" t="str">
            <v/>
          </cell>
          <cell r="F816" t="str">
            <v/>
          </cell>
          <cell r="J816">
            <v>0</v>
          </cell>
          <cell r="L816">
            <v>0</v>
          </cell>
          <cell r="M816">
            <v>0</v>
          </cell>
          <cell r="N816">
            <v>0</v>
          </cell>
          <cell r="O816" t="str">
            <v/>
          </cell>
          <cell r="S816" t="str">
            <v/>
          </cell>
          <cell r="T816" t="str">
            <v/>
          </cell>
        </row>
        <row r="817">
          <cell r="A817" t="str">
            <v/>
          </cell>
          <cell r="B817">
            <v>1813</v>
          </cell>
          <cell r="D817" t="str">
            <v/>
          </cell>
          <cell r="F817" t="str">
            <v/>
          </cell>
          <cell r="J817">
            <v>0</v>
          </cell>
          <cell r="L817">
            <v>0</v>
          </cell>
          <cell r="M817">
            <v>0</v>
          </cell>
          <cell r="N817">
            <v>0</v>
          </cell>
          <cell r="O817" t="str">
            <v/>
          </cell>
          <cell r="S817" t="str">
            <v/>
          </cell>
          <cell r="T817" t="str">
            <v/>
          </cell>
        </row>
        <row r="818">
          <cell r="A818" t="str">
            <v/>
          </cell>
          <cell r="B818">
            <v>1814</v>
          </cell>
          <cell r="D818" t="str">
            <v/>
          </cell>
          <cell r="F818" t="str">
            <v/>
          </cell>
          <cell r="J818">
            <v>0</v>
          </cell>
          <cell r="L818">
            <v>0</v>
          </cell>
          <cell r="M818">
            <v>0</v>
          </cell>
          <cell r="N818">
            <v>0</v>
          </cell>
          <cell r="O818" t="str">
            <v/>
          </cell>
          <cell r="S818" t="str">
            <v/>
          </cell>
          <cell r="T818" t="str">
            <v/>
          </cell>
        </row>
        <row r="819">
          <cell r="A819" t="str">
            <v/>
          </cell>
          <cell r="B819">
            <v>1815</v>
          </cell>
          <cell r="D819" t="str">
            <v/>
          </cell>
          <cell r="F819" t="str">
            <v/>
          </cell>
          <cell r="J819">
            <v>0</v>
          </cell>
          <cell r="L819">
            <v>0</v>
          </cell>
          <cell r="M819">
            <v>0</v>
          </cell>
          <cell r="N819">
            <v>0</v>
          </cell>
          <cell r="O819" t="str">
            <v/>
          </cell>
          <cell r="S819" t="str">
            <v/>
          </cell>
          <cell r="T819" t="str">
            <v/>
          </cell>
        </row>
        <row r="820">
          <cell r="A820" t="str">
            <v/>
          </cell>
          <cell r="B820">
            <v>1816</v>
          </cell>
          <cell r="D820" t="str">
            <v/>
          </cell>
          <cell r="F820" t="str">
            <v/>
          </cell>
          <cell r="J820">
            <v>0</v>
          </cell>
          <cell r="L820">
            <v>0</v>
          </cell>
          <cell r="M820">
            <v>0</v>
          </cell>
          <cell r="N820">
            <v>0</v>
          </cell>
          <cell r="O820" t="str">
            <v/>
          </cell>
          <cell r="S820" t="str">
            <v/>
          </cell>
          <cell r="T820" t="str">
            <v/>
          </cell>
        </row>
        <row r="821">
          <cell r="A821" t="str">
            <v/>
          </cell>
          <cell r="B821">
            <v>1817</v>
          </cell>
          <cell r="D821" t="str">
            <v/>
          </cell>
          <cell r="F821" t="str">
            <v/>
          </cell>
          <cell r="J821">
            <v>0</v>
          </cell>
          <cell r="L821">
            <v>0</v>
          </cell>
          <cell r="M821">
            <v>0</v>
          </cell>
          <cell r="N821">
            <v>0</v>
          </cell>
          <cell r="O821" t="str">
            <v/>
          </cell>
          <cell r="S821" t="str">
            <v/>
          </cell>
          <cell r="T821" t="str">
            <v/>
          </cell>
        </row>
        <row r="822">
          <cell r="A822" t="str">
            <v/>
          </cell>
          <cell r="B822">
            <v>1818</v>
          </cell>
          <cell r="D822" t="str">
            <v/>
          </cell>
          <cell r="F822" t="str">
            <v/>
          </cell>
          <cell r="J822">
            <v>0</v>
          </cell>
          <cell r="L822">
            <v>0</v>
          </cell>
          <cell r="M822">
            <v>0</v>
          </cell>
          <cell r="N822">
            <v>0</v>
          </cell>
          <cell r="O822" t="str">
            <v/>
          </cell>
          <cell r="S822" t="str">
            <v/>
          </cell>
          <cell r="T822" t="str">
            <v/>
          </cell>
        </row>
        <row r="823">
          <cell r="A823" t="str">
            <v/>
          </cell>
          <cell r="B823">
            <v>1819</v>
          </cell>
          <cell r="D823" t="str">
            <v/>
          </cell>
          <cell r="F823" t="str">
            <v/>
          </cell>
          <cell r="J823">
            <v>0</v>
          </cell>
          <cell r="L823">
            <v>0</v>
          </cell>
          <cell r="M823">
            <v>0</v>
          </cell>
          <cell r="N823">
            <v>0</v>
          </cell>
          <cell r="O823" t="str">
            <v/>
          </cell>
          <cell r="S823" t="str">
            <v/>
          </cell>
          <cell r="T823" t="str">
            <v/>
          </cell>
        </row>
        <row r="824">
          <cell r="A824" t="str">
            <v/>
          </cell>
          <cell r="B824">
            <v>1820</v>
          </cell>
          <cell r="D824" t="str">
            <v/>
          </cell>
          <cell r="F824" t="str">
            <v/>
          </cell>
          <cell r="J824">
            <v>0</v>
          </cell>
          <cell r="L824">
            <v>0</v>
          </cell>
          <cell r="M824">
            <v>0</v>
          </cell>
          <cell r="N824">
            <v>0</v>
          </cell>
          <cell r="O824" t="str">
            <v/>
          </cell>
          <cell r="S824" t="str">
            <v/>
          </cell>
          <cell r="T824" t="str">
            <v/>
          </cell>
        </row>
        <row r="825">
          <cell r="A825" t="str">
            <v/>
          </cell>
          <cell r="B825">
            <v>1821</v>
          </cell>
          <cell r="D825" t="str">
            <v/>
          </cell>
          <cell r="F825" t="str">
            <v/>
          </cell>
          <cell r="J825">
            <v>0</v>
          </cell>
          <cell r="L825">
            <v>0</v>
          </cell>
          <cell r="M825">
            <v>0</v>
          </cell>
          <cell r="N825">
            <v>0</v>
          </cell>
          <cell r="O825" t="str">
            <v/>
          </cell>
          <cell r="S825" t="str">
            <v/>
          </cell>
          <cell r="T825" t="str">
            <v/>
          </cell>
        </row>
        <row r="826">
          <cell r="A826" t="str">
            <v/>
          </cell>
          <cell r="B826">
            <v>1822</v>
          </cell>
          <cell r="D826" t="str">
            <v/>
          </cell>
          <cell r="F826" t="str">
            <v/>
          </cell>
          <cell r="J826">
            <v>0</v>
          </cell>
          <cell r="L826">
            <v>0</v>
          </cell>
          <cell r="M826">
            <v>0</v>
          </cell>
          <cell r="N826">
            <v>0</v>
          </cell>
          <cell r="O826" t="str">
            <v/>
          </cell>
          <cell r="S826" t="str">
            <v/>
          </cell>
          <cell r="T826" t="str">
            <v/>
          </cell>
        </row>
        <row r="827">
          <cell r="A827" t="str">
            <v/>
          </cell>
          <cell r="B827">
            <v>1823</v>
          </cell>
          <cell r="D827" t="str">
            <v/>
          </cell>
          <cell r="F827" t="str">
            <v/>
          </cell>
          <cell r="J827">
            <v>0</v>
          </cell>
          <cell r="L827">
            <v>0</v>
          </cell>
          <cell r="M827">
            <v>0</v>
          </cell>
          <cell r="N827">
            <v>0</v>
          </cell>
          <cell r="O827" t="str">
            <v/>
          </cell>
          <cell r="S827" t="str">
            <v/>
          </cell>
          <cell r="T827" t="str">
            <v/>
          </cell>
        </row>
        <row r="828">
          <cell r="A828" t="str">
            <v/>
          </cell>
          <cell r="B828">
            <v>1824</v>
          </cell>
          <cell r="D828" t="str">
            <v/>
          </cell>
          <cell r="F828" t="str">
            <v/>
          </cell>
          <cell r="J828">
            <v>0</v>
          </cell>
          <cell r="L828">
            <v>0</v>
          </cell>
          <cell r="M828">
            <v>0</v>
          </cell>
          <cell r="N828">
            <v>0</v>
          </cell>
          <cell r="O828" t="str">
            <v/>
          </cell>
          <cell r="S828" t="str">
            <v/>
          </cell>
          <cell r="T828" t="str">
            <v/>
          </cell>
        </row>
        <row r="829">
          <cell r="A829" t="str">
            <v/>
          </cell>
          <cell r="B829">
            <v>1825</v>
          </cell>
          <cell r="D829" t="str">
            <v/>
          </cell>
          <cell r="F829" t="str">
            <v/>
          </cell>
          <cell r="J829">
            <v>0</v>
          </cell>
          <cell r="L829">
            <v>0</v>
          </cell>
          <cell r="M829">
            <v>0</v>
          </cell>
          <cell r="N829">
            <v>0</v>
          </cell>
          <cell r="O829" t="str">
            <v/>
          </cell>
          <cell r="S829" t="str">
            <v/>
          </cell>
          <cell r="T829" t="str">
            <v/>
          </cell>
        </row>
        <row r="830">
          <cell r="A830" t="str">
            <v/>
          </cell>
          <cell r="B830">
            <v>1826</v>
          </cell>
          <cell r="D830" t="str">
            <v/>
          </cell>
          <cell r="F830" t="str">
            <v/>
          </cell>
          <cell r="J830">
            <v>0</v>
          </cell>
          <cell r="L830">
            <v>0</v>
          </cell>
          <cell r="M830">
            <v>0</v>
          </cell>
          <cell r="N830">
            <v>0</v>
          </cell>
          <cell r="O830" t="str">
            <v/>
          </cell>
          <cell r="S830" t="str">
            <v/>
          </cell>
          <cell r="T830" t="str">
            <v/>
          </cell>
        </row>
        <row r="831">
          <cell r="A831" t="str">
            <v/>
          </cell>
          <cell r="B831">
            <v>1827</v>
          </cell>
          <cell r="D831" t="str">
            <v/>
          </cell>
          <cell r="F831" t="str">
            <v/>
          </cell>
          <cell r="J831">
            <v>0</v>
          </cell>
          <cell r="L831">
            <v>0</v>
          </cell>
          <cell r="M831">
            <v>0</v>
          </cell>
          <cell r="N831">
            <v>0</v>
          </cell>
          <cell r="O831" t="str">
            <v/>
          </cell>
          <cell r="S831" t="str">
            <v/>
          </cell>
          <cell r="T831" t="str">
            <v/>
          </cell>
        </row>
        <row r="832">
          <cell r="A832" t="str">
            <v/>
          </cell>
          <cell r="B832">
            <v>1828</v>
          </cell>
          <cell r="D832" t="str">
            <v/>
          </cell>
          <cell r="F832" t="str">
            <v/>
          </cell>
          <cell r="J832">
            <v>0</v>
          </cell>
          <cell r="L832">
            <v>0</v>
          </cell>
          <cell r="M832">
            <v>0</v>
          </cell>
          <cell r="N832">
            <v>0</v>
          </cell>
          <cell r="O832" t="str">
            <v/>
          </cell>
          <cell r="S832" t="str">
            <v/>
          </cell>
          <cell r="T832" t="str">
            <v/>
          </cell>
        </row>
        <row r="833">
          <cell r="A833" t="str">
            <v/>
          </cell>
          <cell r="B833">
            <v>1829</v>
          </cell>
          <cell r="D833" t="str">
            <v/>
          </cell>
          <cell r="F833" t="str">
            <v/>
          </cell>
          <cell r="J833">
            <v>0</v>
          </cell>
          <cell r="L833">
            <v>0</v>
          </cell>
          <cell r="M833">
            <v>0</v>
          </cell>
          <cell r="N833">
            <v>0</v>
          </cell>
          <cell r="O833" t="str">
            <v/>
          </cell>
          <cell r="S833" t="str">
            <v/>
          </cell>
          <cell r="T833" t="str">
            <v/>
          </cell>
        </row>
        <row r="834">
          <cell r="A834" t="str">
            <v/>
          </cell>
          <cell r="B834">
            <v>1830</v>
          </cell>
          <cell r="D834" t="str">
            <v/>
          </cell>
          <cell r="F834" t="str">
            <v/>
          </cell>
          <cell r="J834">
            <v>0</v>
          </cell>
          <cell r="L834">
            <v>0</v>
          </cell>
          <cell r="M834">
            <v>0</v>
          </cell>
          <cell r="N834">
            <v>0</v>
          </cell>
          <cell r="O834" t="str">
            <v/>
          </cell>
          <cell r="S834" t="str">
            <v/>
          </cell>
          <cell r="T834" t="str">
            <v/>
          </cell>
        </row>
        <row r="835">
          <cell r="A835" t="str">
            <v/>
          </cell>
          <cell r="B835">
            <v>1831</v>
          </cell>
          <cell r="D835" t="str">
            <v/>
          </cell>
          <cell r="F835" t="str">
            <v/>
          </cell>
          <cell r="J835">
            <v>0</v>
          </cell>
          <cell r="L835">
            <v>0</v>
          </cell>
          <cell r="M835">
            <v>0</v>
          </cell>
          <cell r="N835">
            <v>0</v>
          </cell>
          <cell r="O835" t="str">
            <v/>
          </cell>
          <cell r="S835" t="str">
            <v/>
          </cell>
          <cell r="T835" t="str">
            <v/>
          </cell>
        </row>
        <row r="836">
          <cell r="A836" t="str">
            <v/>
          </cell>
          <cell r="B836">
            <v>1832</v>
          </cell>
          <cell r="D836" t="str">
            <v/>
          </cell>
          <cell r="F836" t="str">
            <v/>
          </cell>
          <cell r="J836">
            <v>0</v>
          </cell>
          <cell r="L836">
            <v>0</v>
          </cell>
          <cell r="M836">
            <v>0</v>
          </cell>
          <cell r="N836">
            <v>0</v>
          </cell>
          <cell r="O836" t="str">
            <v/>
          </cell>
          <cell r="S836" t="str">
            <v/>
          </cell>
          <cell r="T836" t="str">
            <v/>
          </cell>
        </row>
        <row r="837">
          <cell r="A837" t="str">
            <v/>
          </cell>
          <cell r="B837">
            <v>1833</v>
          </cell>
          <cell r="D837" t="str">
            <v/>
          </cell>
          <cell r="F837" t="str">
            <v/>
          </cell>
          <cell r="J837">
            <v>0</v>
          </cell>
          <cell r="L837">
            <v>0</v>
          </cell>
          <cell r="M837">
            <v>0</v>
          </cell>
          <cell r="N837">
            <v>0</v>
          </cell>
          <cell r="O837" t="str">
            <v/>
          </cell>
          <cell r="S837" t="str">
            <v/>
          </cell>
          <cell r="T837" t="str">
            <v/>
          </cell>
        </row>
        <row r="838">
          <cell r="A838" t="str">
            <v/>
          </cell>
          <cell r="B838">
            <v>1834</v>
          </cell>
          <cell r="D838" t="str">
            <v/>
          </cell>
          <cell r="F838" t="str">
            <v/>
          </cell>
          <cell r="J838">
            <v>0</v>
          </cell>
          <cell r="L838">
            <v>0</v>
          </cell>
          <cell r="M838">
            <v>0</v>
          </cell>
          <cell r="N838">
            <v>0</v>
          </cell>
          <cell r="O838" t="str">
            <v/>
          </cell>
          <cell r="S838" t="str">
            <v/>
          </cell>
          <cell r="T838" t="str">
            <v/>
          </cell>
        </row>
        <row r="839">
          <cell r="A839" t="str">
            <v/>
          </cell>
          <cell r="B839">
            <v>1835</v>
          </cell>
          <cell r="D839" t="str">
            <v/>
          </cell>
          <cell r="F839" t="str">
            <v/>
          </cell>
          <cell r="J839">
            <v>0</v>
          </cell>
          <cell r="L839">
            <v>0</v>
          </cell>
          <cell r="M839">
            <v>0</v>
          </cell>
          <cell r="N839">
            <v>0</v>
          </cell>
          <cell r="O839" t="str">
            <v/>
          </cell>
          <cell r="S839" t="str">
            <v/>
          </cell>
          <cell r="T839" t="str">
            <v/>
          </cell>
        </row>
        <row r="840">
          <cell r="A840" t="str">
            <v/>
          </cell>
          <cell r="B840">
            <v>1836</v>
          </cell>
          <cell r="D840" t="str">
            <v/>
          </cell>
          <cell r="F840" t="str">
            <v/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  <cell r="O840" t="str">
            <v/>
          </cell>
          <cell r="S840" t="str">
            <v/>
          </cell>
          <cell r="T840" t="str">
            <v/>
          </cell>
        </row>
        <row r="841">
          <cell r="A841" t="str">
            <v/>
          </cell>
          <cell r="B841">
            <v>1837</v>
          </cell>
          <cell r="D841" t="str">
            <v/>
          </cell>
          <cell r="F841" t="str">
            <v/>
          </cell>
          <cell r="J841">
            <v>0</v>
          </cell>
          <cell r="L841">
            <v>0</v>
          </cell>
          <cell r="M841">
            <v>0</v>
          </cell>
          <cell r="N841">
            <v>0</v>
          </cell>
          <cell r="O841" t="str">
            <v/>
          </cell>
          <cell r="S841" t="str">
            <v/>
          </cell>
          <cell r="T841" t="str">
            <v/>
          </cell>
        </row>
        <row r="842">
          <cell r="A842" t="str">
            <v/>
          </cell>
          <cell r="B842">
            <v>1838</v>
          </cell>
          <cell r="D842" t="str">
            <v/>
          </cell>
          <cell r="F842" t="str">
            <v/>
          </cell>
          <cell r="J842">
            <v>0</v>
          </cell>
          <cell r="L842">
            <v>0</v>
          </cell>
          <cell r="M842">
            <v>0</v>
          </cell>
          <cell r="N842">
            <v>0</v>
          </cell>
          <cell r="O842" t="str">
            <v/>
          </cell>
          <cell r="S842" t="str">
            <v/>
          </cell>
          <cell r="T842" t="str">
            <v/>
          </cell>
        </row>
        <row r="843">
          <cell r="A843" t="str">
            <v/>
          </cell>
          <cell r="B843">
            <v>1839</v>
          </cell>
          <cell r="D843" t="str">
            <v/>
          </cell>
          <cell r="F843" t="str">
            <v/>
          </cell>
          <cell r="J843">
            <v>0</v>
          </cell>
          <cell r="L843">
            <v>0</v>
          </cell>
          <cell r="M843">
            <v>0</v>
          </cell>
          <cell r="N843">
            <v>0</v>
          </cell>
          <cell r="O843" t="str">
            <v/>
          </cell>
          <cell r="S843" t="str">
            <v/>
          </cell>
          <cell r="T843" t="str">
            <v/>
          </cell>
        </row>
        <row r="844">
          <cell r="A844" t="str">
            <v/>
          </cell>
          <cell r="B844">
            <v>1840</v>
          </cell>
          <cell r="D844" t="str">
            <v/>
          </cell>
          <cell r="F844" t="str">
            <v/>
          </cell>
          <cell r="J844">
            <v>0</v>
          </cell>
          <cell r="L844">
            <v>0</v>
          </cell>
          <cell r="M844">
            <v>0</v>
          </cell>
          <cell r="N844">
            <v>0</v>
          </cell>
          <cell r="O844" t="str">
            <v/>
          </cell>
          <cell r="S844" t="str">
            <v/>
          </cell>
          <cell r="T844" t="str">
            <v/>
          </cell>
        </row>
        <row r="845">
          <cell r="A845" t="str">
            <v/>
          </cell>
          <cell r="B845">
            <v>1841</v>
          </cell>
          <cell r="D845" t="str">
            <v/>
          </cell>
          <cell r="F845" t="str">
            <v/>
          </cell>
          <cell r="J845">
            <v>0</v>
          </cell>
          <cell r="L845">
            <v>0</v>
          </cell>
          <cell r="M845">
            <v>0</v>
          </cell>
          <cell r="N845">
            <v>0</v>
          </cell>
          <cell r="O845" t="str">
            <v/>
          </cell>
          <cell r="S845" t="str">
            <v/>
          </cell>
          <cell r="T845" t="str">
            <v/>
          </cell>
        </row>
        <row r="846">
          <cell r="A846" t="str">
            <v/>
          </cell>
          <cell r="B846">
            <v>1842</v>
          </cell>
          <cell r="D846" t="str">
            <v/>
          </cell>
          <cell r="F846" t="str">
            <v/>
          </cell>
          <cell r="J846">
            <v>0</v>
          </cell>
          <cell r="L846">
            <v>0</v>
          </cell>
          <cell r="M846">
            <v>0</v>
          </cell>
          <cell r="N846">
            <v>0</v>
          </cell>
          <cell r="O846" t="str">
            <v/>
          </cell>
          <cell r="S846" t="str">
            <v/>
          </cell>
          <cell r="T846" t="str">
            <v/>
          </cell>
        </row>
        <row r="847">
          <cell r="A847" t="str">
            <v/>
          </cell>
          <cell r="B847">
            <v>1843</v>
          </cell>
          <cell r="D847" t="str">
            <v/>
          </cell>
          <cell r="F847" t="str">
            <v/>
          </cell>
          <cell r="J847">
            <v>0</v>
          </cell>
          <cell r="L847">
            <v>0</v>
          </cell>
          <cell r="M847">
            <v>0</v>
          </cell>
          <cell r="N847">
            <v>0</v>
          </cell>
          <cell r="O847" t="str">
            <v/>
          </cell>
          <cell r="S847" t="str">
            <v/>
          </cell>
          <cell r="T847" t="str">
            <v/>
          </cell>
        </row>
        <row r="848">
          <cell r="A848" t="str">
            <v/>
          </cell>
          <cell r="B848">
            <v>1844</v>
          </cell>
          <cell r="D848" t="str">
            <v/>
          </cell>
          <cell r="F848" t="str">
            <v/>
          </cell>
          <cell r="J848">
            <v>0</v>
          </cell>
          <cell r="L848">
            <v>0</v>
          </cell>
          <cell r="M848">
            <v>0</v>
          </cell>
          <cell r="N848">
            <v>0</v>
          </cell>
          <cell r="O848" t="str">
            <v/>
          </cell>
          <cell r="S848" t="str">
            <v/>
          </cell>
          <cell r="T848" t="str">
            <v/>
          </cell>
        </row>
        <row r="849">
          <cell r="A849" t="str">
            <v/>
          </cell>
          <cell r="B849">
            <v>1845</v>
          </cell>
          <cell r="D849" t="str">
            <v/>
          </cell>
          <cell r="F849" t="str">
            <v/>
          </cell>
          <cell r="J849">
            <v>0</v>
          </cell>
          <cell r="L849">
            <v>0</v>
          </cell>
          <cell r="M849">
            <v>0</v>
          </cell>
          <cell r="N849">
            <v>0</v>
          </cell>
          <cell r="O849" t="str">
            <v/>
          </cell>
          <cell r="S849" t="str">
            <v/>
          </cell>
          <cell r="T849" t="str">
            <v/>
          </cell>
        </row>
        <row r="850">
          <cell r="A850" t="str">
            <v/>
          </cell>
          <cell r="B850">
            <v>1846</v>
          </cell>
          <cell r="D850" t="str">
            <v/>
          </cell>
          <cell r="F850" t="str">
            <v/>
          </cell>
          <cell r="J850">
            <v>0</v>
          </cell>
          <cell r="L850">
            <v>0</v>
          </cell>
          <cell r="M850">
            <v>0</v>
          </cell>
          <cell r="N850">
            <v>0</v>
          </cell>
          <cell r="O850" t="str">
            <v/>
          </cell>
          <cell r="S850" t="str">
            <v/>
          </cell>
          <cell r="T850" t="str">
            <v/>
          </cell>
        </row>
        <row r="851">
          <cell r="A851" t="str">
            <v/>
          </cell>
          <cell r="B851">
            <v>1847</v>
          </cell>
          <cell r="D851" t="str">
            <v/>
          </cell>
          <cell r="F851" t="str">
            <v/>
          </cell>
          <cell r="J851">
            <v>0</v>
          </cell>
          <cell r="L851">
            <v>0</v>
          </cell>
          <cell r="M851">
            <v>0</v>
          </cell>
          <cell r="N851">
            <v>0</v>
          </cell>
          <cell r="O851" t="str">
            <v/>
          </cell>
          <cell r="S851" t="str">
            <v/>
          </cell>
          <cell r="T851" t="str">
            <v/>
          </cell>
        </row>
        <row r="852">
          <cell r="A852" t="str">
            <v/>
          </cell>
          <cell r="B852">
            <v>1848</v>
          </cell>
          <cell r="D852" t="str">
            <v/>
          </cell>
          <cell r="F852" t="str">
            <v/>
          </cell>
          <cell r="J852">
            <v>0</v>
          </cell>
          <cell r="L852">
            <v>0</v>
          </cell>
          <cell r="M852">
            <v>0</v>
          </cell>
          <cell r="N852">
            <v>0</v>
          </cell>
          <cell r="O852" t="str">
            <v/>
          </cell>
          <cell r="S852" t="str">
            <v/>
          </cell>
          <cell r="T852" t="str">
            <v/>
          </cell>
        </row>
        <row r="853">
          <cell r="A853" t="str">
            <v/>
          </cell>
          <cell r="B853">
            <v>1849</v>
          </cell>
          <cell r="D853" t="str">
            <v/>
          </cell>
          <cell r="F853" t="str">
            <v/>
          </cell>
          <cell r="J853">
            <v>0</v>
          </cell>
          <cell r="L853">
            <v>0</v>
          </cell>
          <cell r="M853">
            <v>0</v>
          </cell>
          <cell r="N853">
            <v>0</v>
          </cell>
          <cell r="O853" t="str">
            <v/>
          </cell>
          <cell r="S853" t="str">
            <v/>
          </cell>
          <cell r="T853" t="str">
            <v/>
          </cell>
        </row>
        <row r="854">
          <cell r="A854" t="str">
            <v/>
          </cell>
          <cell r="B854">
            <v>1850</v>
          </cell>
          <cell r="D854" t="str">
            <v/>
          </cell>
          <cell r="F854" t="str">
            <v/>
          </cell>
          <cell r="J854">
            <v>0</v>
          </cell>
          <cell r="L854">
            <v>0</v>
          </cell>
          <cell r="M854">
            <v>0</v>
          </cell>
          <cell r="N854">
            <v>0</v>
          </cell>
          <cell r="O854" t="str">
            <v/>
          </cell>
          <cell r="S854" t="str">
            <v/>
          </cell>
          <cell r="T854" t="str">
            <v/>
          </cell>
        </row>
        <row r="855">
          <cell r="A855" t="str">
            <v/>
          </cell>
          <cell r="B855">
            <v>1851</v>
          </cell>
          <cell r="D855" t="str">
            <v/>
          </cell>
          <cell r="F855" t="str">
            <v/>
          </cell>
          <cell r="J855">
            <v>0</v>
          </cell>
          <cell r="L855">
            <v>0</v>
          </cell>
          <cell r="M855">
            <v>0</v>
          </cell>
          <cell r="N855">
            <v>0</v>
          </cell>
          <cell r="O855" t="str">
            <v/>
          </cell>
          <cell r="S855" t="str">
            <v/>
          </cell>
          <cell r="T855" t="str">
            <v/>
          </cell>
        </row>
        <row r="856">
          <cell r="A856" t="str">
            <v/>
          </cell>
          <cell r="B856">
            <v>1852</v>
          </cell>
          <cell r="D856" t="str">
            <v/>
          </cell>
          <cell r="F856" t="str">
            <v/>
          </cell>
          <cell r="J856">
            <v>0</v>
          </cell>
          <cell r="L856">
            <v>0</v>
          </cell>
          <cell r="M856">
            <v>0</v>
          </cell>
          <cell r="N856">
            <v>0</v>
          </cell>
          <cell r="O856" t="str">
            <v/>
          </cell>
          <cell r="S856" t="str">
            <v/>
          </cell>
          <cell r="T856" t="str">
            <v/>
          </cell>
        </row>
        <row r="857">
          <cell r="A857" t="str">
            <v/>
          </cell>
          <cell r="B857">
            <v>1853</v>
          </cell>
          <cell r="D857" t="str">
            <v/>
          </cell>
          <cell r="F857" t="str">
            <v/>
          </cell>
          <cell r="J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/>
          </cell>
          <cell r="S857" t="str">
            <v/>
          </cell>
          <cell r="T857" t="str">
            <v/>
          </cell>
        </row>
        <row r="858">
          <cell r="A858" t="str">
            <v/>
          </cell>
          <cell r="B858">
            <v>1854</v>
          </cell>
          <cell r="D858" t="str">
            <v/>
          </cell>
          <cell r="F858" t="str">
            <v/>
          </cell>
          <cell r="J858">
            <v>0</v>
          </cell>
          <cell r="L858">
            <v>0</v>
          </cell>
          <cell r="M858">
            <v>0</v>
          </cell>
          <cell r="N858">
            <v>0</v>
          </cell>
          <cell r="O858" t="str">
            <v/>
          </cell>
          <cell r="S858" t="str">
            <v/>
          </cell>
          <cell r="T858" t="str">
            <v/>
          </cell>
        </row>
        <row r="859">
          <cell r="A859" t="str">
            <v/>
          </cell>
          <cell r="B859">
            <v>1855</v>
          </cell>
          <cell r="D859" t="str">
            <v/>
          </cell>
          <cell r="F859" t="str">
            <v/>
          </cell>
          <cell r="J859">
            <v>0</v>
          </cell>
          <cell r="L859">
            <v>0</v>
          </cell>
          <cell r="M859">
            <v>0</v>
          </cell>
          <cell r="N859">
            <v>0</v>
          </cell>
          <cell r="O859" t="str">
            <v/>
          </cell>
          <cell r="S859" t="str">
            <v/>
          </cell>
          <cell r="T859" t="str">
            <v/>
          </cell>
        </row>
        <row r="860">
          <cell r="A860" t="str">
            <v/>
          </cell>
          <cell r="B860">
            <v>1856</v>
          </cell>
          <cell r="D860" t="str">
            <v/>
          </cell>
          <cell r="F860" t="str">
            <v/>
          </cell>
          <cell r="J860">
            <v>0</v>
          </cell>
          <cell r="L860">
            <v>0</v>
          </cell>
          <cell r="M860">
            <v>0</v>
          </cell>
          <cell r="N860">
            <v>0</v>
          </cell>
          <cell r="O860" t="str">
            <v/>
          </cell>
          <cell r="S860" t="str">
            <v/>
          </cell>
          <cell r="T860" t="str">
            <v/>
          </cell>
        </row>
        <row r="861">
          <cell r="A861" t="str">
            <v/>
          </cell>
          <cell r="B861">
            <v>1857</v>
          </cell>
          <cell r="D861" t="str">
            <v/>
          </cell>
          <cell r="F861" t="str">
            <v/>
          </cell>
          <cell r="J861">
            <v>0</v>
          </cell>
          <cell r="L861">
            <v>0</v>
          </cell>
          <cell r="M861">
            <v>0</v>
          </cell>
          <cell r="N861">
            <v>0</v>
          </cell>
          <cell r="O861" t="str">
            <v/>
          </cell>
          <cell r="S861" t="str">
            <v/>
          </cell>
          <cell r="T861" t="str">
            <v/>
          </cell>
        </row>
        <row r="862">
          <cell r="A862" t="str">
            <v/>
          </cell>
          <cell r="B862">
            <v>1858</v>
          </cell>
          <cell r="D862" t="str">
            <v/>
          </cell>
          <cell r="F862" t="str">
            <v/>
          </cell>
          <cell r="J862">
            <v>0</v>
          </cell>
          <cell r="L862">
            <v>0</v>
          </cell>
          <cell r="M862">
            <v>0</v>
          </cell>
          <cell r="N862">
            <v>0</v>
          </cell>
          <cell r="O862" t="str">
            <v/>
          </cell>
          <cell r="S862" t="str">
            <v/>
          </cell>
          <cell r="T862" t="str">
            <v/>
          </cell>
        </row>
        <row r="863">
          <cell r="A863" t="str">
            <v/>
          </cell>
          <cell r="B863">
            <v>1859</v>
          </cell>
          <cell r="D863" t="str">
            <v/>
          </cell>
          <cell r="F863" t="str">
            <v/>
          </cell>
          <cell r="J863">
            <v>0</v>
          </cell>
          <cell r="L863">
            <v>0</v>
          </cell>
          <cell r="M863">
            <v>0</v>
          </cell>
          <cell r="N863">
            <v>0</v>
          </cell>
          <cell r="O863" t="str">
            <v/>
          </cell>
          <cell r="S863" t="str">
            <v/>
          </cell>
          <cell r="T863" t="str">
            <v/>
          </cell>
        </row>
        <row r="864">
          <cell r="A864" t="str">
            <v/>
          </cell>
          <cell r="B864">
            <v>1860</v>
          </cell>
          <cell r="D864" t="str">
            <v/>
          </cell>
          <cell r="F864" t="str">
            <v/>
          </cell>
          <cell r="J864">
            <v>0</v>
          </cell>
          <cell r="L864">
            <v>0</v>
          </cell>
          <cell r="M864">
            <v>0</v>
          </cell>
          <cell r="N864">
            <v>0</v>
          </cell>
          <cell r="O864" t="str">
            <v/>
          </cell>
          <cell r="S864" t="str">
            <v/>
          </cell>
          <cell r="T864" t="str">
            <v/>
          </cell>
        </row>
        <row r="865">
          <cell r="A865" t="str">
            <v/>
          </cell>
          <cell r="B865">
            <v>1861</v>
          </cell>
          <cell r="D865" t="str">
            <v/>
          </cell>
          <cell r="F865" t="str">
            <v/>
          </cell>
          <cell r="J865">
            <v>0</v>
          </cell>
          <cell r="L865">
            <v>0</v>
          </cell>
          <cell r="M865">
            <v>0</v>
          </cell>
          <cell r="N865">
            <v>0</v>
          </cell>
          <cell r="O865" t="str">
            <v/>
          </cell>
          <cell r="S865" t="str">
            <v/>
          </cell>
          <cell r="T865" t="str">
            <v/>
          </cell>
        </row>
        <row r="866">
          <cell r="A866" t="str">
            <v/>
          </cell>
          <cell r="B866">
            <v>1862</v>
          </cell>
          <cell r="D866" t="str">
            <v/>
          </cell>
          <cell r="F866" t="str">
            <v/>
          </cell>
          <cell r="J866">
            <v>0</v>
          </cell>
          <cell r="L866">
            <v>0</v>
          </cell>
          <cell r="M866">
            <v>0</v>
          </cell>
          <cell r="N866">
            <v>0</v>
          </cell>
          <cell r="O866" t="str">
            <v/>
          </cell>
          <cell r="S866" t="str">
            <v/>
          </cell>
          <cell r="T866" t="str">
            <v/>
          </cell>
        </row>
        <row r="867">
          <cell r="A867" t="str">
            <v/>
          </cell>
          <cell r="B867">
            <v>1863</v>
          </cell>
          <cell r="D867" t="str">
            <v/>
          </cell>
          <cell r="F867" t="str">
            <v/>
          </cell>
          <cell r="J867">
            <v>0</v>
          </cell>
          <cell r="L867">
            <v>0</v>
          </cell>
          <cell r="M867">
            <v>0</v>
          </cell>
          <cell r="N867">
            <v>0</v>
          </cell>
          <cell r="O867" t="str">
            <v/>
          </cell>
          <cell r="S867" t="str">
            <v/>
          </cell>
          <cell r="T867" t="str">
            <v/>
          </cell>
        </row>
        <row r="868">
          <cell r="A868" t="str">
            <v/>
          </cell>
          <cell r="B868">
            <v>1864</v>
          </cell>
          <cell r="D868" t="str">
            <v/>
          </cell>
          <cell r="F868" t="str">
            <v/>
          </cell>
          <cell r="J868">
            <v>0</v>
          </cell>
          <cell r="L868">
            <v>0</v>
          </cell>
          <cell r="M868">
            <v>0</v>
          </cell>
          <cell r="N868">
            <v>0</v>
          </cell>
          <cell r="O868" t="str">
            <v/>
          </cell>
          <cell r="S868" t="str">
            <v/>
          </cell>
          <cell r="T868" t="str">
            <v/>
          </cell>
        </row>
        <row r="869">
          <cell r="A869" t="str">
            <v/>
          </cell>
          <cell r="B869">
            <v>1865</v>
          </cell>
          <cell r="D869" t="str">
            <v/>
          </cell>
          <cell r="F869" t="str">
            <v/>
          </cell>
          <cell r="J869">
            <v>0</v>
          </cell>
          <cell r="L869">
            <v>0</v>
          </cell>
          <cell r="M869">
            <v>0</v>
          </cell>
          <cell r="N869">
            <v>0</v>
          </cell>
          <cell r="O869" t="str">
            <v/>
          </cell>
          <cell r="S869" t="str">
            <v/>
          </cell>
          <cell r="T869" t="str">
            <v/>
          </cell>
        </row>
        <row r="870">
          <cell r="A870" t="str">
            <v/>
          </cell>
          <cell r="B870">
            <v>1866</v>
          </cell>
          <cell r="D870" t="str">
            <v/>
          </cell>
          <cell r="F870" t="str">
            <v/>
          </cell>
          <cell r="J870">
            <v>0</v>
          </cell>
          <cell r="L870">
            <v>0</v>
          </cell>
          <cell r="M870">
            <v>0</v>
          </cell>
          <cell r="N870">
            <v>0</v>
          </cell>
          <cell r="O870" t="str">
            <v/>
          </cell>
          <cell r="S870" t="str">
            <v/>
          </cell>
          <cell r="T870" t="str">
            <v/>
          </cell>
        </row>
        <row r="871">
          <cell r="A871" t="str">
            <v/>
          </cell>
          <cell r="B871">
            <v>1867</v>
          </cell>
          <cell r="D871" t="str">
            <v/>
          </cell>
          <cell r="F871" t="str">
            <v/>
          </cell>
          <cell r="J871">
            <v>0</v>
          </cell>
          <cell r="L871">
            <v>0</v>
          </cell>
          <cell r="M871">
            <v>0</v>
          </cell>
          <cell r="N871">
            <v>0</v>
          </cell>
          <cell r="O871" t="str">
            <v/>
          </cell>
          <cell r="S871" t="str">
            <v/>
          </cell>
          <cell r="T871" t="str">
            <v/>
          </cell>
        </row>
        <row r="872">
          <cell r="A872" t="str">
            <v/>
          </cell>
          <cell r="B872">
            <v>1868</v>
          </cell>
          <cell r="D872" t="str">
            <v/>
          </cell>
          <cell r="F872" t="str">
            <v/>
          </cell>
          <cell r="J872">
            <v>0</v>
          </cell>
          <cell r="L872">
            <v>0</v>
          </cell>
          <cell r="M872">
            <v>0</v>
          </cell>
          <cell r="N872">
            <v>0</v>
          </cell>
          <cell r="O872" t="str">
            <v/>
          </cell>
          <cell r="S872" t="str">
            <v/>
          </cell>
          <cell r="T872" t="str">
            <v/>
          </cell>
        </row>
        <row r="873">
          <cell r="A873" t="str">
            <v/>
          </cell>
          <cell r="B873">
            <v>1869</v>
          </cell>
          <cell r="D873" t="str">
            <v/>
          </cell>
          <cell r="F873" t="str">
            <v/>
          </cell>
          <cell r="J873">
            <v>0</v>
          </cell>
          <cell r="L873">
            <v>0</v>
          </cell>
          <cell r="M873">
            <v>0</v>
          </cell>
          <cell r="N873">
            <v>0</v>
          </cell>
          <cell r="O873" t="str">
            <v/>
          </cell>
          <cell r="S873" t="str">
            <v/>
          </cell>
          <cell r="T873" t="str">
            <v/>
          </cell>
        </row>
        <row r="874">
          <cell r="A874" t="str">
            <v/>
          </cell>
          <cell r="B874">
            <v>1870</v>
          </cell>
          <cell r="D874" t="str">
            <v/>
          </cell>
          <cell r="F874" t="str">
            <v/>
          </cell>
          <cell r="J874">
            <v>0</v>
          </cell>
          <cell r="L874">
            <v>0</v>
          </cell>
          <cell r="M874">
            <v>0</v>
          </cell>
          <cell r="N874">
            <v>0</v>
          </cell>
          <cell r="O874" t="str">
            <v/>
          </cell>
          <cell r="S874" t="str">
            <v/>
          </cell>
          <cell r="T874" t="str">
            <v/>
          </cell>
        </row>
        <row r="875">
          <cell r="A875" t="str">
            <v/>
          </cell>
          <cell r="B875">
            <v>1871</v>
          </cell>
          <cell r="D875" t="str">
            <v/>
          </cell>
          <cell r="F875" t="str">
            <v/>
          </cell>
          <cell r="J875">
            <v>0</v>
          </cell>
          <cell r="L875">
            <v>0</v>
          </cell>
          <cell r="M875">
            <v>0</v>
          </cell>
          <cell r="N875">
            <v>0</v>
          </cell>
          <cell r="O875" t="str">
            <v/>
          </cell>
          <cell r="S875" t="str">
            <v/>
          </cell>
          <cell r="T875" t="str">
            <v/>
          </cell>
        </row>
        <row r="876">
          <cell r="A876" t="str">
            <v/>
          </cell>
          <cell r="B876">
            <v>1872</v>
          </cell>
          <cell r="D876" t="str">
            <v/>
          </cell>
          <cell r="F876" t="str">
            <v/>
          </cell>
          <cell r="J876">
            <v>0</v>
          </cell>
          <cell r="L876">
            <v>0</v>
          </cell>
          <cell r="M876">
            <v>0</v>
          </cell>
          <cell r="N876">
            <v>0</v>
          </cell>
          <cell r="O876" t="str">
            <v/>
          </cell>
          <cell r="S876" t="str">
            <v/>
          </cell>
          <cell r="T876" t="str">
            <v/>
          </cell>
        </row>
        <row r="877">
          <cell r="A877" t="str">
            <v/>
          </cell>
          <cell r="B877">
            <v>1873</v>
          </cell>
          <cell r="D877" t="str">
            <v/>
          </cell>
          <cell r="F877" t="str">
            <v/>
          </cell>
          <cell r="J877">
            <v>0</v>
          </cell>
          <cell r="L877">
            <v>0</v>
          </cell>
          <cell r="M877">
            <v>0</v>
          </cell>
          <cell r="N877">
            <v>0</v>
          </cell>
          <cell r="O877" t="str">
            <v/>
          </cell>
          <cell r="S877" t="str">
            <v/>
          </cell>
          <cell r="T877" t="str">
            <v/>
          </cell>
        </row>
        <row r="878">
          <cell r="A878" t="str">
            <v/>
          </cell>
          <cell r="B878">
            <v>1874</v>
          </cell>
          <cell r="D878" t="str">
            <v/>
          </cell>
          <cell r="F878" t="str">
            <v/>
          </cell>
          <cell r="J878">
            <v>0</v>
          </cell>
          <cell r="L878">
            <v>0</v>
          </cell>
          <cell r="M878">
            <v>0</v>
          </cell>
          <cell r="N878">
            <v>0</v>
          </cell>
          <cell r="O878" t="str">
            <v/>
          </cell>
          <cell r="S878" t="str">
            <v/>
          </cell>
          <cell r="T878" t="str">
            <v/>
          </cell>
        </row>
        <row r="879">
          <cell r="A879" t="str">
            <v/>
          </cell>
          <cell r="B879">
            <v>1875</v>
          </cell>
          <cell r="D879" t="str">
            <v/>
          </cell>
          <cell r="F879" t="str">
            <v/>
          </cell>
          <cell r="J879">
            <v>0</v>
          </cell>
          <cell r="L879">
            <v>0</v>
          </cell>
          <cell r="M879">
            <v>0</v>
          </cell>
          <cell r="N879">
            <v>0</v>
          </cell>
          <cell r="O879" t="str">
            <v/>
          </cell>
          <cell r="S879" t="str">
            <v/>
          </cell>
          <cell r="T879" t="str">
            <v/>
          </cell>
        </row>
        <row r="880">
          <cell r="A880" t="str">
            <v/>
          </cell>
          <cell r="B880">
            <v>1876</v>
          </cell>
          <cell r="D880" t="str">
            <v/>
          </cell>
          <cell r="F880" t="str">
            <v/>
          </cell>
          <cell r="J880">
            <v>0</v>
          </cell>
          <cell r="L880">
            <v>0</v>
          </cell>
          <cell r="M880">
            <v>0</v>
          </cell>
          <cell r="N880">
            <v>0</v>
          </cell>
          <cell r="O880" t="str">
            <v/>
          </cell>
          <cell r="S880" t="str">
            <v/>
          </cell>
          <cell r="T880" t="str">
            <v/>
          </cell>
        </row>
        <row r="881">
          <cell r="A881" t="str">
            <v/>
          </cell>
          <cell r="B881">
            <v>1877</v>
          </cell>
          <cell r="D881" t="str">
            <v/>
          </cell>
          <cell r="F881" t="str">
            <v/>
          </cell>
          <cell r="J881">
            <v>0</v>
          </cell>
          <cell r="L881">
            <v>0</v>
          </cell>
          <cell r="M881">
            <v>0</v>
          </cell>
          <cell r="N881">
            <v>0</v>
          </cell>
          <cell r="O881" t="str">
            <v/>
          </cell>
          <cell r="S881" t="str">
            <v/>
          </cell>
          <cell r="T881" t="str">
            <v/>
          </cell>
        </row>
        <row r="882">
          <cell r="A882" t="str">
            <v/>
          </cell>
          <cell r="B882">
            <v>1878</v>
          </cell>
          <cell r="D882" t="str">
            <v/>
          </cell>
          <cell r="F882" t="str">
            <v/>
          </cell>
          <cell r="J882">
            <v>0</v>
          </cell>
          <cell r="L882">
            <v>0</v>
          </cell>
          <cell r="M882">
            <v>0</v>
          </cell>
          <cell r="N882">
            <v>0</v>
          </cell>
          <cell r="O882" t="str">
            <v/>
          </cell>
          <cell r="S882" t="str">
            <v/>
          </cell>
          <cell r="T882" t="str">
            <v/>
          </cell>
        </row>
        <row r="883">
          <cell r="A883" t="str">
            <v/>
          </cell>
          <cell r="B883">
            <v>1879</v>
          </cell>
          <cell r="D883" t="str">
            <v/>
          </cell>
          <cell r="F883" t="str">
            <v/>
          </cell>
          <cell r="J883">
            <v>0</v>
          </cell>
          <cell r="L883">
            <v>0</v>
          </cell>
          <cell r="M883">
            <v>0</v>
          </cell>
          <cell r="N883">
            <v>0</v>
          </cell>
          <cell r="O883" t="str">
            <v/>
          </cell>
          <cell r="S883" t="str">
            <v/>
          </cell>
          <cell r="T883" t="str">
            <v/>
          </cell>
        </row>
        <row r="884">
          <cell r="A884" t="str">
            <v/>
          </cell>
          <cell r="B884">
            <v>1880</v>
          </cell>
          <cell r="D884" t="str">
            <v/>
          </cell>
          <cell r="F884" t="str">
            <v/>
          </cell>
          <cell r="J884">
            <v>0</v>
          </cell>
          <cell r="L884">
            <v>0</v>
          </cell>
          <cell r="M884">
            <v>0</v>
          </cell>
          <cell r="N884">
            <v>0</v>
          </cell>
          <cell r="O884" t="str">
            <v/>
          </cell>
          <cell r="S884" t="str">
            <v/>
          </cell>
          <cell r="T884" t="str">
            <v/>
          </cell>
        </row>
        <row r="885">
          <cell r="A885" t="str">
            <v/>
          </cell>
          <cell r="B885">
            <v>1881</v>
          </cell>
          <cell r="D885" t="str">
            <v/>
          </cell>
          <cell r="F885" t="str">
            <v/>
          </cell>
          <cell r="J885">
            <v>0</v>
          </cell>
          <cell r="L885">
            <v>0</v>
          </cell>
          <cell r="M885">
            <v>0</v>
          </cell>
          <cell r="N885">
            <v>0</v>
          </cell>
          <cell r="O885" t="str">
            <v/>
          </cell>
          <cell r="S885" t="str">
            <v/>
          </cell>
          <cell r="T885" t="str">
            <v/>
          </cell>
        </row>
        <row r="886">
          <cell r="A886" t="str">
            <v/>
          </cell>
          <cell r="B886">
            <v>1882</v>
          </cell>
          <cell r="D886" t="str">
            <v/>
          </cell>
          <cell r="F886" t="str">
            <v/>
          </cell>
          <cell r="J886">
            <v>0</v>
          </cell>
          <cell r="L886">
            <v>0</v>
          </cell>
          <cell r="M886">
            <v>0</v>
          </cell>
          <cell r="N886">
            <v>0</v>
          </cell>
          <cell r="O886" t="str">
            <v/>
          </cell>
          <cell r="S886" t="str">
            <v/>
          </cell>
          <cell r="T886" t="str">
            <v/>
          </cell>
        </row>
        <row r="887">
          <cell r="A887" t="str">
            <v/>
          </cell>
          <cell r="B887">
            <v>1883</v>
          </cell>
          <cell r="D887" t="str">
            <v/>
          </cell>
          <cell r="F887" t="str">
            <v/>
          </cell>
          <cell r="J887">
            <v>0</v>
          </cell>
          <cell r="L887">
            <v>0</v>
          </cell>
          <cell r="M887">
            <v>0</v>
          </cell>
          <cell r="N887">
            <v>0</v>
          </cell>
          <cell r="O887" t="str">
            <v/>
          </cell>
          <cell r="S887" t="str">
            <v/>
          </cell>
          <cell r="T887" t="str">
            <v/>
          </cell>
        </row>
        <row r="888">
          <cell r="A888" t="str">
            <v/>
          </cell>
          <cell r="B888">
            <v>1884</v>
          </cell>
          <cell r="D888" t="str">
            <v/>
          </cell>
          <cell r="F888" t="str">
            <v/>
          </cell>
          <cell r="J888">
            <v>0</v>
          </cell>
          <cell r="L888">
            <v>0</v>
          </cell>
          <cell r="M888">
            <v>0</v>
          </cell>
          <cell r="N888">
            <v>0</v>
          </cell>
          <cell r="O888" t="str">
            <v/>
          </cell>
          <cell r="S888" t="str">
            <v/>
          </cell>
          <cell r="T888" t="str">
            <v/>
          </cell>
        </row>
        <row r="889">
          <cell r="A889" t="str">
            <v/>
          </cell>
          <cell r="B889">
            <v>1885</v>
          </cell>
          <cell r="D889" t="str">
            <v/>
          </cell>
          <cell r="F889" t="str">
            <v/>
          </cell>
          <cell r="J889">
            <v>0</v>
          </cell>
          <cell r="L889">
            <v>0</v>
          </cell>
          <cell r="M889">
            <v>0</v>
          </cell>
          <cell r="N889">
            <v>0</v>
          </cell>
          <cell r="O889" t="str">
            <v/>
          </cell>
          <cell r="S889" t="str">
            <v/>
          </cell>
          <cell r="T889" t="str">
            <v/>
          </cell>
        </row>
        <row r="890">
          <cell r="A890" t="str">
            <v/>
          </cell>
          <cell r="B890">
            <v>1886</v>
          </cell>
          <cell r="D890" t="str">
            <v/>
          </cell>
          <cell r="F890" t="str">
            <v/>
          </cell>
          <cell r="J890">
            <v>0</v>
          </cell>
          <cell r="L890">
            <v>0</v>
          </cell>
          <cell r="M890">
            <v>0</v>
          </cell>
          <cell r="N890">
            <v>0</v>
          </cell>
          <cell r="O890" t="str">
            <v/>
          </cell>
          <cell r="S890" t="str">
            <v/>
          </cell>
          <cell r="T890" t="str">
            <v/>
          </cell>
        </row>
        <row r="891">
          <cell r="A891" t="str">
            <v/>
          </cell>
          <cell r="B891">
            <v>1887</v>
          </cell>
          <cell r="D891" t="str">
            <v/>
          </cell>
          <cell r="F891" t="str">
            <v/>
          </cell>
          <cell r="J891">
            <v>0</v>
          </cell>
          <cell r="L891">
            <v>0</v>
          </cell>
          <cell r="M891">
            <v>0</v>
          </cell>
          <cell r="N891">
            <v>0</v>
          </cell>
          <cell r="O891" t="str">
            <v/>
          </cell>
          <cell r="S891" t="str">
            <v/>
          </cell>
          <cell r="T891" t="str">
            <v/>
          </cell>
        </row>
        <row r="892">
          <cell r="A892" t="str">
            <v/>
          </cell>
          <cell r="B892">
            <v>1888</v>
          </cell>
          <cell r="D892" t="str">
            <v/>
          </cell>
          <cell r="F892" t="str">
            <v/>
          </cell>
          <cell r="J892">
            <v>0</v>
          </cell>
          <cell r="L892">
            <v>0</v>
          </cell>
          <cell r="M892">
            <v>0</v>
          </cell>
          <cell r="N892">
            <v>0</v>
          </cell>
          <cell r="O892" t="str">
            <v/>
          </cell>
          <cell r="S892" t="str">
            <v/>
          </cell>
          <cell r="T892" t="str">
            <v/>
          </cell>
        </row>
        <row r="893">
          <cell r="A893" t="str">
            <v/>
          </cell>
          <cell r="B893">
            <v>1889</v>
          </cell>
          <cell r="D893" t="str">
            <v/>
          </cell>
          <cell r="F893" t="str">
            <v/>
          </cell>
          <cell r="J893">
            <v>0</v>
          </cell>
          <cell r="L893">
            <v>0</v>
          </cell>
          <cell r="M893">
            <v>0</v>
          </cell>
          <cell r="N893">
            <v>0</v>
          </cell>
          <cell r="O893" t="str">
            <v/>
          </cell>
          <cell r="S893" t="str">
            <v/>
          </cell>
          <cell r="T893" t="str">
            <v/>
          </cell>
        </row>
        <row r="894">
          <cell r="A894" t="str">
            <v/>
          </cell>
          <cell r="B894">
            <v>1890</v>
          </cell>
          <cell r="D894" t="str">
            <v/>
          </cell>
          <cell r="F894" t="str">
            <v/>
          </cell>
          <cell r="J894">
            <v>0</v>
          </cell>
          <cell r="L894">
            <v>0</v>
          </cell>
          <cell r="M894">
            <v>0</v>
          </cell>
          <cell r="N894">
            <v>0</v>
          </cell>
          <cell r="O894" t="str">
            <v/>
          </cell>
          <cell r="S894" t="str">
            <v/>
          </cell>
          <cell r="T894" t="str">
            <v/>
          </cell>
        </row>
        <row r="895">
          <cell r="A895" t="str">
            <v/>
          </cell>
          <cell r="B895">
            <v>1891</v>
          </cell>
          <cell r="D895" t="str">
            <v/>
          </cell>
          <cell r="F895" t="str">
            <v/>
          </cell>
          <cell r="J895">
            <v>0</v>
          </cell>
          <cell r="L895">
            <v>0</v>
          </cell>
          <cell r="M895">
            <v>0</v>
          </cell>
          <cell r="N895">
            <v>0</v>
          </cell>
          <cell r="O895" t="str">
            <v/>
          </cell>
          <cell r="S895" t="str">
            <v/>
          </cell>
          <cell r="T895" t="str">
            <v/>
          </cell>
        </row>
        <row r="896">
          <cell r="A896" t="str">
            <v/>
          </cell>
          <cell r="B896">
            <v>1892</v>
          </cell>
          <cell r="D896" t="str">
            <v/>
          </cell>
          <cell r="F896" t="str">
            <v/>
          </cell>
          <cell r="J896">
            <v>0</v>
          </cell>
          <cell r="L896">
            <v>0</v>
          </cell>
          <cell r="M896">
            <v>0</v>
          </cell>
          <cell r="N896">
            <v>0</v>
          </cell>
          <cell r="O896" t="str">
            <v/>
          </cell>
          <cell r="S896" t="str">
            <v/>
          </cell>
          <cell r="T896" t="str">
            <v/>
          </cell>
        </row>
        <row r="897">
          <cell r="A897" t="str">
            <v/>
          </cell>
          <cell r="B897">
            <v>1893</v>
          </cell>
          <cell r="D897" t="str">
            <v/>
          </cell>
          <cell r="F897" t="str">
            <v/>
          </cell>
          <cell r="J897">
            <v>0</v>
          </cell>
          <cell r="L897">
            <v>0</v>
          </cell>
          <cell r="M897">
            <v>0</v>
          </cell>
          <cell r="N897">
            <v>0</v>
          </cell>
          <cell r="O897" t="str">
            <v/>
          </cell>
          <cell r="S897" t="str">
            <v/>
          </cell>
          <cell r="T897" t="str">
            <v/>
          </cell>
        </row>
        <row r="898">
          <cell r="A898" t="str">
            <v/>
          </cell>
          <cell r="B898">
            <v>1894</v>
          </cell>
          <cell r="D898" t="str">
            <v/>
          </cell>
          <cell r="F898" t="str">
            <v/>
          </cell>
          <cell r="J898">
            <v>0</v>
          </cell>
          <cell r="L898">
            <v>0</v>
          </cell>
          <cell r="M898">
            <v>0</v>
          </cell>
          <cell r="N898">
            <v>0</v>
          </cell>
          <cell r="O898" t="str">
            <v/>
          </cell>
          <cell r="S898" t="str">
            <v/>
          </cell>
          <cell r="T898" t="str">
            <v/>
          </cell>
        </row>
        <row r="899">
          <cell r="A899" t="str">
            <v/>
          </cell>
          <cell r="B899">
            <v>1895</v>
          </cell>
          <cell r="D899" t="str">
            <v/>
          </cell>
          <cell r="F899" t="str">
            <v/>
          </cell>
          <cell r="J899">
            <v>0</v>
          </cell>
          <cell r="L899">
            <v>0</v>
          </cell>
          <cell r="M899">
            <v>0</v>
          </cell>
          <cell r="N899">
            <v>0</v>
          </cell>
          <cell r="O899" t="str">
            <v/>
          </cell>
          <cell r="S899" t="str">
            <v/>
          </cell>
          <cell r="T899" t="str">
            <v/>
          </cell>
        </row>
        <row r="900">
          <cell r="A900" t="str">
            <v/>
          </cell>
          <cell r="B900">
            <v>1896</v>
          </cell>
          <cell r="D900" t="str">
            <v/>
          </cell>
          <cell r="F900" t="str">
            <v/>
          </cell>
          <cell r="J900">
            <v>0</v>
          </cell>
          <cell r="L900">
            <v>0</v>
          </cell>
          <cell r="M900">
            <v>0</v>
          </cell>
          <cell r="N900">
            <v>0</v>
          </cell>
          <cell r="O900" t="str">
            <v/>
          </cell>
          <cell r="S900" t="str">
            <v/>
          </cell>
          <cell r="T900" t="str">
            <v/>
          </cell>
        </row>
        <row r="901">
          <cell r="A901" t="str">
            <v/>
          </cell>
          <cell r="B901">
            <v>1897</v>
          </cell>
          <cell r="D901" t="str">
            <v/>
          </cell>
          <cell r="F901" t="str">
            <v/>
          </cell>
          <cell r="J901">
            <v>0</v>
          </cell>
          <cell r="L901">
            <v>0</v>
          </cell>
          <cell r="M901">
            <v>0</v>
          </cell>
          <cell r="N901">
            <v>0</v>
          </cell>
          <cell r="O901" t="str">
            <v/>
          </cell>
          <cell r="S901" t="str">
            <v/>
          </cell>
          <cell r="T901" t="str">
            <v/>
          </cell>
        </row>
        <row r="902">
          <cell r="A902" t="str">
            <v/>
          </cell>
          <cell r="B902">
            <v>1898</v>
          </cell>
          <cell r="D902" t="str">
            <v/>
          </cell>
          <cell r="F902" t="str">
            <v/>
          </cell>
          <cell r="J902">
            <v>0</v>
          </cell>
          <cell r="L902">
            <v>0</v>
          </cell>
          <cell r="M902">
            <v>0</v>
          </cell>
          <cell r="N902">
            <v>0</v>
          </cell>
          <cell r="O902" t="str">
            <v/>
          </cell>
          <cell r="S902" t="str">
            <v/>
          </cell>
          <cell r="T902" t="str">
            <v/>
          </cell>
        </row>
        <row r="903">
          <cell r="A903" t="str">
            <v/>
          </cell>
          <cell r="B903">
            <v>1899</v>
          </cell>
          <cell r="D903" t="str">
            <v/>
          </cell>
          <cell r="F903" t="str">
            <v/>
          </cell>
          <cell r="J903">
            <v>0</v>
          </cell>
          <cell r="L903">
            <v>0</v>
          </cell>
          <cell r="M903">
            <v>0</v>
          </cell>
          <cell r="N903">
            <v>0</v>
          </cell>
          <cell r="O903" t="str">
            <v/>
          </cell>
          <cell r="S903" t="str">
            <v/>
          </cell>
          <cell r="T903" t="str">
            <v/>
          </cell>
        </row>
        <row r="904">
          <cell r="A904" t="str">
            <v/>
          </cell>
          <cell r="B904">
            <v>1900</v>
          </cell>
          <cell r="D904" t="str">
            <v/>
          </cell>
          <cell r="F904" t="str">
            <v/>
          </cell>
          <cell r="J904">
            <v>0</v>
          </cell>
          <cell r="L904">
            <v>0</v>
          </cell>
          <cell r="M904">
            <v>0</v>
          </cell>
          <cell r="N904">
            <v>0</v>
          </cell>
          <cell r="O904" t="str">
            <v/>
          </cell>
          <cell r="S904" t="str">
            <v/>
          </cell>
          <cell r="T904" t="str">
            <v/>
          </cell>
        </row>
        <row r="905">
          <cell r="A905" t="str">
            <v/>
          </cell>
          <cell r="B905">
            <v>1901</v>
          </cell>
          <cell r="D905" t="str">
            <v/>
          </cell>
          <cell r="F905" t="str">
            <v/>
          </cell>
          <cell r="J905">
            <v>0</v>
          </cell>
          <cell r="L905">
            <v>0</v>
          </cell>
          <cell r="M905">
            <v>0</v>
          </cell>
          <cell r="N905">
            <v>0</v>
          </cell>
          <cell r="O905" t="str">
            <v/>
          </cell>
          <cell r="S905" t="str">
            <v/>
          </cell>
          <cell r="T905" t="str">
            <v/>
          </cell>
        </row>
        <row r="906">
          <cell r="A906" t="str">
            <v/>
          </cell>
          <cell r="B906">
            <v>1902</v>
          </cell>
          <cell r="D906" t="str">
            <v/>
          </cell>
          <cell r="F906" t="str">
            <v/>
          </cell>
          <cell r="J906">
            <v>0</v>
          </cell>
          <cell r="L906">
            <v>0</v>
          </cell>
          <cell r="M906">
            <v>0</v>
          </cell>
          <cell r="N906">
            <v>0</v>
          </cell>
          <cell r="O906" t="str">
            <v/>
          </cell>
          <cell r="S906" t="str">
            <v/>
          </cell>
          <cell r="T906" t="str">
            <v/>
          </cell>
        </row>
        <row r="907">
          <cell r="A907" t="str">
            <v/>
          </cell>
          <cell r="B907">
            <v>1903</v>
          </cell>
          <cell r="D907" t="str">
            <v/>
          </cell>
          <cell r="F907" t="str">
            <v/>
          </cell>
          <cell r="J907">
            <v>0</v>
          </cell>
          <cell r="L907">
            <v>0</v>
          </cell>
          <cell r="M907">
            <v>0</v>
          </cell>
          <cell r="N907">
            <v>0</v>
          </cell>
          <cell r="O907" t="str">
            <v/>
          </cell>
          <cell r="S907" t="str">
            <v/>
          </cell>
          <cell r="T907" t="str">
            <v/>
          </cell>
        </row>
        <row r="908">
          <cell r="A908" t="str">
            <v/>
          </cell>
          <cell r="B908">
            <v>1904</v>
          </cell>
          <cell r="D908" t="str">
            <v/>
          </cell>
          <cell r="F908" t="str">
            <v/>
          </cell>
          <cell r="J908">
            <v>0</v>
          </cell>
          <cell r="L908">
            <v>0</v>
          </cell>
          <cell r="M908">
            <v>0</v>
          </cell>
          <cell r="N908">
            <v>0</v>
          </cell>
          <cell r="O908" t="str">
            <v/>
          </cell>
          <cell r="S908" t="str">
            <v/>
          </cell>
          <cell r="T908" t="str">
            <v/>
          </cell>
        </row>
        <row r="909">
          <cell r="A909" t="str">
            <v/>
          </cell>
          <cell r="B909">
            <v>1905</v>
          </cell>
          <cell r="D909" t="str">
            <v/>
          </cell>
          <cell r="F909" t="str">
            <v/>
          </cell>
          <cell r="J909">
            <v>0</v>
          </cell>
          <cell r="L909">
            <v>0</v>
          </cell>
          <cell r="M909">
            <v>0</v>
          </cell>
          <cell r="N909">
            <v>0</v>
          </cell>
          <cell r="O909" t="str">
            <v/>
          </cell>
          <cell r="S909" t="str">
            <v/>
          </cell>
          <cell r="T909" t="str">
            <v/>
          </cell>
        </row>
        <row r="910">
          <cell r="A910" t="str">
            <v/>
          </cell>
          <cell r="B910">
            <v>1906</v>
          </cell>
          <cell r="D910" t="str">
            <v/>
          </cell>
          <cell r="F910" t="str">
            <v/>
          </cell>
          <cell r="J910">
            <v>0</v>
          </cell>
          <cell r="L910">
            <v>0</v>
          </cell>
          <cell r="M910">
            <v>0</v>
          </cell>
          <cell r="N910">
            <v>0</v>
          </cell>
          <cell r="O910" t="str">
            <v/>
          </cell>
          <cell r="S910" t="str">
            <v/>
          </cell>
          <cell r="T910" t="str">
            <v/>
          </cell>
        </row>
        <row r="911">
          <cell r="A911" t="str">
            <v/>
          </cell>
          <cell r="B911">
            <v>1907</v>
          </cell>
          <cell r="D911" t="str">
            <v/>
          </cell>
          <cell r="F911" t="str">
            <v/>
          </cell>
          <cell r="J911">
            <v>0</v>
          </cell>
          <cell r="L911">
            <v>0</v>
          </cell>
          <cell r="M911">
            <v>0</v>
          </cell>
          <cell r="N911">
            <v>0</v>
          </cell>
          <cell r="O911" t="str">
            <v/>
          </cell>
          <cell r="S911" t="str">
            <v/>
          </cell>
          <cell r="T911" t="str">
            <v/>
          </cell>
        </row>
        <row r="912">
          <cell r="A912" t="str">
            <v/>
          </cell>
          <cell r="B912">
            <v>1908</v>
          </cell>
          <cell r="D912" t="str">
            <v/>
          </cell>
          <cell r="F912" t="str">
            <v/>
          </cell>
          <cell r="J912">
            <v>0</v>
          </cell>
          <cell r="L912">
            <v>0</v>
          </cell>
          <cell r="M912">
            <v>0</v>
          </cell>
          <cell r="N912">
            <v>0</v>
          </cell>
          <cell r="O912" t="str">
            <v/>
          </cell>
          <cell r="S912" t="str">
            <v/>
          </cell>
          <cell r="T912" t="str">
            <v/>
          </cell>
        </row>
        <row r="913">
          <cell r="A913" t="str">
            <v/>
          </cell>
          <cell r="B913">
            <v>1909</v>
          </cell>
          <cell r="D913" t="str">
            <v/>
          </cell>
          <cell r="F913" t="str">
            <v/>
          </cell>
          <cell r="J913">
            <v>0</v>
          </cell>
          <cell r="L913">
            <v>0</v>
          </cell>
          <cell r="M913">
            <v>0</v>
          </cell>
          <cell r="N913">
            <v>0</v>
          </cell>
          <cell r="O913" t="str">
            <v/>
          </cell>
          <cell r="S913" t="str">
            <v/>
          </cell>
          <cell r="T913" t="str">
            <v/>
          </cell>
        </row>
        <row r="914">
          <cell r="A914" t="str">
            <v/>
          </cell>
          <cell r="B914">
            <v>1910</v>
          </cell>
          <cell r="D914" t="str">
            <v/>
          </cell>
          <cell r="F914" t="str">
            <v/>
          </cell>
          <cell r="J914">
            <v>0</v>
          </cell>
          <cell r="L914">
            <v>0</v>
          </cell>
          <cell r="M914">
            <v>0</v>
          </cell>
          <cell r="N914">
            <v>0</v>
          </cell>
          <cell r="O914" t="str">
            <v/>
          </cell>
          <cell r="S914" t="str">
            <v/>
          </cell>
          <cell r="T914" t="str">
            <v/>
          </cell>
        </row>
        <row r="915">
          <cell r="A915" t="str">
            <v/>
          </cell>
          <cell r="B915">
            <v>1911</v>
          </cell>
          <cell r="D915" t="str">
            <v/>
          </cell>
          <cell r="F915" t="str">
            <v/>
          </cell>
          <cell r="J915">
            <v>0</v>
          </cell>
          <cell r="L915">
            <v>0</v>
          </cell>
          <cell r="M915">
            <v>0</v>
          </cell>
          <cell r="N915">
            <v>0</v>
          </cell>
          <cell r="O915" t="str">
            <v/>
          </cell>
          <cell r="S915" t="str">
            <v/>
          </cell>
          <cell r="T915" t="str">
            <v/>
          </cell>
        </row>
        <row r="916">
          <cell r="A916" t="str">
            <v/>
          </cell>
          <cell r="B916">
            <v>1912</v>
          </cell>
          <cell r="D916" t="str">
            <v/>
          </cell>
          <cell r="F916" t="str">
            <v/>
          </cell>
          <cell r="J916">
            <v>0</v>
          </cell>
          <cell r="L916">
            <v>0</v>
          </cell>
          <cell r="M916">
            <v>0</v>
          </cell>
          <cell r="N916">
            <v>0</v>
          </cell>
          <cell r="O916" t="str">
            <v/>
          </cell>
          <cell r="S916" t="str">
            <v/>
          </cell>
          <cell r="T916" t="str">
            <v/>
          </cell>
        </row>
        <row r="917">
          <cell r="A917" t="str">
            <v/>
          </cell>
          <cell r="B917">
            <v>1913</v>
          </cell>
          <cell r="D917" t="str">
            <v/>
          </cell>
          <cell r="F917" t="str">
            <v/>
          </cell>
          <cell r="J917">
            <v>0</v>
          </cell>
          <cell r="L917">
            <v>0</v>
          </cell>
          <cell r="M917">
            <v>0</v>
          </cell>
          <cell r="N917">
            <v>0</v>
          </cell>
          <cell r="O917" t="str">
            <v/>
          </cell>
          <cell r="S917" t="str">
            <v/>
          </cell>
          <cell r="T917" t="str">
            <v/>
          </cell>
        </row>
        <row r="918">
          <cell r="A918" t="str">
            <v/>
          </cell>
          <cell r="B918">
            <v>1914</v>
          </cell>
          <cell r="D918" t="str">
            <v/>
          </cell>
          <cell r="F918" t="str">
            <v/>
          </cell>
          <cell r="J918">
            <v>0</v>
          </cell>
          <cell r="L918">
            <v>0</v>
          </cell>
          <cell r="M918">
            <v>0</v>
          </cell>
          <cell r="N918">
            <v>0</v>
          </cell>
          <cell r="O918" t="str">
            <v/>
          </cell>
          <cell r="S918" t="str">
            <v/>
          </cell>
          <cell r="T918" t="str">
            <v/>
          </cell>
        </row>
        <row r="919">
          <cell r="A919" t="str">
            <v/>
          </cell>
          <cell r="B919">
            <v>1915</v>
          </cell>
          <cell r="D919" t="str">
            <v/>
          </cell>
          <cell r="F919" t="str">
            <v/>
          </cell>
          <cell r="J919">
            <v>0</v>
          </cell>
          <cell r="L919">
            <v>0</v>
          </cell>
          <cell r="M919">
            <v>0</v>
          </cell>
          <cell r="N919">
            <v>0</v>
          </cell>
          <cell r="O919" t="str">
            <v/>
          </cell>
          <cell r="S919" t="str">
            <v/>
          </cell>
          <cell r="T919" t="str">
            <v/>
          </cell>
        </row>
        <row r="920">
          <cell r="A920" t="str">
            <v/>
          </cell>
          <cell r="B920">
            <v>1916</v>
          </cell>
          <cell r="D920" t="str">
            <v/>
          </cell>
          <cell r="F920" t="str">
            <v/>
          </cell>
          <cell r="J920">
            <v>0</v>
          </cell>
          <cell r="L920">
            <v>0</v>
          </cell>
          <cell r="M920">
            <v>0</v>
          </cell>
          <cell r="N920">
            <v>0</v>
          </cell>
          <cell r="O920" t="str">
            <v/>
          </cell>
          <cell r="S920" t="str">
            <v/>
          </cell>
          <cell r="T920" t="str">
            <v/>
          </cell>
        </row>
        <row r="921">
          <cell r="A921" t="str">
            <v/>
          </cell>
          <cell r="B921">
            <v>1917</v>
          </cell>
          <cell r="D921" t="str">
            <v/>
          </cell>
          <cell r="F921" t="str">
            <v/>
          </cell>
          <cell r="J921">
            <v>0</v>
          </cell>
          <cell r="L921">
            <v>0</v>
          </cell>
          <cell r="M921">
            <v>0</v>
          </cell>
          <cell r="N921">
            <v>0</v>
          </cell>
          <cell r="O921" t="str">
            <v/>
          </cell>
          <cell r="S921" t="str">
            <v/>
          </cell>
          <cell r="T921" t="str">
            <v/>
          </cell>
        </row>
        <row r="922">
          <cell r="A922" t="str">
            <v/>
          </cell>
          <cell r="B922">
            <v>1918</v>
          </cell>
          <cell r="D922" t="str">
            <v/>
          </cell>
          <cell r="F922" t="str">
            <v/>
          </cell>
          <cell r="J922">
            <v>0</v>
          </cell>
          <cell r="L922">
            <v>0</v>
          </cell>
          <cell r="M922">
            <v>0</v>
          </cell>
          <cell r="N922">
            <v>0</v>
          </cell>
          <cell r="O922" t="str">
            <v/>
          </cell>
          <cell r="S922" t="str">
            <v/>
          </cell>
          <cell r="T922" t="str">
            <v/>
          </cell>
        </row>
        <row r="923">
          <cell r="A923" t="str">
            <v/>
          </cell>
          <cell r="B923">
            <v>1919</v>
          </cell>
          <cell r="D923" t="str">
            <v/>
          </cell>
          <cell r="F923" t="str">
            <v/>
          </cell>
          <cell r="J923">
            <v>0</v>
          </cell>
          <cell r="L923">
            <v>0</v>
          </cell>
          <cell r="M923">
            <v>0</v>
          </cell>
          <cell r="N923">
            <v>0</v>
          </cell>
          <cell r="O923" t="str">
            <v/>
          </cell>
          <cell r="S923" t="str">
            <v/>
          </cell>
          <cell r="T923" t="str">
            <v/>
          </cell>
        </row>
        <row r="924">
          <cell r="A924" t="str">
            <v/>
          </cell>
          <cell r="B924">
            <v>1920</v>
          </cell>
          <cell r="D924" t="str">
            <v/>
          </cell>
          <cell r="F924" t="str">
            <v/>
          </cell>
          <cell r="J924">
            <v>0</v>
          </cell>
          <cell r="L924">
            <v>0</v>
          </cell>
          <cell r="M924">
            <v>0</v>
          </cell>
          <cell r="N924">
            <v>0</v>
          </cell>
          <cell r="O924" t="str">
            <v/>
          </cell>
          <cell r="S924" t="str">
            <v/>
          </cell>
          <cell r="T924" t="str">
            <v/>
          </cell>
        </row>
        <row r="925">
          <cell r="A925" t="str">
            <v/>
          </cell>
          <cell r="B925">
            <v>1921</v>
          </cell>
          <cell r="D925" t="str">
            <v/>
          </cell>
          <cell r="F925" t="str">
            <v/>
          </cell>
          <cell r="J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/>
          </cell>
          <cell r="S925" t="str">
            <v/>
          </cell>
          <cell r="T925" t="str">
            <v/>
          </cell>
        </row>
        <row r="926">
          <cell r="A926" t="str">
            <v/>
          </cell>
          <cell r="B926">
            <v>1922</v>
          </cell>
          <cell r="D926" t="str">
            <v/>
          </cell>
          <cell r="F926" t="str">
            <v/>
          </cell>
          <cell r="J926">
            <v>0</v>
          </cell>
          <cell r="L926">
            <v>0</v>
          </cell>
          <cell r="M926">
            <v>0</v>
          </cell>
          <cell r="N926">
            <v>0</v>
          </cell>
          <cell r="O926" t="str">
            <v/>
          </cell>
          <cell r="S926" t="str">
            <v/>
          </cell>
          <cell r="T926" t="str">
            <v/>
          </cell>
        </row>
        <row r="927">
          <cell r="A927" t="str">
            <v/>
          </cell>
          <cell r="B927">
            <v>1923</v>
          </cell>
          <cell r="D927" t="str">
            <v/>
          </cell>
          <cell r="F927" t="str">
            <v/>
          </cell>
          <cell r="J927">
            <v>0</v>
          </cell>
          <cell r="L927">
            <v>0</v>
          </cell>
          <cell r="M927">
            <v>0</v>
          </cell>
          <cell r="N927">
            <v>0</v>
          </cell>
          <cell r="O927" t="str">
            <v/>
          </cell>
          <cell r="S927" t="str">
            <v/>
          </cell>
          <cell r="T927" t="str">
            <v/>
          </cell>
        </row>
        <row r="928">
          <cell r="A928" t="str">
            <v/>
          </cell>
          <cell r="B928">
            <v>1924</v>
          </cell>
          <cell r="D928" t="str">
            <v/>
          </cell>
          <cell r="F928" t="str">
            <v/>
          </cell>
          <cell r="J928">
            <v>0</v>
          </cell>
          <cell r="L928">
            <v>0</v>
          </cell>
          <cell r="M928">
            <v>0</v>
          </cell>
          <cell r="N928">
            <v>0</v>
          </cell>
          <cell r="O928" t="str">
            <v/>
          </cell>
          <cell r="S928" t="str">
            <v/>
          </cell>
          <cell r="T928" t="str">
            <v/>
          </cell>
        </row>
        <row r="929">
          <cell r="A929" t="str">
            <v/>
          </cell>
          <cell r="B929">
            <v>1925</v>
          </cell>
          <cell r="D929" t="str">
            <v/>
          </cell>
          <cell r="F929" t="str">
            <v/>
          </cell>
          <cell r="J929">
            <v>0</v>
          </cell>
          <cell r="L929">
            <v>0</v>
          </cell>
          <cell r="M929">
            <v>0</v>
          </cell>
          <cell r="N929">
            <v>0</v>
          </cell>
          <cell r="O929" t="str">
            <v/>
          </cell>
          <cell r="S929" t="str">
            <v/>
          </cell>
          <cell r="T929" t="str">
            <v/>
          </cell>
        </row>
        <row r="930">
          <cell r="A930" t="str">
            <v/>
          </cell>
          <cell r="B930">
            <v>1926</v>
          </cell>
          <cell r="D930" t="str">
            <v/>
          </cell>
          <cell r="F930" t="str">
            <v/>
          </cell>
          <cell r="J930">
            <v>0</v>
          </cell>
          <cell r="L930">
            <v>0</v>
          </cell>
          <cell r="M930">
            <v>0</v>
          </cell>
          <cell r="N930">
            <v>0</v>
          </cell>
          <cell r="O930" t="str">
            <v/>
          </cell>
          <cell r="S930" t="str">
            <v/>
          </cell>
          <cell r="T930" t="str">
            <v/>
          </cell>
        </row>
        <row r="931">
          <cell r="A931" t="str">
            <v/>
          </cell>
          <cell r="B931">
            <v>1927</v>
          </cell>
          <cell r="D931" t="str">
            <v/>
          </cell>
          <cell r="F931" t="str">
            <v/>
          </cell>
          <cell r="J931">
            <v>0</v>
          </cell>
          <cell r="L931">
            <v>0</v>
          </cell>
          <cell r="M931">
            <v>0</v>
          </cell>
          <cell r="N931">
            <v>0</v>
          </cell>
          <cell r="O931" t="str">
            <v/>
          </cell>
          <cell r="S931" t="str">
            <v/>
          </cell>
          <cell r="T931" t="str">
            <v/>
          </cell>
        </row>
        <row r="932">
          <cell r="A932" t="str">
            <v/>
          </cell>
          <cell r="B932">
            <v>1928</v>
          </cell>
          <cell r="D932" t="str">
            <v/>
          </cell>
          <cell r="F932" t="str">
            <v/>
          </cell>
          <cell r="J932">
            <v>0</v>
          </cell>
          <cell r="L932">
            <v>0</v>
          </cell>
          <cell r="M932">
            <v>0</v>
          </cell>
          <cell r="N932">
            <v>0</v>
          </cell>
          <cell r="O932" t="str">
            <v/>
          </cell>
          <cell r="S932" t="str">
            <v/>
          </cell>
          <cell r="T932" t="str">
            <v/>
          </cell>
        </row>
        <row r="933">
          <cell r="A933" t="str">
            <v/>
          </cell>
          <cell r="B933">
            <v>1929</v>
          </cell>
          <cell r="D933" t="str">
            <v/>
          </cell>
          <cell r="F933" t="str">
            <v/>
          </cell>
          <cell r="J933">
            <v>0</v>
          </cell>
          <cell r="L933">
            <v>0</v>
          </cell>
          <cell r="M933">
            <v>0</v>
          </cell>
          <cell r="N933">
            <v>0</v>
          </cell>
          <cell r="O933" t="str">
            <v/>
          </cell>
          <cell r="S933" t="str">
            <v/>
          </cell>
          <cell r="T933" t="str">
            <v/>
          </cell>
        </row>
        <row r="934">
          <cell r="A934" t="str">
            <v/>
          </cell>
          <cell r="B934">
            <v>1930</v>
          </cell>
          <cell r="D934" t="str">
            <v/>
          </cell>
          <cell r="F934" t="str">
            <v/>
          </cell>
          <cell r="J934">
            <v>0</v>
          </cell>
          <cell r="L934">
            <v>0</v>
          </cell>
          <cell r="M934">
            <v>0</v>
          </cell>
          <cell r="N934">
            <v>0</v>
          </cell>
          <cell r="O934" t="str">
            <v/>
          </cell>
          <cell r="S934" t="str">
            <v/>
          </cell>
          <cell r="T934" t="str">
            <v/>
          </cell>
        </row>
        <row r="935">
          <cell r="A935" t="str">
            <v/>
          </cell>
          <cell r="B935">
            <v>1931</v>
          </cell>
          <cell r="D935" t="str">
            <v/>
          </cell>
          <cell r="F935" t="str">
            <v/>
          </cell>
          <cell r="J935">
            <v>0</v>
          </cell>
          <cell r="L935">
            <v>0</v>
          </cell>
          <cell r="M935">
            <v>0</v>
          </cell>
          <cell r="N935">
            <v>0</v>
          </cell>
          <cell r="O935" t="str">
            <v/>
          </cell>
          <cell r="S935" t="str">
            <v/>
          </cell>
          <cell r="T935" t="str">
            <v/>
          </cell>
        </row>
        <row r="936">
          <cell r="A936" t="str">
            <v/>
          </cell>
          <cell r="B936">
            <v>1932</v>
          </cell>
          <cell r="D936" t="str">
            <v/>
          </cell>
          <cell r="F936" t="str">
            <v/>
          </cell>
          <cell r="J936">
            <v>0</v>
          </cell>
          <cell r="L936">
            <v>0</v>
          </cell>
          <cell r="M936">
            <v>0</v>
          </cell>
          <cell r="N936">
            <v>0</v>
          </cell>
          <cell r="O936" t="str">
            <v/>
          </cell>
          <cell r="S936" t="str">
            <v/>
          </cell>
          <cell r="T936" t="str">
            <v/>
          </cell>
        </row>
        <row r="937">
          <cell r="A937" t="str">
            <v/>
          </cell>
          <cell r="B937">
            <v>1933</v>
          </cell>
          <cell r="D937" t="str">
            <v/>
          </cell>
          <cell r="F937" t="str">
            <v/>
          </cell>
          <cell r="J937">
            <v>0</v>
          </cell>
          <cell r="L937">
            <v>0</v>
          </cell>
          <cell r="M937">
            <v>0</v>
          </cell>
          <cell r="N937">
            <v>0</v>
          </cell>
          <cell r="O937" t="str">
            <v/>
          </cell>
          <cell r="S937" t="str">
            <v/>
          </cell>
          <cell r="T937" t="str">
            <v/>
          </cell>
        </row>
        <row r="938">
          <cell r="A938" t="str">
            <v/>
          </cell>
          <cell r="B938">
            <v>1934</v>
          </cell>
          <cell r="D938" t="str">
            <v/>
          </cell>
          <cell r="F938" t="str">
            <v/>
          </cell>
          <cell r="J938">
            <v>0</v>
          </cell>
          <cell r="L938">
            <v>0</v>
          </cell>
          <cell r="M938">
            <v>0</v>
          </cell>
          <cell r="N938">
            <v>0</v>
          </cell>
          <cell r="O938" t="str">
            <v/>
          </cell>
          <cell r="S938" t="str">
            <v/>
          </cell>
          <cell r="T938" t="str">
            <v/>
          </cell>
        </row>
        <row r="939">
          <cell r="A939" t="str">
            <v/>
          </cell>
          <cell r="B939">
            <v>1935</v>
          </cell>
          <cell r="D939" t="str">
            <v/>
          </cell>
          <cell r="F939" t="str">
            <v/>
          </cell>
          <cell r="J939">
            <v>0</v>
          </cell>
          <cell r="L939">
            <v>0</v>
          </cell>
          <cell r="M939">
            <v>0</v>
          </cell>
          <cell r="N939">
            <v>0</v>
          </cell>
          <cell r="O939" t="str">
            <v/>
          </cell>
          <cell r="S939" t="str">
            <v/>
          </cell>
          <cell r="T939" t="str">
            <v/>
          </cell>
        </row>
        <row r="940">
          <cell r="A940" t="str">
            <v/>
          </cell>
          <cell r="B940">
            <v>1936</v>
          </cell>
          <cell r="D940" t="str">
            <v/>
          </cell>
          <cell r="F940" t="str">
            <v/>
          </cell>
          <cell r="J940">
            <v>0</v>
          </cell>
          <cell r="L940">
            <v>0</v>
          </cell>
          <cell r="M940">
            <v>0</v>
          </cell>
          <cell r="N940">
            <v>0</v>
          </cell>
          <cell r="O940" t="str">
            <v/>
          </cell>
          <cell r="S940" t="str">
            <v/>
          </cell>
          <cell r="T940" t="str">
            <v/>
          </cell>
        </row>
        <row r="941">
          <cell r="A941" t="str">
            <v/>
          </cell>
          <cell r="B941">
            <v>1937</v>
          </cell>
          <cell r="D941" t="str">
            <v/>
          </cell>
          <cell r="F941" t="str">
            <v/>
          </cell>
          <cell r="J941">
            <v>0</v>
          </cell>
          <cell r="L941">
            <v>0</v>
          </cell>
          <cell r="M941">
            <v>0</v>
          </cell>
          <cell r="N941">
            <v>0</v>
          </cell>
          <cell r="O941" t="str">
            <v/>
          </cell>
          <cell r="S941" t="str">
            <v/>
          </cell>
          <cell r="T941" t="str">
            <v/>
          </cell>
        </row>
        <row r="942">
          <cell r="A942" t="str">
            <v/>
          </cell>
          <cell r="B942">
            <v>1938</v>
          </cell>
          <cell r="D942" t="str">
            <v/>
          </cell>
          <cell r="F942" t="str">
            <v/>
          </cell>
          <cell r="J942">
            <v>0</v>
          </cell>
          <cell r="L942">
            <v>0</v>
          </cell>
          <cell r="M942">
            <v>0</v>
          </cell>
          <cell r="N942">
            <v>0</v>
          </cell>
          <cell r="O942" t="str">
            <v/>
          </cell>
          <cell r="S942" t="str">
            <v/>
          </cell>
          <cell r="T942" t="str">
            <v/>
          </cell>
        </row>
        <row r="943">
          <cell r="A943" t="str">
            <v/>
          </cell>
          <cell r="B943">
            <v>1939</v>
          </cell>
          <cell r="D943" t="str">
            <v/>
          </cell>
          <cell r="F943" t="str">
            <v/>
          </cell>
          <cell r="J943">
            <v>0</v>
          </cell>
          <cell r="L943">
            <v>0</v>
          </cell>
          <cell r="M943">
            <v>0</v>
          </cell>
          <cell r="N943">
            <v>0</v>
          </cell>
          <cell r="O943" t="str">
            <v/>
          </cell>
          <cell r="S943" t="str">
            <v/>
          </cell>
          <cell r="T943" t="str">
            <v/>
          </cell>
        </row>
        <row r="944">
          <cell r="A944" t="str">
            <v/>
          </cell>
          <cell r="B944">
            <v>1940</v>
          </cell>
          <cell r="D944" t="str">
            <v/>
          </cell>
          <cell r="F944" t="str">
            <v/>
          </cell>
          <cell r="J944">
            <v>0</v>
          </cell>
          <cell r="L944">
            <v>0</v>
          </cell>
          <cell r="M944">
            <v>0</v>
          </cell>
          <cell r="N944">
            <v>0</v>
          </cell>
          <cell r="O944" t="str">
            <v/>
          </cell>
          <cell r="S944" t="str">
            <v/>
          </cell>
          <cell r="T944" t="str">
            <v/>
          </cell>
        </row>
        <row r="945">
          <cell r="A945" t="str">
            <v/>
          </cell>
          <cell r="B945">
            <v>1941</v>
          </cell>
          <cell r="D945" t="str">
            <v/>
          </cell>
          <cell r="F945" t="str">
            <v/>
          </cell>
          <cell r="J945">
            <v>0</v>
          </cell>
          <cell r="L945">
            <v>0</v>
          </cell>
          <cell r="M945">
            <v>0</v>
          </cell>
          <cell r="N945">
            <v>0</v>
          </cell>
          <cell r="O945" t="str">
            <v/>
          </cell>
          <cell r="S945" t="str">
            <v/>
          </cell>
          <cell r="T945" t="str">
            <v/>
          </cell>
        </row>
        <row r="946">
          <cell r="A946" t="str">
            <v/>
          </cell>
          <cell r="B946">
            <v>1942</v>
          </cell>
          <cell r="D946" t="str">
            <v/>
          </cell>
          <cell r="F946" t="str">
            <v/>
          </cell>
          <cell r="J946">
            <v>0</v>
          </cell>
          <cell r="L946">
            <v>0</v>
          </cell>
          <cell r="M946">
            <v>0</v>
          </cell>
          <cell r="N946">
            <v>0</v>
          </cell>
          <cell r="O946" t="str">
            <v/>
          </cell>
          <cell r="S946" t="str">
            <v/>
          </cell>
          <cell r="T946" t="str">
            <v/>
          </cell>
        </row>
        <row r="947">
          <cell r="A947" t="str">
            <v/>
          </cell>
          <cell r="B947">
            <v>1943</v>
          </cell>
          <cell r="D947" t="str">
            <v/>
          </cell>
          <cell r="F947" t="str">
            <v/>
          </cell>
          <cell r="J947">
            <v>0</v>
          </cell>
          <cell r="L947">
            <v>0</v>
          </cell>
          <cell r="M947">
            <v>0</v>
          </cell>
          <cell r="N947">
            <v>0</v>
          </cell>
          <cell r="O947" t="str">
            <v/>
          </cell>
          <cell r="S947" t="str">
            <v/>
          </cell>
          <cell r="T947" t="str">
            <v/>
          </cell>
        </row>
        <row r="948">
          <cell r="A948" t="str">
            <v/>
          </cell>
          <cell r="B948">
            <v>1944</v>
          </cell>
          <cell r="D948" t="str">
            <v/>
          </cell>
          <cell r="F948" t="str">
            <v/>
          </cell>
          <cell r="J948">
            <v>0</v>
          </cell>
          <cell r="L948">
            <v>0</v>
          </cell>
          <cell r="M948">
            <v>0</v>
          </cell>
          <cell r="N948">
            <v>0</v>
          </cell>
          <cell r="O948" t="str">
            <v/>
          </cell>
          <cell r="S948" t="str">
            <v/>
          </cell>
          <cell r="T948" t="str">
            <v/>
          </cell>
        </row>
        <row r="949">
          <cell r="A949" t="str">
            <v/>
          </cell>
          <cell r="B949">
            <v>1945</v>
          </cell>
          <cell r="D949" t="str">
            <v/>
          </cell>
          <cell r="F949" t="str">
            <v/>
          </cell>
          <cell r="J949">
            <v>0</v>
          </cell>
          <cell r="L949">
            <v>0</v>
          </cell>
          <cell r="M949">
            <v>0</v>
          </cell>
          <cell r="N949">
            <v>0</v>
          </cell>
          <cell r="O949" t="str">
            <v/>
          </cell>
          <cell r="S949" t="str">
            <v/>
          </cell>
          <cell r="T949" t="str">
            <v/>
          </cell>
        </row>
        <row r="950">
          <cell r="A950" t="str">
            <v/>
          </cell>
          <cell r="B950">
            <v>1946</v>
          </cell>
          <cell r="D950" t="str">
            <v/>
          </cell>
          <cell r="F950" t="str">
            <v/>
          </cell>
          <cell r="J950">
            <v>0</v>
          </cell>
          <cell r="L950">
            <v>0</v>
          </cell>
          <cell r="M950">
            <v>0</v>
          </cell>
          <cell r="N950">
            <v>0</v>
          </cell>
          <cell r="O950" t="str">
            <v/>
          </cell>
          <cell r="S950" t="str">
            <v/>
          </cell>
          <cell r="T950" t="str">
            <v/>
          </cell>
        </row>
        <row r="951">
          <cell r="A951" t="str">
            <v/>
          </cell>
          <cell r="B951">
            <v>1947</v>
          </cell>
          <cell r="D951" t="str">
            <v/>
          </cell>
          <cell r="F951" t="str">
            <v/>
          </cell>
          <cell r="J951">
            <v>0</v>
          </cell>
          <cell r="L951">
            <v>0</v>
          </cell>
          <cell r="M951">
            <v>0</v>
          </cell>
          <cell r="N951">
            <v>0</v>
          </cell>
          <cell r="O951" t="str">
            <v/>
          </cell>
          <cell r="S951" t="str">
            <v/>
          </cell>
          <cell r="T951" t="str">
            <v/>
          </cell>
        </row>
        <row r="952">
          <cell r="A952" t="str">
            <v/>
          </cell>
          <cell r="B952">
            <v>1948</v>
          </cell>
          <cell r="D952" t="str">
            <v/>
          </cell>
          <cell r="F952" t="str">
            <v/>
          </cell>
          <cell r="J952">
            <v>0</v>
          </cell>
          <cell r="L952">
            <v>0</v>
          </cell>
          <cell r="M952">
            <v>0</v>
          </cell>
          <cell r="N952">
            <v>0</v>
          </cell>
          <cell r="O952" t="str">
            <v/>
          </cell>
          <cell r="S952" t="str">
            <v/>
          </cell>
          <cell r="T952" t="str">
            <v/>
          </cell>
        </row>
        <row r="953">
          <cell r="A953" t="str">
            <v/>
          </cell>
          <cell r="B953">
            <v>1949</v>
          </cell>
          <cell r="D953" t="str">
            <v/>
          </cell>
          <cell r="F953" t="str">
            <v/>
          </cell>
          <cell r="J953">
            <v>0</v>
          </cell>
          <cell r="L953">
            <v>0</v>
          </cell>
          <cell r="M953">
            <v>0</v>
          </cell>
          <cell r="N953">
            <v>0</v>
          </cell>
          <cell r="O953" t="str">
            <v/>
          </cell>
          <cell r="S953" t="str">
            <v/>
          </cell>
          <cell r="T953" t="str">
            <v/>
          </cell>
        </row>
        <row r="954">
          <cell r="A954" t="str">
            <v/>
          </cell>
          <cell r="B954">
            <v>1950</v>
          </cell>
          <cell r="D954" t="str">
            <v/>
          </cell>
          <cell r="F954" t="str">
            <v/>
          </cell>
          <cell r="J954">
            <v>0</v>
          </cell>
          <cell r="L954">
            <v>0</v>
          </cell>
          <cell r="M954">
            <v>0</v>
          </cell>
          <cell r="N954">
            <v>0</v>
          </cell>
          <cell r="O954" t="str">
            <v/>
          </cell>
          <cell r="S954" t="str">
            <v/>
          </cell>
          <cell r="T954" t="str">
            <v/>
          </cell>
        </row>
        <row r="955">
          <cell r="A955" t="str">
            <v/>
          </cell>
          <cell r="B955">
            <v>1951</v>
          </cell>
          <cell r="D955" t="str">
            <v/>
          </cell>
          <cell r="F955" t="str">
            <v/>
          </cell>
          <cell r="J955">
            <v>0</v>
          </cell>
          <cell r="L955">
            <v>0</v>
          </cell>
          <cell r="M955">
            <v>0</v>
          </cell>
          <cell r="N955">
            <v>0</v>
          </cell>
          <cell r="O955" t="str">
            <v/>
          </cell>
          <cell r="S955" t="str">
            <v/>
          </cell>
          <cell r="T955" t="str">
            <v/>
          </cell>
        </row>
        <row r="956">
          <cell r="A956" t="str">
            <v/>
          </cell>
          <cell r="B956">
            <v>1952</v>
          </cell>
          <cell r="D956" t="str">
            <v/>
          </cell>
          <cell r="F956" t="str">
            <v/>
          </cell>
          <cell r="J956">
            <v>0</v>
          </cell>
          <cell r="L956">
            <v>0</v>
          </cell>
          <cell r="M956">
            <v>0</v>
          </cell>
          <cell r="N956">
            <v>0</v>
          </cell>
          <cell r="O956" t="str">
            <v/>
          </cell>
          <cell r="S956" t="str">
            <v/>
          </cell>
          <cell r="T956" t="str">
            <v/>
          </cell>
        </row>
        <row r="957">
          <cell r="A957" t="str">
            <v/>
          </cell>
          <cell r="B957">
            <v>1953</v>
          </cell>
          <cell r="D957" t="str">
            <v/>
          </cell>
          <cell r="F957" t="str">
            <v/>
          </cell>
          <cell r="J957">
            <v>0</v>
          </cell>
          <cell r="L957">
            <v>0</v>
          </cell>
          <cell r="M957">
            <v>0</v>
          </cell>
          <cell r="N957">
            <v>0</v>
          </cell>
          <cell r="O957" t="str">
            <v/>
          </cell>
          <cell r="S957" t="str">
            <v/>
          </cell>
          <cell r="T957" t="str">
            <v/>
          </cell>
        </row>
        <row r="958">
          <cell r="A958" t="str">
            <v/>
          </cell>
          <cell r="B958">
            <v>1954</v>
          </cell>
          <cell r="D958" t="str">
            <v/>
          </cell>
          <cell r="F958" t="str">
            <v/>
          </cell>
          <cell r="J958">
            <v>0</v>
          </cell>
          <cell r="L958">
            <v>0</v>
          </cell>
          <cell r="M958">
            <v>0</v>
          </cell>
          <cell r="N958">
            <v>0</v>
          </cell>
          <cell r="O958" t="str">
            <v/>
          </cell>
          <cell r="S958" t="str">
            <v/>
          </cell>
          <cell r="T958" t="str">
            <v/>
          </cell>
        </row>
        <row r="959">
          <cell r="A959" t="str">
            <v/>
          </cell>
          <cell r="B959">
            <v>1955</v>
          </cell>
          <cell r="D959" t="str">
            <v/>
          </cell>
          <cell r="F959" t="str">
            <v/>
          </cell>
          <cell r="J959">
            <v>0</v>
          </cell>
          <cell r="L959">
            <v>0</v>
          </cell>
          <cell r="M959">
            <v>0</v>
          </cell>
          <cell r="N959">
            <v>0</v>
          </cell>
          <cell r="O959" t="str">
            <v/>
          </cell>
          <cell r="S959" t="str">
            <v/>
          </cell>
          <cell r="T959" t="str">
            <v/>
          </cell>
        </row>
        <row r="960">
          <cell r="A960" t="str">
            <v/>
          </cell>
          <cell r="B960">
            <v>1956</v>
          </cell>
          <cell r="D960" t="str">
            <v/>
          </cell>
          <cell r="F960" t="str">
            <v/>
          </cell>
          <cell r="J960">
            <v>0</v>
          </cell>
          <cell r="L960">
            <v>0</v>
          </cell>
          <cell r="M960">
            <v>0</v>
          </cell>
          <cell r="N960">
            <v>0</v>
          </cell>
          <cell r="O960" t="str">
            <v/>
          </cell>
          <cell r="S960" t="str">
            <v/>
          </cell>
          <cell r="T960" t="str">
            <v/>
          </cell>
        </row>
        <row r="961">
          <cell r="A961" t="str">
            <v/>
          </cell>
          <cell r="B961">
            <v>1957</v>
          </cell>
          <cell r="D961" t="str">
            <v/>
          </cell>
          <cell r="F961" t="str">
            <v/>
          </cell>
          <cell r="J961">
            <v>0</v>
          </cell>
          <cell r="L961">
            <v>0</v>
          </cell>
          <cell r="M961">
            <v>0</v>
          </cell>
          <cell r="N961">
            <v>0</v>
          </cell>
          <cell r="O961" t="str">
            <v/>
          </cell>
          <cell r="S961" t="str">
            <v/>
          </cell>
          <cell r="T961" t="str">
            <v/>
          </cell>
        </row>
        <row r="962">
          <cell r="A962" t="str">
            <v/>
          </cell>
          <cell r="B962">
            <v>1958</v>
          </cell>
          <cell r="D962" t="str">
            <v/>
          </cell>
          <cell r="F962" t="str">
            <v/>
          </cell>
          <cell r="J962">
            <v>0</v>
          </cell>
          <cell r="L962">
            <v>0</v>
          </cell>
          <cell r="M962">
            <v>0</v>
          </cell>
          <cell r="N962">
            <v>0</v>
          </cell>
          <cell r="O962" t="str">
            <v/>
          </cell>
          <cell r="S962" t="str">
            <v/>
          </cell>
          <cell r="T962" t="str">
            <v/>
          </cell>
        </row>
        <row r="963">
          <cell r="A963" t="str">
            <v/>
          </cell>
          <cell r="B963">
            <v>1959</v>
          </cell>
          <cell r="D963" t="str">
            <v/>
          </cell>
          <cell r="F963" t="str">
            <v/>
          </cell>
          <cell r="J963">
            <v>0</v>
          </cell>
          <cell r="L963">
            <v>0</v>
          </cell>
          <cell r="M963">
            <v>0</v>
          </cell>
          <cell r="N963">
            <v>0</v>
          </cell>
          <cell r="O963" t="str">
            <v/>
          </cell>
          <cell r="S963" t="str">
            <v/>
          </cell>
          <cell r="T963" t="str">
            <v/>
          </cell>
        </row>
        <row r="964">
          <cell r="A964" t="str">
            <v/>
          </cell>
          <cell r="B964">
            <v>1960</v>
          </cell>
          <cell r="D964" t="str">
            <v/>
          </cell>
          <cell r="F964" t="str">
            <v/>
          </cell>
          <cell r="J964">
            <v>0</v>
          </cell>
          <cell r="L964">
            <v>0</v>
          </cell>
          <cell r="M964">
            <v>0</v>
          </cell>
          <cell r="N964">
            <v>0</v>
          </cell>
          <cell r="O964" t="str">
            <v/>
          </cell>
          <cell r="S964" t="str">
            <v/>
          </cell>
          <cell r="T964" t="str">
            <v/>
          </cell>
        </row>
        <row r="965">
          <cell r="A965" t="str">
            <v/>
          </cell>
          <cell r="B965">
            <v>1961</v>
          </cell>
          <cell r="D965" t="str">
            <v/>
          </cell>
          <cell r="F965" t="str">
            <v/>
          </cell>
          <cell r="J965">
            <v>0</v>
          </cell>
          <cell r="L965">
            <v>0</v>
          </cell>
          <cell r="M965">
            <v>0</v>
          </cell>
          <cell r="N965">
            <v>0</v>
          </cell>
          <cell r="O965" t="str">
            <v/>
          </cell>
          <cell r="S965" t="str">
            <v/>
          </cell>
          <cell r="T965" t="str">
            <v/>
          </cell>
        </row>
        <row r="966">
          <cell r="A966" t="str">
            <v/>
          </cell>
          <cell r="B966">
            <v>1962</v>
          </cell>
          <cell r="D966" t="str">
            <v/>
          </cell>
          <cell r="F966" t="str">
            <v/>
          </cell>
          <cell r="J966">
            <v>0</v>
          </cell>
          <cell r="L966">
            <v>0</v>
          </cell>
          <cell r="M966">
            <v>0</v>
          </cell>
          <cell r="N966">
            <v>0</v>
          </cell>
          <cell r="O966" t="str">
            <v/>
          </cell>
          <cell r="S966" t="str">
            <v/>
          </cell>
          <cell r="T966" t="str">
            <v/>
          </cell>
        </row>
        <row r="967">
          <cell r="A967" t="str">
            <v/>
          </cell>
          <cell r="B967">
            <v>1963</v>
          </cell>
          <cell r="D967" t="str">
            <v/>
          </cell>
          <cell r="F967" t="str">
            <v/>
          </cell>
          <cell r="J967">
            <v>0</v>
          </cell>
          <cell r="L967">
            <v>0</v>
          </cell>
          <cell r="M967">
            <v>0</v>
          </cell>
          <cell r="N967">
            <v>0</v>
          </cell>
          <cell r="O967" t="str">
            <v/>
          </cell>
          <cell r="S967" t="str">
            <v/>
          </cell>
          <cell r="T967" t="str">
            <v/>
          </cell>
        </row>
        <row r="968">
          <cell r="A968" t="str">
            <v/>
          </cell>
          <cell r="B968">
            <v>1964</v>
          </cell>
          <cell r="D968" t="str">
            <v/>
          </cell>
          <cell r="F968" t="str">
            <v/>
          </cell>
          <cell r="J968">
            <v>0</v>
          </cell>
          <cell r="L968">
            <v>0</v>
          </cell>
          <cell r="M968">
            <v>0</v>
          </cell>
          <cell r="N968">
            <v>0</v>
          </cell>
          <cell r="O968" t="str">
            <v/>
          </cell>
          <cell r="S968" t="str">
            <v/>
          </cell>
          <cell r="T968" t="str">
            <v/>
          </cell>
        </row>
        <row r="969">
          <cell r="A969" t="str">
            <v/>
          </cell>
          <cell r="B969">
            <v>1965</v>
          </cell>
          <cell r="D969" t="str">
            <v/>
          </cell>
          <cell r="F969" t="str">
            <v/>
          </cell>
          <cell r="J969">
            <v>0</v>
          </cell>
          <cell r="L969">
            <v>0</v>
          </cell>
          <cell r="M969">
            <v>0</v>
          </cell>
          <cell r="N969">
            <v>0</v>
          </cell>
          <cell r="O969" t="str">
            <v/>
          </cell>
          <cell r="S969" t="str">
            <v/>
          </cell>
          <cell r="T969" t="str">
            <v/>
          </cell>
        </row>
        <row r="970">
          <cell r="A970" t="str">
            <v/>
          </cell>
          <cell r="B970">
            <v>1966</v>
          </cell>
          <cell r="D970" t="str">
            <v/>
          </cell>
          <cell r="F970" t="str">
            <v/>
          </cell>
          <cell r="J970">
            <v>0</v>
          </cell>
          <cell r="L970">
            <v>0</v>
          </cell>
          <cell r="M970">
            <v>0</v>
          </cell>
          <cell r="N970">
            <v>0</v>
          </cell>
          <cell r="O970" t="str">
            <v/>
          </cell>
          <cell r="S970" t="str">
            <v/>
          </cell>
          <cell r="T970" t="str">
            <v/>
          </cell>
        </row>
        <row r="971">
          <cell r="A971" t="str">
            <v/>
          </cell>
          <cell r="B971">
            <v>1967</v>
          </cell>
          <cell r="D971" t="str">
            <v/>
          </cell>
          <cell r="F971" t="str">
            <v/>
          </cell>
          <cell r="J971">
            <v>0</v>
          </cell>
          <cell r="L971">
            <v>0</v>
          </cell>
          <cell r="M971">
            <v>0</v>
          </cell>
          <cell r="N971">
            <v>0</v>
          </cell>
          <cell r="O971" t="str">
            <v/>
          </cell>
          <cell r="S971" t="str">
            <v/>
          </cell>
          <cell r="T971" t="str">
            <v/>
          </cell>
        </row>
        <row r="972">
          <cell r="A972" t="str">
            <v/>
          </cell>
          <cell r="B972">
            <v>1968</v>
          </cell>
          <cell r="D972" t="str">
            <v/>
          </cell>
          <cell r="F972" t="str">
            <v/>
          </cell>
          <cell r="J972">
            <v>0</v>
          </cell>
          <cell r="L972">
            <v>0</v>
          </cell>
          <cell r="M972">
            <v>0</v>
          </cell>
          <cell r="N972">
            <v>0</v>
          </cell>
          <cell r="O972" t="str">
            <v/>
          </cell>
          <cell r="S972" t="str">
            <v/>
          </cell>
          <cell r="T972" t="str">
            <v/>
          </cell>
        </row>
        <row r="973">
          <cell r="A973" t="str">
            <v/>
          </cell>
          <cell r="B973">
            <v>1969</v>
          </cell>
          <cell r="D973" t="str">
            <v/>
          </cell>
          <cell r="F973" t="str">
            <v/>
          </cell>
          <cell r="J973">
            <v>0</v>
          </cell>
          <cell r="L973">
            <v>0</v>
          </cell>
          <cell r="M973">
            <v>0</v>
          </cell>
          <cell r="N973">
            <v>0</v>
          </cell>
          <cell r="O973" t="str">
            <v/>
          </cell>
          <cell r="S973" t="str">
            <v/>
          </cell>
          <cell r="T973" t="str">
            <v/>
          </cell>
        </row>
        <row r="974">
          <cell r="A974" t="str">
            <v/>
          </cell>
          <cell r="B974">
            <v>1970</v>
          </cell>
          <cell r="D974" t="str">
            <v/>
          </cell>
          <cell r="F974" t="str">
            <v/>
          </cell>
          <cell r="J974">
            <v>0</v>
          </cell>
          <cell r="L974">
            <v>0</v>
          </cell>
          <cell r="M974">
            <v>0</v>
          </cell>
          <cell r="N974">
            <v>0</v>
          </cell>
          <cell r="O974" t="str">
            <v/>
          </cell>
          <cell r="S974" t="str">
            <v/>
          </cell>
          <cell r="T974" t="str">
            <v/>
          </cell>
        </row>
        <row r="975">
          <cell r="A975" t="str">
            <v/>
          </cell>
          <cell r="B975">
            <v>1971</v>
          </cell>
          <cell r="D975" t="str">
            <v/>
          </cell>
          <cell r="F975" t="str">
            <v/>
          </cell>
          <cell r="J975">
            <v>0</v>
          </cell>
          <cell r="L975">
            <v>0</v>
          </cell>
          <cell r="M975">
            <v>0</v>
          </cell>
          <cell r="N975">
            <v>0</v>
          </cell>
          <cell r="O975" t="str">
            <v/>
          </cell>
          <cell r="S975" t="str">
            <v/>
          </cell>
          <cell r="T975" t="str">
            <v/>
          </cell>
        </row>
        <row r="976">
          <cell r="A976" t="str">
            <v/>
          </cell>
          <cell r="B976">
            <v>1972</v>
          </cell>
          <cell r="D976" t="str">
            <v/>
          </cell>
          <cell r="F976" t="str">
            <v/>
          </cell>
          <cell r="J976">
            <v>0</v>
          </cell>
          <cell r="L976">
            <v>0</v>
          </cell>
          <cell r="M976">
            <v>0</v>
          </cell>
          <cell r="N976">
            <v>0</v>
          </cell>
          <cell r="O976" t="str">
            <v/>
          </cell>
          <cell r="S976" t="str">
            <v/>
          </cell>
          <cell r="T976" t="str">
            <v/>
          </cell>
        </row>
        <row r="977">
          <cell r="A977" t="str">
            <v/>
          </cell>
          <cell r="B977">
            <v>1973</v>
          </cell>
          <cell r="D977" t="str">
            <v/>
          </cell>
          <cell r="F977" t="str">
            <v/>
          </cell>
          <cell r="J977">
            <v>0</v>
          </cell>
          <cell r="L977">
            <v>0</v>
          </cell>
          <cell r="M977">
            <v>0</v>
          </cell>
          <cell r="N977">
            <v>0</v>
          </cell>
          <cell r="O977" t="str">
            <v/>
          </cell>
          <cell r="S977" t="str">
            <v/>
          </cell>
          <cell r="T977" t="str">
            <v/>
          </cell>
        </row>
        <row r="978">
          <cell r="A978" t="str">
            <v/>
          </cell>
          <cell r="B978">
            <v>1974</v>
          </cell>
          <cell r="D978" t="str">
            <v/>
          </cell>
          <cell r="F978" t="str">
            <v/>
          </cell>
          <cell r="J978">
            <v>0</v>
          </cell>
          <cell r="L978">
            <v>0</v>
          </cell>
          <cell r="M978">
            <v>0</v>
          </cell>
          <cell r="N978">
            <v>0</v>
          </cell>
          <cell r="O978" t="str">
            <v/>
          </cell>
          <cell r="S978" t="str">
            <v/>
          </cell>
          <cell r="T978" t="str">
            <v/>
          </cell>
        </row>
        <row r="979">
          <cell r="A979" t="str">
            <v/>
          </cell>
          <cell r="B979">
            <v>1975</v>
          </cell>
          <cell r="D979" t="str">
            <v/>
          </cell>
          <cell r="F979" t="str">
            <v/>
          </cell>
          <cell r="J979">
            <v>0</v>
          </cell>
          <cell r="L979">
            <v>0</v>
          </cell>
          <cell r="M979">
            <v>0</v>
          </cell>
          <cell r="N979">
            <v>0</v>
          </cell>
          <cell r="O979" t="str">
            <v/>
          </cell>
          <cell r="S979" t="str">
            <v/>
          </cell>
          <cell r="T979" t="str">
            <v/>
          </cell>
        </row>
        <row r="980">
          <cell r="A980" t="str">
            <v/>
          </cell>
          <cell r="B980">
            <v>1976</v>
          </cell>
          <cell r="D980" t="str">
            <v/>
          </cell>
          <cell r="F980" t="str">
            <v/>
          </cell>
          <cell r="J980">
            <v>0</v>
          </cell>
          <cell r="L980">
            <v>0</v>
          </cell>
          <cell r="M980">
            <v>0</v>
          </cell>
          <cell r="N980">
            <v>0</v>
          </cell>
          <cell r="O980" t="str">
            <v/>
          </cell>
          <cell r="S980" t="str">
            <v/>
          </cell>
          <cell r="T980" t="str">
            <v/>
          </cell>
        </row>
        <row r="981">
          <cell r="A981" t="str">
            <v/>
          </cell>
          <cell r="B981">
            <v>1977</v>
          </cell>
          <cell r="D981" t="str">
            <v/>
          </cell>
          <cell r="F981" t="str">
            <v/>
          </cell>
          <cell r="J981">
            <v>0</v>
          </cell>
          <cell r="L981">
            <v>0</v>
          </cell>
          <cell r="M981">
            <v>0</v>
          </cell>
          <cell r="N981">
            <v>0</v>
          </cell>
          <cell r="O981" t="str">
            <v/>
          </cell>
          <cell r="S981" t="str">
            <v/>
          </cell>
          <cell r="T981" t="str">
            <v/>
          </cell>
        </row>
        <row r="982">
          <cell r="A982" t="str">
            <v/>
          </cell>
          <cell r="B982">
            <v>1978</v>
          </cell>
          <cell r="D982" t="str">
            <v/>
          </cell>
          <cell r="F982" t="str">
            <v/>
          </cell>
          <cell r="J982">
            <v>0</v>
          </cell>
          <cell r="L982">
            <v>0</v>
          </cell>
          <cell r="M982">
            <v>0</v>
          </cell>
          <cell r="N982">
            <v>0</v>
          </cell>
          <cell r="O982" t="str">
            <v/>
          </cell>
          <cell r="S982" t="str">
            <v/>
          </cell>
          <cell r="T982" t="str">
            <v/>
          </cell>
        </row>
        <row r="983">
          <cell r="A983" t="str">
            <v/>
          </cell>
          <cell r="B983">
            <v>1979</v>
          </cell>
          <cell r="D983" t="str">
            <v/>
          </cell>
          <cell r="F983" t="str">
            <v/>
          </cell>
          <cell r="J983">
            <v>0</v>
          </cell>
          <cell r="L983">
            <v>0</v>
          </cell>
          <cell r="M983">
            <v>0</v>
          </cell>
          <cell r="N983">
            <v>0</v>
          </cell>
          <cell r="O983" t="str">
            <v/>
          </cell>
          <cell r="S983" t="str">
            <v/>
          </cell>
          <cell r="T983" t="str">
            <v/>
          </cell>
        </row>
        <row r="984">
          <cell r="A984" t="str">
            <v/>
          </cell>
          <cell r="B984">
            <v>1980</v>
          </cell>
          <cell r="D984" t="str">
            <v/>
          </cell>
          <cell r="F984" t="str">
            <v/>
          </cell>
          <cell r="J984">
            <v>0</v>
          </cell>
          <cell r="L984">
            <v>0</v>
          </cell>
          <cell r="M984">
            <v>0</v>
          </cell>
          <cell r="N984">
            <v>0</v>
          </cell>
          <cell r="O984" t="str">
            <v/>
          </cell>
          <cell r="S984" t="str">
            <v/>
          </cell>
          <cell r="T984" t="str">
            <v/>
          </cell>
        </row>
        <row r="985">
          <cell r="A985" t="str">
            <v/>
          </cell>
          <cell r="B985">
            <v>1981</v>
          </cell>
          <cell r="D985" t="str">
            <v/>
          </cell>
          <cell r="F985" t="str">
            <v/>
          </cell>
          <cell r="J985">
            <v>0</v>
          </cell>
          <cell r="L985">
            <v>0</v>
          </cell>
          <cell r="M985">
            <v>0</v>
          </cell>
          <cell r="N985">
            <v>0</v>
          </cell>
          <cell r="O985" t="str">
            <v/>
          </cell>
          <cell r="S985" t="str">
            <v/>
          </cell>
          <cell r="T985" t="str">
            <v/>
          </cell>
        </row>
        <row r="986">
          <cell r="A986" t="str">
            <v/>
          </cell>
          <cell r="B986">
            <v>1982</v>
          </cell>
          <cell r="D986" t="str">
            <v/>
          </cell>
          <cell r="F986" t="str">
            <v/>
          </cell>
          <cell r="J986">
            <v>0</v>
          </cell>
          <cell r="L986">
            <v>0</v>
          </cell>
          <cell r="M986">
            <v>0</v>
          </cell>
          <cell r="N986">
            <v>0</v>
          </cell>
          <cell r="O986" t="str">
            <v/>
          </cell>
          <cell r="S986" t="str">
            <v/>
          </cell>
          <cell r="T986" t="str">
            <v/>
          </cell>
        </row>
        <row r="987">
          <cell r="A987" t="str">
            <v/>
          </cell>
          <cell r="B987">
            <v>1983</v>
          </cell>
          <cell r="D987" t="str">
            <v/>
          </cell>
          <cell r="F987" t="str">
            <v/>
          </cell>
          <cell r="J987">
            <v>0</v>
          </cell>
          <cell r="L987">
            <v>0</v>
          </cell>
          <cell r="M987">
            <v>0</v>
          </cell>
          <cell r="N987">
            <v>0</v>
          </cell>
          <cell r="O987" t="str">
            <v/>
          </cell>
          <cell r="S987" t="str">
            <v/>
          </cell>
          <cell r="T987" t="str">
            <v/>
          </cell>
        </row>
        <row r="988">
          <cell r="A988" t="str">
            <v/>
          </cell>
          <cell r="B988">
            <v>1984</v>
          </cell>
          <cell r="D988" t="str">
            <v/>
          </cell>
          <cell r="F988" t="str">
            <v/>
          </cell>
          <cell r="J988">
            <v>0</v>
          </cell>
          <cell r="L988">
            <v>0</v>
          </cell>
          <cell r="M988">
            <v>0</v>
          </cell>
          <cell r="N988">
            <v>0</v>
          </cell>
          <cell r="O988" t="str">
            <v/>
          </cell>
          <cell r="S988" t="str">
            <v/>
          </cell>
          <cell r="T988" t="str">
            <v/>
          </cell>
        </row>
        <row r="989">
          <cell r="A989" t="str">
            <v/>
          </cell>
          <cell r="B989">
            <v>1985</v>
          </cell>
          <cell r="D989" t="str">
            <v/>
          </cell>
          <cell r="F989" t="str">
            <v/>
          </cell>
          <cell r="J989">
            <v>0</v>
          </cell>
          <cell r="L989">
            <v>0</v>
          </cell>
          <cell r="M989">
            <v>0</v>
          </cell>
          <cell r="N989">
            <v>0</v>
          </cell>
          <cell r="O989" t="str">
            <v/>
          </cell>
          <cell r="S989" t="str">
            <v/>
          </cell>
          <cell r="T989" t="str">
            <v/>
          </cell>
        </row>
        <row r="990">
          <cell r="A990" t="str">
            <v/>
          </cell>
          <cell r="B990">
            <v>1986</v>
          </cell>
          <cell r="D990" t="str">
            <v/>
          </cell>
          <cell r="F990" t="str">
            <v/>
          </cell>
          <cell r="J990">
            <v>0</v>
          </cell>
          <cell r="L990">
            <v>0</v>
          </cell>
          <cell r="M990">
            <v>0</v>
          </cell>
          <cell r="N990">
            <v>0</v>
          </cell>
          <cell r="O990" t="str">
            <v/>
          </cell>
          <cell r="S990" t="str">
            <v/>
          </cell>
          <cell r="T990" t="str">
            <v/>
          </cell>
        </row>
        <row r="991">
          <cell r="A991" t="str">
            <v/>
          </cell>
          <cell r="B991">
            <v>1987</v>
          </cell>
          <cell r="D991" t="str">
            <v/>
          </cell>
          <cell r="F991" t="str">
            <v/>
          </cell>
          <cell r="J991">
            <v>0</v>
          </cell>
          <cell r="L991">
            <v>0</v>
          </cell>
          <cell r="M991">
            <v>0</v>
          </cell>
          <cell r="N991">
            <v>0</v>
          </cell>
          <cell r="O991" t="str">
            <v/>
          </cell>
          <cell r="S991" t="str">
            <v/>
          </cell>
          <cell r="T991" t="str">
            <v/>
          </cell>
        </row>
        <row r="992">
          <cell r="A992" t="str">
            <v/>
          </cell>
          <cell r="B992">
            <v>1988</v>
          </cell>
          <cell r="D992" t="str">
            <v/>
          </cell>
          <cell r="F992" t="str">
            <v/>
          </cell>
          <cell r="J992">
            <v>0</v>
          </cell>
          <cell r="L992">
            <v>0</v>
          </cell>
          <cell r="M992">
            <v>0</v>
          </cell>
          <cell r="N992">
            <v>0</v>
          </cell>
          <cell r="O992" t="str">
            <v/>
          </cell>
          <cell r="S992" t="str">
            <v/>
          </cell>
          <cell r="T992" t="str">
            <v/>
          </cell>
        </row>
        <row r="993">
          <cell r="A993" t="str">
            <v/>
          </cell>
          <cell r="B993">
            <v>1989</v>
          </cell>
          <cell r="D993" t="str">
            <v/>
          </cell>
          <cell r="F993" t="str">
            <v/>
          </cell>
          <cell r="J993">
            <v>0</v>
          </cell>
          <cell r="L993">
            <v>0</v>
          </cell>
          <cell r="M993">
            <v>0</v>
          </cell>
          <cell r="N993">
            <v>0</v>
          </cell>
          <cell r="O993" t="str">
            <v/>
          </cell>
          <cell r="S993" t="str">
            <v/>
          </cell>
          <cell r="T993" t="str">
            <v/>
          </cell>
        </row>
        <row r="994">
          <cell r="A994" t="str">
            <v/>
          </cell>
          <cell r="B994">
            <v>1990</v>
          </cell>
          <cell r="D994" t="str">
            <v/>
          </cell>
          <cell r="F994" t="str">
            <v/>
          </cell>
          <cell r="J994">
            <v>0</v>
          </cell>
          <cell r="L994">
            <v>0</v>
          </cell>
          <cell r="M994">
            <v>0</v>
          </cell>
          <cell r="N994">
            <v>0</v>
          </cell>
          <cell r="O994" t="str">
            <v/>
          </cell>
          <cell r="S994" t="str">
            <v/>
          </cell>
          <cell r="T994" t="str">
            <v/>
          </cell>
        </row>
        <row r="995">
          <cell r="A995" t="str">
            <v/>
          </cell>
          <cell r="B995">
            <v>1991</v>
          </cell>
          <cell r="D995" t="str">
            <v/>
          </cell>
          <cell r="F995" t="str">
            <v/>
          </cell>
          <cell r="J995">
            <v>0</v>
          </cell>
          <cell r="L995">
            <v>0</v>
          </cell>
          <cell r="M995">
            <v>0</v>
          </cell>
          <cell r="N995">
            <v>0</v>
          </cell>
          <cell r="O995" t="str">
            <v/>
          </cell>
          <cell r="S995" t="str">
            <v/>
          </cell>
          <cell r="T995" t="str">
            <v/>
          </cell>
        </row>
        <row r="996">
          <cell r="A996" t="str">
            <v/>
          </cell>
          <cell r="B996">
            <v>1992</v>
          </cell>
          <cell r="D996" t="str">
            <v/>
          </cell>
          <cell r="F996" t="str">
            <v/>
          </cell>
          <cell r="J996">
            <v>0</v>
          </cell>
          <cell r="L996">
            <v>0</v>
          </cell>
          <cell r="M996">
            <v>0</v>
          </cell>
          <cell r="N996">
            <v>0</v>
          </cell>
          <cell r="O996" t="str">
            <v/>
          </cell>
          <cell r="S996" t="str">
            <v/>
          </cell>
          <cell r="T996" t="str">
            <v/>
          </cell>
        </row>
        <row r="997">
          <cell r="A997" t="str">
            <v/>
          </cell>
          <cell r="B997">
            <v>1993</v>
          </cell>
          <cell r="D997" t="str">
            <v/>
          </cell>
          <cell r="F997" t="str">
            <v/>
          </cell>
          <cell r="J997">
            <v>0</v>
          </cell>
          <cell r="L997">
            <v>0</v>
          </cell>
          <cell r="M997">
            <v>0</v>
          </cell>
          <cell r="N997">
            <v>0</v>
          </cell>
          <cell r="O997" t="str">
            <v/>
          </cell>
          <cell r="S997" t="str">
            <v/>
          </cell>
          <cell r="T997" t="str">
            <v/>
          </cell>
        </row>
        <row r="998">
          <cell r="A998" t="str">
            <v/>
          </cell>
          <cell r="B998">
            <v>1994</v>
          </cell>
          <cell r="D998" t="str">
            <v/>
          </cell>
          <cell r="F998" t="str">
            <v/>
          </cell>
          <cell r="J998">
            <v>0</v>
          </cell>
          <cell r="L998">
            <v>0</v>
          </cell>
          <cell r="M998">
            <v>0</v>
          </cell>
          <cell r="N998">
            <v>0</v>
          </cell>
          <cell r="O998" t="str">
            <v/>
          </cell>
          <cell r="S998" t="str">
            <v/>
          </cell>
          <cell r="T998" t="str">
            <v/>
          </cell>
        </row>
        <row r="999">
          <cell r="A999" t="str">
            <v/>
          </cell>
          <cell r="B999">
            <v>1995</v>
          </cell>
          <cell r="D999" t="str">
            <v/>
          </cell>
          <cell r="F999" t="str">
            <v/>
          </cell>
          <cell r="J999">
            <v>0</v>
          </cell>
          <cell r="L999">
            <v>0</v>
          </cell>
          <cell r="M999">
            <v>0</v>
          </cell>
          <cell r="N999">
            <v>0</v>
          </cell>
          <cell r="O999" t="str">
            <v/>
          </cell>
          <cell r="S999" t="str">
            <v/>
          </cell>
          <cell r="T999" t="str">
            <v/>
          </cell>
        </row>
        <row r="1000">
          <cell r="A1000" t="str">
            <v/>
          </cell>
          <cell r="B1000">
            <v>1996</v>
          </cell>
          <cell r="D1000" t="str">
            <v/>
          </cell>
          <cell r="F1000" t="str">
            <v/>
          </cell>
          <cell r="J1000">
            <v>0</v>
          </cell>
          <cell r="L1000">
            <v>0</v>
          </cell>
          <cell r="M1000">
            <v>0</v>
          </cell>
          <cell r="N1000">
            <v>0</v>
          </cell>
          <cell r="O1000" t="str">
            <v/>
          </cell>
          <cell r="S1000" t="str">
            <v/>
          </cell>
          <cell r="T1000" t="str">
            <v/>
          </cell>
        </row>
      </sheetData>
      <sheetData sheetId="5">
        <row r="1">
          <cell r="A1" t="str">
            <v>Brokerage</v>
          </cell>
          <cell r="B1" t="str">
            <v>Sales ID</v>
          </cell>
          <cell r="D1" t="str">
            <v>Puchase ID</v>
          </cell>
          <cell r="E1" t="str">
            <v>Symbols</v>
          </cell>
          <cell r="I1" t="str">
            <v>Quantity Available for Sale</v>
          </cell>
          <cell r="J1" t="str">
            <v>Placement Trade Date</v>
          </cell>
          <cell r="K1" t="str">
            <v>Release Trade Date</v>
          </cell>
          <cell r="L1" t="str">
            <v>Release Settlement Date</v>
          </cell>
          <cell r="M1" t="str">
            <v>Quantity</v>
          </cell>
          <cell r="N1" t="str">
            <v>Rate</v>
          </cell>
          <cell r="O1" t="str">
            <v>Days</v>
          </cell>
          <cell r="P1" t="str">
            <v>CFS Rate</v>
          </cell>
          <cell r="Q1" t="str">
            <v>CFS Rate Per Day</v>
          </cell>
          <cell r="R1" t="str">
            <v>Broker</v>
          </cell>
          <cell r="S1" t="str">
            <v>Brokers Per Day Rate       @ 15%</v>
          </cell>
          <cell r="U1" t="str">
            <v>Sale Proceed</v>
          </cell>
          <cell r="V1" t="str">
            <v>Placement Cost</v>
          </cell>
          <cell r="W1" t="str">
            <v>Brokerage</v>
          </cell>
          <cell r="X1" t="str">
            <v>Total cost</v>
          </cell>
          <cell r="Y1" t="str">
            <v>Gross Income</v>
          </cell>
          <cell r="Z1" t="str">
            <v>Realised Income</v>
          </cell>
        </row>
        <row r="3">
          <cell r="A3" t="str">
            <v/>
          </cell>
          <cell r="B3" t="str">
            <v/>
          </cell>
          <cell r="C3">
            <v>1001</v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L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</row>
        <row r="4">
          <cell r="A4" t="str">
            <v/>
          </cell>
          <cell r="B4" t="str">
            <v/>
          </cell>
          <cell r="C4">
            <v>1002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L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</row>
        <row r="5">
          <cell r="A5" t="str">
            <v/>
          </cell>
          <cell r="B5" t="str">
            <v/>
          </cell>
          <cell r="C5">
            <v>1003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L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</row>
        <row r="6">
          <cell r="A6" t="str">
            <v/>
          </cell>
          <cell r="B6" t="str">
            <v/>
          </cell>
          <cell r="C6">
            <v>1004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L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</row>
        <row r="7">
          <cell r="A7" t="str">
            <v/>
          </cell>
          <cell r="B7" t="str">
            <v/>
          </cell>
          <cell r="C7">
            <v>1005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L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</row>
        <row r="8">
          <cell r="A8" t="str">
            <v/>
          </cell>
          <cell r="B8" t="str">
            <v/>
          </cell>
          <cell r="C8">
            <v>1006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L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</row>
        <row r="9">
          <cell r="A9" t="str">
            <v/>
          </cell>
          <cell r="B9" t="str">
            <v/>
          </cell>
          <cell r="C9">
            <v>1007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L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</row>
        <row r="10">
          <cell r="A10" t="str">
            <v/>
          </cell>
          <cell r="B10" t="str">
            <v/>
          </cell>
          <cell r="C10">
            <v>1008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L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</row>
        <row r="11">
          <cell r="A11" t="str">
            <v/>
          </cell>
          <cell r="B11" t="str">
            <v/>
          </cell>
          <cell r="C11">
            <v>1009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L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</row>
        <row r="12">
          <cell r="A12" t="str">
            <v/>
          </cell>
          <cell r="B12" t="str">
            <v/>
          </cell>
          <cell r="C12">
            <v>1010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L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</row>
        <row r="13">
          <cell r="A13" t="str">
            <v/>
          </cell>
          <cell r="B13" t="str">
            <v/>
          </cell>
          <cell r="C13">
            <v>1011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</row>
        <row r="14">
          <cell r="A14" t="str">
            <v/>
          </cell>
          <cell r="B14" t="str">
            <v/>
          </cell>
          <cell r="C14">
            <v>1012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L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</row>
        <row r="15">
          <cell r="A15" t="str">
            <v/>
          </cell>
          <cell r="B15" t="str">
            <v/>
          </cell>
          <cell r="C15">
            <v>1013</v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</row>
        <row r="16">
          <cell r="A16" t="str">
            <v/>
          </cell>
          <cell r="B16" t="str">
            <v/>
          </cell>
          <cell r="C16">
            <v>1014</v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</row>
        <row r="17">
          <cell r="A17" t="str">
            <v/>
          </cell>
          <cell r="B17" t="str">
            <v/>
          </cell>
          <cell r="C17">
            <v>1015</v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</row>
        <row r="18">
          <cell r="A18" t="str">
            <v/>
          </cell>
          <cell r="B18" t="str">
            <v/>
          </cell>
          <cell r="C18">
            <v>1016</v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</row>
        <row r="19">
          <cell r="A19" t="str">
            <v/>
          </cell>
          <cell r="B19" t="str">
            <v/>
          </cell>
          <cell r="C19">
            <v>1017</v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</row>
        <row r="20">
          <cell r="A20" t="str">
            <v/>
          </cell>
          <cell r="B20" t="str">
            <v/>
          </cell>
          <cell r="C20">
            <v>1018</v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</row>
        <row r="21">
          <cell r="A21" t="str">
            <v/>
          </cell>
          <cell r="B21" t="str">
            <v/>
          </cell>
          <cell r="C21">
            <v>1019</v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</row>
        <row r="22">
          <cell r="A22" t="str">
            <v/>
          </cell>
          <cell r="B22" t="str">
            <v/>
          </cell>
          <cell r="C22">
            <v>1020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</row>
        <row r="23">
          <cell r="A23" t="str">
            <v/>
          </cell>
          <cell r="B23" t="str">
            <v/>
          </cell>
          <cell r="C23">
            <v>1021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</row>
        <row r="24">
          <cell r="A24" t="str">
            <v/>
          </cell>
          <cell r="B24" t="str">
            <v/>
          </cell>
          <cell r="C24">
            <v>1022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</row>
        <row r="25">
          <cell r="A25" t="str">
            <v/>
          </cell>
          <cell r="B25" t="str">
            <v/>
          </cell>
          <cell r="C25">
            <v>1023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</row>
        <row r="26">
          <cell r="A26" t="str">
            <v/>
          </cell>
          <cell r="B26" t="str">
            <v/>
          </cell>
          <cell r="C26">
            <v>1024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</row>
        <row r="27">
          <cell r="A27" t="str">
            <v/>
          </cell>
          <cell r="B27" t="str">
            <v/>
          </cell>
          <cell r="C27">
            <v>1025</v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</row>
        <row r="28">
          <cell r="A28" t="str">
            <v/>
          </cell>
          <cell r="B28" t="str">
            <v/>
          </cell>
          <cell r="C28">
            <v>1026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</row>
        <row r="29">
          <cell r="A29" t="str">
            <v/>
          </cell>
          <cell r="B29" t="str">
            <v/>
          </cell>
          <cell r="C29">
            <v>1027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</row>
        <row r="30">
          <cell r="A30" t="str">
            <v/>
          </cell>
          <cell r="B30" t="str">
            <v/>
          </cell>
          <cell r="C30">
            <v>1028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</row>
        <row r="31">
          <cell r="A31" t="str">
            <v/>
          </cell>
          <cell r="B31" t="str">
            <v/>
          </cell>
          <cell r="C31">
            <v>1029</v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</row>
        <row r="32">
          <cell r="A32" t="str">
            <v/>
          </cell>
          <cell r="B32" t="str">
            <v/>
          </cell>
          <cell r="C32">
            <v>1030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</row>
        <row r="33">
          <cell r="A33" t="str">
            <v/>
          </cell>
          <cell r="B33" t="str">
            <v/>
          </cell>
          <cell r="C33">
            <v>1031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</row>
        <row r="34">
          <cell r="A34" t="str">
            <v/>
          </cell>
          <cell r="B34" t="str">
            <v/>
          </cell>
          <cell r="C34">
            <v>1032</v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</row>
        <row r="35">
          <cell r="A35" t="str">
            <v/>
          </cell>
          <cell r="B35" t="str">
            <v/>
          </cell>
          <cell r="C35">
            <v>1033</v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</row>
        <row r="36">
          <cell r="A36" t="str">
            <v/>
          </cell>
          <cell r="B36" t="str">
            <v/>
          </cell>
          <cell r="C36">
            <v>1034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</row>
        <row r="37">
          <cell r="A37" t="str">
            <v/>
          </cell>
          <cell r="B37" t="str">
            <v/>
          </cell>
          <cell r="C37">
            <v>1035</v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</row>
        <row r="38">
          <cell r="A38" t="str">
            <v/>
          </cell>
          <cell r="B38" t="str">
            <v/>
          </cell>
          <cell r="C38">
            <v>1036</v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</row>
        <row r="39">
          <cell r="A39" t="str">
            <v/>
          </cell>
          <cell r="B39" t="str">
            <v/>
          </cell>
          <cell r="C39">
            <v>1037</v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</row>
        <row r="40">
          <cell r="A40" t="str">
            <v/>
          </cell>
          <cell r="B40" t="str">
            <v/>
          </cell>
          <cell r="C40">
            <v>1038</v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</row>
        <row r="41">
          <cell r="A41" t="str">
            <v/>
          </cell>
          <cell r="B41" t="str">
            <v/>
          </cell>
          <cell r="C41">
            <v>1039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</row>
        <row r="42">
          <cell r="A42" t="str">
            <v/>
          </cell>
          <cell r="B42" t="str">
            <v/>
          </cell>
          <cell r="C42">
            <v>1040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</row>
        <row r="43">
          <cell r="A43" t="str">
            <v/>
          </cell>
          <cell r="B43" t="str">
            <v/>
          </cell>
          <cell r="C43">
            <v>1041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44">
          <cell r="A44" t="str">
            <v/>
          </cell>
          <cell r="B44" t="str">
            <v/>
          </cell>
          <cell r="C44">
            <v>1042</v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</row>
        <row r="45">
          <cell r="A45" t="str">
            <v/>
          </cell>
          <cell r="B45" t="str">
            <v/>
          </cell>
          <cell r="C45">
            <v>1043</v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</row>
        <row r="46">
          <cell r="A46" t="str">
            <v/>
          </cell>
          <cell r="B46" t="str">
            <v/>
          </cell>
          <cell r="C46">
            <v>1044</v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</row>
        <row r="47">
          <cell r="A47" t="str">
            <v/>
          </cell>
          <cell r="B47" t="str">
            <v/>
          </cell>
          <cell r="C47">
            <v>1045</v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</row>
        <row r="48">
          <cell r="A48" t="str">
            <v/>
          </cell>
          <cell r="B48" t="str">
            <v/>
          </cell>
          <cell r="C48">
            <v>1046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</row>
        <row r="49">
          <cell r="A49" t="str">
            <v/>
          </cell>
          <cell r="B49" t="str">
            <v/>
          </cell>
          <cell r="C49">
            <v>1047</v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</row>
        <row r="50">
          <cell r="A50" t="str">
            <v/>
          </cell>
          <cell r="B50" t="str">
            <v/>
          </cell>
          <cell r="C50">
            <v>1048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</row>
        <row r="51">
          <cell r="A51" t="str">
            <v/>
          </cell>
          <cell r="B51" t="str">
            <v/>
          </cell>
          <cell r="C51">
            <v>1049</v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</row>
        <row r="52">
          <cell r="A52" t="str">
            <v/>
          </cell>
          <cell r="B52" t="str">
            <v/>
          </cell>
          <cell r="C52">
            <v>1050</v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</row>
        <row r="53">
          <cell r="A53" t="str">
            <v/>
          </cell>
          <cell r="B53" t="str">
            <v/>
          </cell>
          <cell r="C53">
            <v>1051</v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  <row r="54">
          <cell r="A54" t="str">
            <v/>
          </cell>
          <cell r="B54" t="str">
            <v/>
          </cell>
          <cell r="C54">
            <v>1052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</row>
        <row r="55">
          <cell r="A55" t="str">
            <v/>
          </cell>
          <cell r="B55" t="str">
            <v/>
          </cell>
          <cell r="C55">
            <v>1053</v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</row>
        <row r="56">
          <cell r="A56" t="str">
            <v/>
          </cell>
          <cell r="B56" t="str">
            <v/>
          </cell>
          <cell r="C56">
            <v>1054</v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</row>
        <row r="57">
          <cell r="A57" t="str">
            <v/>
          </cell>
          <cell r="B57" t="str">
            <v/>
          </cell>
          <cell r="C57">
            <v>1055</v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</row>
        <row r="58">
          <cell r="A58" t="str">
            <v/>
          </cell>
          <cell r="B58" t="str">
            <v/>
          </cell>
          <cell r="C58">
            <v>1056</v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</row>
        <row r="59">
          <cell r="A59" t="str">
            <v/>
          </cell>
          <cell r="B59" t="str">
            <v/>
          </cell>
          <cell r="C59">
            <v>1057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</row>
        <row r="60">
          <cell r="A60" t="str">
            <v/>
          </cell>
          <cell r="B60" t="str">
            <v/>
          </cell>
          <cell r="C60">
            <v>1058</v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</row>
        <row r="61">
          <cell r="A61" t="str">
            <v/>
          </cell>
          <cell r="B61" t="str">
            <v/>
          </cell>
          <cell r="C61">
            <v>1059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</row>
        <row r="62">
          <cell r="A62" t="str">
            <v/>
          </cell>
          <cell r="B62" t="str">
            <v/>
          </cell>
          <cell r="C62">
            <v>1060</v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</row>
        <row r="63">
          <cell r="A63" t="str">
            <v/>
          </cell>
          <cell r="B63" t="str">
            <v/>
          </cell>
          <cell r="C63">
            <v>1061</v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</row>
        <row r="64">
          <cell r="A64" t="str">
            <v/>
          </cell>
          <cell r="B64" t="str">
            <v/>
          </cell>
          <cell r="C64">
            <v>1062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</row>
        <row r="65">
          <cell r="A65" t="str">
            <v/>
          </cell>
          <cell r="B65" t="str">
            <v/>
          </cell>
          <cell r="C65">
            <v>1063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</row>
        <row r="66">
          <cell r="A66" t="str">
            <v/>
          </cell>
          <cell r="B66" t="str">
            <v/>
          </cell>
          <cell r="C66">
            <v>1064</v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</row>
        <row r="67">
          <cell r="A67" t="str">
            <v/>
          </cell>
          <cell r="B67" t="str">
            <v/>
          </cell>
          <cell r="C67">
            <v>1065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</row>
        <row r="68">
          <cell r="A68" t="str">
            <v/>
          </cell>
          <cell r="B68" t="str">
            <v/>
          </cell>
          <cell r="C68">
            <v>1066</v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</row>
        <row r="69">
          <cell r="A69" t="str">
            <v/>
          </cell>
          <cell r="B69" t="str">
            <v/>
          </cell>
          <cell r="C69">
            <v>1067</v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</row>
        <row r="70">
          <cell r="A70" t="str">
            <v/>
          </cell>
          <cell r="B70" t="str">
            <v/>
          </cell>
          <cell r="C70">
            <v>1068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</row>
        <row r="71">
          <cell r="A71" t="str">
            <v/>
          </cell>
          <cell r="B71" t="str">
            <v/>
          </cell>
          <cell r="C71">
            <v>1069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</row>
        <row r="72">
          <cell r="A72" t="str">
            <v/>
          </cell>
          <cell r="B72" t="str">
            <v/>
          </cell>
          <cell r="C72">
            <v>1070</v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</row>
        <row r="73">
          <cell r="A73" t="str">
            <v/>
          </cell>
          <cell r="B73" t="str">
            <v/>
          </cell>
          <cell r="C73">
            <v>1071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</row>
        <row r="74">
          <cell r="A74" t="str">
            <v/>
          </cell>
          <cell r="B74" t="str">
            <v/>
          </cell>
          <cell r="C74">
            <v>1072</v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</row>
        <row r="75">
          <cell r="A75" t="str">
            <v/>
          </cell>
          <cell r="B75" t="str">
            <v/>
          </cell>
          <cell r="C75">
            <v>1073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</row>
        <row r="76">
          <cell r="A76" t="str">
            <v/>
          </cell>
          <cell r="B76" t="str">
            <v/>
          </cell>
          <cell r="C76">
            <v>1074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</row>
        <row r="77">
          <cell r="A77" t="str">
            <v/>
          </cell>
          <cell r="B77" t="str">
            <v/>
          </cell>
          <cell r="C77">
            <v>1075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</row>
        <row r="78">
          <cell r="A78" t="str">
            <v/>
          </cell>
          <cell r="B78" t="str">
            <v/>
          </cell>
          <cell r="C78">
            <v>1076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</row>
        <row r="79">
          <cell r="A79" t="str">
            <v/>
          </cell>
          <cell r="B79" t="str">
            <v/>
          </cell>
          <cell r="C79">
            <v>1077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</row>
        <row r="80">
          <cell r="A80" t="str">
            <v/>
          </cell>
          <cell r="B80" t="str">
            <v/>
          </cell>
          <cell r="C80">
            <v>1078</v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</row>
        <row r="81">
          <cell r="A81" t="str">
            <v/>
          </cell>
          <cell r="B81" t="str">
            <v/>
          </cell>
          <cell r="C81">
            <v>1079</v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</row>
        <row r="82">
          <cell r="A82" t="str">
            <v/>
          </cell>
          <cell r="B82" t="str">
            <v/>
          </cell>
          <cell r="C82">
            <v>1080</v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</row>
        <row r="83">
          <cell r="A83" t="str">
            <v/>
          </cell>
          <cell r="B83" t="str">
            <v/>
          </cell>
          <cell r="C83">
            <v>1081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</row>
        <row r="84">
          <cell r="A84" t="str">
            <v/>
          </cell>
          <cell r="B84" t="str">
            <v/>
          </cell>
          <cell r="C84">
            <v>1082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</row>
        <row r="85">
          <cell r="A85" t="str">
            <v/>
          </cell>
          <cell r="B85" t="str">
            <v/>
          </cell>
          <cell r="C85">
            <v>1083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</row>
        <row r="86">
          <cell r="A86" t="str">
            <v/>
          </cell>
          <cell r="B86" t="str">
            <v/>
          </cell>
          <cell r="C86">
            <v>1084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</row>
        <row r="87">
          <cell r="A87" t="str">
            <v/>
          </cell>
          <cell r="B87" t="str">
            <v/>
          </cell>
          <cell r="C87">
            <v>1085</v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</row>
        <row r="88">
          <cell r="A88" t="str">
            <v/>
          </cell>
          <cell r="B88" t="str">
            <v/>
          </cell>
          <cell r="C88">
            <v>1086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</row>
        <row r="89">
          <cell r="A89" t="str">
            <v/>
          </cell>
          <cell r="B89" t="str">
            <v/>
          </cell>
          <cell r="C89">
            <v>1087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</row>
        <row r="90">
          <cell r="A90" t="str">
            <v/>
          </cell>
          <cell r="B90" t="str">
            <v/>
          </cell>
          <cell r="C90">
            <v>1088</v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</row>
        <row r="91">
          <cell r="A91" t="str">
            <v/>
          </cell>
          <cell r="B91" t="str">
            <v/>
          </cell>
          <cell r="C91">
            <v>1089</v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</row>
        <row r="92">
          <cell r="A92" t="str">
            <v/>
          </cell>
          <cell r="B92" t="str">
            <v/>
          </cell>
          <cell r="C92">
            <v>1090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</row>
        <row r="93">
          <cell r="A93" t="str">
            <v/>
          </cell>
          <cell r="B93" t="str">
            <v/>
          </cell>
          <cell r="C93">
            <v>1091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</row>
        <row r="94">
          <cell r="A94" t="str">
            <v/>
          </cell>
          <cell r="B94" t="str">
            <v/>
          </cell>
          <cell r="C94">
            <v>1092</v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</row>
        <row r="95">
          <cell r="A95" t="str">
            <v/>
          </cell>
          <cell r="B95" t="str">
            <v/>
          </cell>
          <cell r="C95">
            <v>1093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</row>
        <row r="96">
          <cell r="A96" t="str">
            <v/>
          </cell>
          <cell r="B96" t="str">
            <v/>
          </cell>
          <cell r="C96">
            <v>1094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</row>
        <row r="97">
          <cell r="A97" t="str">
            <v/>
          </cell>
          <cell r="B97" t="str">
            <v/>
          </cell>
          <cell r="C97">
            <v>1095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</row>
        <row r="98">
          <cell r="A98" t="str">
            <v/>
          </cell>
          <cell r="B98" t="str">
            <v/>
          </cell>
          <cell r="C98">
            <v>1096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L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</row>
        <row r="99">
          <cell r="A99" t="str">
            <v/>
          </cell>
          <cell r="B99" t="str">
            <v/>
          </cell>
          <cell r="C99">
            <v>1097</v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L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</row>
        <row r="100">
          <cell r="A100" t="str">
            <v/>
          </cell>
          <cell r="B100" t="str">
            <v/>
          </cell>
          <cell r="C100">
            <v>1098</v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L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</row>
        <row r="101">
          <cell r="A101" t="str">
            <v/>
          </cell>
          <cell r="B101" t="str">
            <v/>
          </cell>
          <cell r="C101">
            <v>1099</v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L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</row>
        <row r="102">
          <cell r="A102" t="str">
            <v/>
          </cell>
          <cell r="B102" t="str">
            <v/>
          </cell>
          <cell r="C102">
            <v>1100</v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L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</row>
        <row r="103">
          <cell r="A103" t="str">
            <v/>
          </cell>
          <cell r="B103" t="str">
            <v/>
          </cell>
          <cell r="C103">
            <v>1101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L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</row>
        <row r="104">
          <cell r="A104" t="str">
            <v/>
          </cell>
          <cell r="B104" t="str">
            <v/>
          </cell>
          <cell r="C104">
            <v>1102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L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</row>
        <row r="105">
          <cell r="A105" t="str">
            <v/>
          </cell>
          <cell r="B105" t="str">
            <v/>
          </cell>
          <cell r="C105">
            <v>1103</v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L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</row>
        <row r="106">
          <cell r="A106" t="str">
            <v/>
          </cell>
          <cell r="B106" t="str">
            <v/>
          </cell>
          <cell r="C106">
            <v>1104</v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L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</row>
        <row r="107">
          <cell r="A107" t="str">
            <v/>
          </cell>
          <cell r="B107" t="str">
            <v/>
          </cell>
          <cell r="C107">
            <v>1105</v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L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</row>
        <row r="108">
          <cell r="A108" t="str">
            <v/>
          </cell>
          <cell r="B108" t="str">
            <v/>
          </cell>
          <cell r="C108">
            <v>1106</v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L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</row>
        <row r="109">
          <cell r="A109" t="str">
            <v/>
          </cell>
          <cell r="B109" t="str">
            <v/>
          </cell>
          <cell r="C109">
            <v>1107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L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</row>
        <row r="110">
          <cell r="A110" t="str">
            <v/>
          </cell>
          <cell r="B110" t="str">
            <v/>
          </cell>
          <cell r="C110">
            <v>1108</v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L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</row>
        <row r="111">
          <cell r="A111" t="str">
            <v/>
          </cell>
          <cell r="B111" t="str">
            <v/>
          </cell>
          <cell r="C111">
            <v>1109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L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</row>
        <row r="112">
          <cell r="A112" t="str">
            <v/>
          </cell>
          <cell r="B112" t="str">
            <v/>
          </cell>
          <cell r="C112">
            <v>1110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L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</row>
        <row r="113">
          <cell r="A113" t="str">
            <v/>
          </cell>
          <cell r="B113" t="str">
            <v/>
          </cell>
          <cell r="C113">
            <v>1111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L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</row>
        <row r="114">
          <cell r="A114" t="str">
            <v/>
          </cell>
          <cell r="B114" t="str">
            <v/>
          </cell>
          <cell r="C114">
            <v>1112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L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</row>
        <row r="115">
          <cell r="A115" t="str">
            <v/>
          </cell>
          <cell r="B115" t="str">
            <v/>
          </cell>
          <cell r="C115">
            <v>1113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L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</row>
        <row r="116">
          <cell r="A116" t="str">
            <v/>
          </cell>
          <cell r="B116" t="str">
            <v/>
          </cell>
          <cell r="C116">
            <v>1114</v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L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</row>
        <row r="117">
          <cell r="A117" t="str">
            <v/>
          </cell>
          <cell r="B117" t="str">
            <v/>
          </cell>
          <cell r="C117">
            <v>1115</v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L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</row>
        <row r="118">
          <cell r="A118" t="str">
            <v/>
          </cell>
          <cell r="B118" t="str">
            <v/>
          </cell>
          <cell r="C118">
            <v>1116</v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L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</row>
        <row r="119">
          <cell r="A119" t="str">
            <v/>
          </cell>
          <cell r="B119" t="str">
            <v/>
          </cell>
          <cell r="C119">
            <v>1117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L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</row>
        <row r="120">
          <cell r="A120" t="str">
            <v/>
          </cell>
          <cell r="B120" t="str">
            <v/>
          </cell>
          <cell r="C120">
            <v>1118</v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L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</row>
        <row r="121">
          <cell r="A121" t="str">
            <v/>
          </cell>
          <cell r="B121" t="str">
            <v/>
          </cell>
          <cell r="C121">
            <v>1119</v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L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</row>
        <row r="122">
          <cell r="A122" t="str">
            <v/>
          </cell>
          <cell r="B122" t="str">
            <v/>
          </cell>
          <cell r="C122">
            <v>1120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L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</row>
        <row r="123">
          <cell r="A123" t="str">
            <v/>
          </cell>
          <cell r="B123" t="str">
            <v/>
          </cell>
          <cell r="C123">
            <v>1121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L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</row>
        <row r="124">
          <cell r="A124" t="str">
            <v/>
          </cell>
          <cell r="B124" t="str">
            <v/>
          </cell>
          <cell r="C124">
            <v>1122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L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</row>
        <row r="125">
          <cell r="A125" t="str">
            <v/>
          </cell>
          <cell r="B125" t="str">
            <v/>
          </cell>
          <cell r="C125">
            <v>1123</v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L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</row>
        <row r="126">
          <cell r="A126" t="str">
            <v/>
          </cell>
          <cell r="B126" t="str">
            <v/>
          </cell>
          <cell r="C126">
            <v>1124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L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</row>
        <row r="127">
          <cell r="A127" t="str">
            <v/>
          </cell>
          <cell r="B127" t="str">
            <v/>
          </cell>
          <cell r="C127">
            <v>1125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L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</row>
        <row r="128">
          <cell r="A128" t="str">
            <v/>
          </cell>
          <cell r="B128" t="str">
            <v/>
          </cell>
          <cell r="C128">
            <v>1126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L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</row>
        <row r="129">
          <cell r="A129" t="str">
            <v/>
          </cell>
          <cell r="B129" t="str">
            <v/>
          </cell>
          <cell r="C129">
            <v>1127</v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L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</row>
        <row r="130">
          <cell r="A130" t="str">
            <v/>
          </cell>
          <cell r="B130" t="str">
            <v/>
          </cell>
          <cell r="C130">
            <v>1128</v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L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</row>
        <row r="131">
          <cell r="A131" t="str">
            <v/>
          </cell>
          <cell r="B131" t="str">
            <v/>
          </cell>
          <cell r="C131">
            <v>1129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L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</row>
        <row r="132">
          <cell r="A132" t="str">
            <v/>
          </cell>
          <cell r="B132" t="str">
            <v/>
          </cell>
          <cell r="C132">
            <v>1130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L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</row>
        <row r="133">
          <cell r="A133" t="str">
            <v/>
          </cell>
          <cell r="B133" t="str">
            <v/>
          </cell>
          <cell r="C133">
            <v>1131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L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</row>
        <row r="134">
          <cell r="A134" t="str">
            <v/>
          </cell>
          <cell r="B134" t="str">
            <v/>
          </cell>
          <cell r="C134">
            <v>1132</v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L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</row>
        <row r="135">
          <cell r="A135" t="str">
            <v/>
          </cell>
          <cell r="B135" t="str">
            <v/>
          </cell>
          <cell r="C135">
            <v>1133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L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</row>
        <row r="136">
          <cell r="A136" t="str">
            <v/>
          </cell>
          <cell r="B136" t="str">
            <v/>
          </cell>
          <cell r="C136">
            <v>1134</v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L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</row>
        <row r="137">
          <cell r="A137" t="str">
            <v/>
          </cell>
          <cell r="B137" t="str">
            <v/>
          </cell>
          <cell r="C137">
            <v>1135</v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L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</row>
        <row r="138">
          <cell r="A138" t="str">
            <v/>
          </cell>
          <cell r="B138" t="str">
            <v/>
          </cell>
          <cell r="C138">
            <v>1136</v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L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</row>
        <row r="139">
          <cell r="A139" t="str">
            <v/>
          </cell>
          <cell r="B139" t="str">
            <v/>
          </cell>
          <cell r="C139">
            <v>1137</v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L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</row>
        <row r="140">
          <cell r="A140" t="str">
            <v/>
          </cell>
          <cell r="B140" t="str">
            <v/>
          </cell>
          <cell r="C140">
            <v>1138</v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L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</row>
        <row r="141">
          <cell r="A141" t="str">
            <v/>
          </cell>
          <cell r="B141" t="str">
            <v/>
          </cell>
          <cell r="C141">
            <v>1139</v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L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</row>
        <row r="142">
          <cell r="A142" t="str">
            <v/>
          </cell>
          <cell r="B142" t="str">
            <v/>
          </cell>
          <cell r="C142">
            <v>1140</v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L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</row>
        <row r="143">
          <cell r="A143" t="str">
            <v/>
          </cell>
          <cell r="B143" t="str">
            <v/>
          </cell>
          <cell r="C143">
            <v>1141</v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L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</row>
        <row r="144">
          <cell r="A144" t="str">
            <v/>
          </cell>
          <cell r="B144" t="str">
            <v/>
          </cell>
          <cell r="C144">
            <v>1142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L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</row>
        <row r="145">
          <cell r="A145" t="str">
            <v/>
          </cell>
          <cell r="B145" t="str">
            <v/>
          </cell>
          <cell r="C145">
            <v>1143</v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L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</row>
        <row r="146">
          <cell r="A146" t="str">
            <v/>
          </cell>
          <cell r="B146" t="str">
            <v/>
          </cell>
          <cell r="C146">
            <v>1144</v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L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</row>
        <row r="147">
          <cell r="A147" t="str">
            <v/>
          </cell>
          <cell r="B147" t="str">
            <v/>
          </cell>
          <cell r="C147">
            <v>1145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L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</row>
        <row r="148">
          <cell r="A148" t="str">
            <v/>
          </cell>
          <cell r="B148" t="str">
            <v/>
          </cell>
          <cell r="C148">
            <v>1146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L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</row>
        <row r="149">
          <cell r="A149" t="str">
            <v/>
          </cell>
          <cell r="B149" t="str">
            <v/>
          </cell>
          <cell r="C149">
            <v>1147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L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</row>
        <row r="150">
          <cell r="A150" t="str">
            <v/>
          </cell>
          <cell r="B150" t="str">
            <v/>
          </cell>
          <cell r="C150">
            <v>1148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L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</row>
        <row r="151">
          <cell r="A151" t="str">
            <v/>
          </cell>
          <cell r="B151" t="str">
            <v/>
          </cell>
          <cell r="C151">
            <v>1149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L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</row>
        <row r="152">
          <cell r="A152" t="str">
            <v/>
          </cell>
          <cell r="B152" t="str">
            <v/>
          </cell>
          <cell r="C152">
            <v>1150</v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L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</row>
        <row r="153">
          <cell r="A153" t="str">
            <v/>
          </cell>
          <cell r="B153" t="str">
            <v/>
          </cell>
          <cell r="C153">
            <v>1151</v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L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</row>
        <row r="154">
          <cell r="A154" t="str">
            <v/>
          </cell>
          <cell r="B154" t="str">
            <v/>
          </cell>
          <cell r="C154">
            <v>1152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L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</row>
        <row r="155">
          <cell r="A155" t="str">
            <v/>
          </cell>
          <cell r="B155" t="str">
            <v/>
          </cell>
          <cell r="C155">
            <v>1153</v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L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</row>
        <row r="156">
          <cell r="A156" t="str">
            <v/>
          </cell>
          <cell r="B156" t="str">
            <v/>
          </cell>
          <cell r="C156">
            <v>1154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L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</row>
        <row r="157">
          <cell r="A157" t="str">
            <v/>
          </cell>
          <cell r="B157" t="str">
            <v/>
          </cell>
          <cell r="C157">
            <v>1155</v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L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</row>
        <row r="158">
          <cell r="A158" t="str">
            <v/>
          </cell>
          <cell r="B158" t="str">
            <v/>
          </cell>
          <cell r="C158">
            <v>1156</v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L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</row>
        <row r="159">
          <cell r="A159" t="str">
            <v/>
          </cell>
          <cell r="B159" t="str">
            <v/>
          </cell>
          <cell r="C159">
            <v>1157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L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</row>
        <row r="160">
          <cell r="A160" t="str">
            <v/>
          </cell>
          <cell r="B160" t="str">
            <v/>
          </cell>
          <cell r="C160">
            <v>1158</v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L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</row>
        <row r="161">
          <cell r="A161" t="str">
            <v/>
          </cell>
          <cell r="B161" t="str">
            <v/>
          </cell>
          <cell r="C161">
            <v>1159</v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L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</row>
        <row r="162">
          <cell r="A162" t="str">
            <v/>
          </cell>
          <cell r="B162" t="str">
            <v/>
          </cell>
          <cell r="C162">
            <v>1160</v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L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</row>
        <row r="163">
          <cell r="A163" t="str">
            <v/>
          </cell>
          <cell r="B163" t="str">
            <v/>
          </cell>
          <cell r="C163">
            <v>1161</v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L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</row>
        <row r="164">
          <cell r="A164" t="str">
            <v/>
          </cell>
          <cell r="B164" t="str">
            <v/>
          </cell>
          <cell r="C164">
            <v>1162</v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L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</row>
        <row r="165">
          <cell r="A165" t="str">
            <v/>
          </cell>
          <cell r="B165" t="str">
            <v/>
          </cell>
          <cell r="C165">
            <v>1163</v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L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</row>
        <row r="166">
          <cell r="A166" t="str">
            <v/>
          </cell>
          <cell r="B166" t="str">
            <v/>
          </cell>
          <cell r="C166">
            <v>1164</v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L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</row>
        <row r="167">
          <cell r="A167" t="str">
            <v/>
          </cell>
          <cell r="B167" t="str">
            <v/>
          </cell>
          <cell r="C167">
            <v>1165</v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L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</row>
        <row r="168">
          <cell r="A168" t="str">
            <v/>
          </cell>
          <cell r="B168" t="str">
            <v/>
          </cell>
          <cell r="C168">
            <v>1166</v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L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</row>
        <row r="169">
          <cell r="A169" t="str">
            <v/>
          </cell>
          <cell r="B169" t="str">
            <v/>
          </cell>
          <cell r="C169">
            <v>1167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L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</row>
        <row r="170">
          <cell r="A170" t="str">
            <v/>
          </cell>
          <cell r="B170" t="str">
            <v/>
          </cell>
          <cell r="C170">
            <v>1168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L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</row>
        <row r="171">
          <cell r="A171" t="str">
            <v/>
          </cell>
          <cell r="B171" t="str">
            <v/>
          </cell>
          <cell r="C171">
            <v>1169</v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L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</row>
        <row r="172">
          <cell r="A172" t="str">
            <v/>
          </cell>
          <cell r="B172" t="str">
            <v/>
          </cell>
          <cell r="C172">
            <v>1170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L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</row>
        <row r="173">
          <cell r="A173" t="str">
            <v/>
          </cell>
          <cell r="B173" t="str">
            <v/>
          </cell>
          <cell r="C173">
            <v>1171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L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</row>
        <row r="174">
          <cell r="A174" t="str">
            <v/>
          </cell>
          <cell r="B174" t="str">
            <v/>
          </cell>
          <cell r="C174">
            <v>1172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L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</row>
        <row r="175">
          <cell r="A175" t="str">
            <v/>
          </cell>
          <cell r="B175" t="str">
            <v/>
          </cell>
          <cell r="C175">
            <v>1173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L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</row>
        <row r="176">
          <cell r="A176" t="str">
            <v/>
          </cell>
          <cell r="B176" t="str">
            <v/>
          </cell>
          <cell r="C176">
            <v>1174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L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</row>
        <row r="177">
          <cell r="A177" t="str">
            <v/>
          </cell>
          <cell r="B177" t="str">
            <v/>
          </cell>
          <cell r="C177">
            <v>1175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L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</row>
        <row r="178">
          <cell r="A178" t="str">
            <v/>
          </cell>
          <cell r="B178" t="str">
            <v/>
          </cell>
          <cell r="C178">
            <v>1176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L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</row>
        <row r="179">
          <cell r="A179" t="str">
            <v/>
          </cell>
          <cell r="B179" t="str">
            <v/>
          </cell>
          <cell r="C179">
            <v>1177</v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L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</row>
        <row r="180">
          <cell r="A180" t="str">
            <v/>
          </cell>
          <cell r="B180" t="str">
            <v/>
          </cell>
          <cell r="C180">
            <v>1178</v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L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</row>
        <row r="181">
          <cell r="A181" t="str">
            <v/>
          </cell>
          <cell r="B181" t="str">
            <v/>
          </cell>
          <cell r="C181">
            <v>1179</v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L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</row>
        <row r="182">
          <cell r="A182" t="str">
            <v/>
          </cell>
          <cell r="B182" t="str">
            <v/>
          </cell>
          <cell r="C182">
            <v>1180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L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</row>
        <row r="183">
          <cell r="A183" t="str">
            <v/>
          </cell>
          <cell r="B183" t="str">
            <v/>
          </cell>
          <cell r="C183">
            <v>1181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L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</row>
        <row r="184">
          <cell r="A184" t="str">
            <v/>
          </cell>
          <cell r="B184" t="str">
            <v/>
          </cell>
          <cell r="C184">
            <v>1182</v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L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</row>
        <row r="185">
          <cell r="A185" t="str">
            <v/>
          </cell>
          <cell r="B185" t="str">
            <v/>
          </cell>
          <cell r="C185">
            <v>1183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L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</row>
        <row r="186">
          <cell r="A186" t="str">
            <v/>
          </cell>
          <cell r="B186" t="str">
            <v/>
          </cell>
          <cell r="C186">
            <v>1184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L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</row>
        <row r="187">
          <cell r="A187" t="str">
            <v/>
          </cell>
          <cell r="B187" t="str">
            <v/>
          </cell>
          <cell r="C187">
            <v>1185</v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L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</row>
        <row r="188">
          <cell r="A188" t="str">
            <v/>
          </cell>
          <cell r="B188" t="str">
            <v/>
          </cell>
          <cell r="C188">
            <v>1186</v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L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</row>
        <row r="189">
          <cell r="A189" t="str">
            <v/>
          </cell>
          <cell r="B189" t="str">
            <v/>
          </cell>
          <cell r="C189">
            <v>1187</v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L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</row>
        <row r="190">
          <cell r="A190" t="str">
            <v/>
          </cell>
          <cell r="B190" t="str">
            <v/>
          </cell>
          <cell r="C190">
            <v>1188</v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L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</row>
        <row r="191">
          <cell r="A191" t="str">
            <v/>
          </cell>
          <cell r="B191" t="str">
            <v/>
          </cell>
          <cell r="C191">
            <v>1189</v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L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</row>
        <row r="192">
          <cell r="A192" t="str">
            <v/>
          </cell>
          <cell r="B192" t="str">
            <v/>
          </cell>
          <cell r="C192">
            <v>1190</v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L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</row>
        <row r="193">
          <cell r="A193" t="str">
            <v/>
          </cell>
          <cell r="B193" t="str">
            <v/>
          </cell>
          <cell r="C193">
            <v>1191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L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</row>
        <row r="194">
          <cell r="A194" t="str">
            <v/>
          </cell>
          <cell r="B194" t="str">
            <v/>
          </cell>
          <cell r="C194">
            <v>1192</v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L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</row>
        <row r="195">
          <cell r="A195" t="str">
            <v/>
          </cell>
          <cell r="B195" t="str">
            <v/>
          </cell>
          <cell r="C195">
            <v>1193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L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</row>
        <row r="196">
          <cell r="A196" t="str">
            <v/>
          </cell>
          <cell r="B196" t="str">
            <v/>
          </cell>
          <cell r="C196">
            <v>1194</v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L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</row>
        <row r="197">
          <cell r="A197" t="str">
            <v/>
          </cell>
          <cell r="B197" t="str">
            <v/>
          </cell>
          <cell r="C197">
            <v>1195</v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L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</row>
        <row r="198">
          <cell r="A198" t="str">
            <v/>
          </cell>
          <cell r="B198" t="str">
            <v/>
          </cell>
          <cell r="C198">
            <v>1196</v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L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</row>
        <row r="199">
          <cell r="A199" t="str">
            <v/>
          </cell>
          <cell r="B199" t="str">
            <v/>
          </cell>
          <cell r="C199">
            <v>1197</v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L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</row>
        <row r="200">
          <cell r="A200" t="str">
            <v/>
          </cell>
          <cell r="B200" t="str">
            <v/>
          </cell>
          <cell r="C200">
            <v>1198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L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</row>
        <row r="201">
          <cell r="A201" t="str">
            <v/>
          </cell>
          <cell r="B201" t="str">
            <v/>
          </cell>
          <cell r="C201">
            <v>1199</v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L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</row>
        <row r="202">
          <cell r="A202" t="str">
            <v/>
          </cell>
          <cell r="B202" t="str">
            <v/>
          </cell>
          <cell r="C202">
            <v>1200</v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L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</row>
        <row r="203">
          <cell r="A203" t="str">
            <v/>
          </cell>
          <cell r="B203" t="str">
            <v/>
          </cell>
          <cell r="C203">
            <v>1201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L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</row>
        <row r="204">
          <cell r="A204" t="str">
            <v/>
          </cell>
          <cell r="B204" t="str">
            <v/>
          </cell>
          <cell r="C204">
            <v>1202</v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L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</row>
        <row r="205">
          <cell r="A205" t="str">
            <v/>
          </cell>
          <cell r="B205" t="str">
            <v/>
          </cell>
          <cell r="C205">
            <v>1203</v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L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</row>
        <row r="206">
          <cell r="A206" t="str">
            <v/>
          </cell>
          <cell r="B206" t="str">
            <v/>
          </cell>
          <cell r="C206">
            <v>1204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L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</row>
        <row r="207">
          <cell r="A207" t="str">
            <v/>
          </cell>
          <cell r="B207" t="str">
            <v/>
          </cell>
          <cell r="C207">
            <v>1205</v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L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</row>
        <row r="208">
          <cell r="A208" t="str">
            <v/>
          </cell>
          <cell r="B208" t="str">
            <v/>
          </cell>
          <cell r="C208">
            <v>1206</v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L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</row>
        <row r="209">
          <cell r="A209" t="str">
            <v/>
          </cell>
          <cell r="B209" t="str">
            <v/>
          </cell>
          <cell r="C209">
            <v>1207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L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</row>
        <row r="210">
          <cell r="A210" t="str">
            <v/>
          </cell>
          <cell r="B210" t="str">
            <v/>
          </cell>
          <cell r="C210">
            <v>1208</v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L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</row>
        <row r="211">
          <cell r="A211" t="str">
            <v/>
          </cell>
          <cell r="B211" t="str">
            <v/>
          </cell>
          <cell r="C211">
            <v>1209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L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</row>
        <row r="212">
          <cell r="A212" t="str">
            <v/>
          </cell>
          <cell r="B212" t="str">
            <v/>
          </cell>
          <cell r="C212">
            <v>1210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L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</row>
        <row r="213">
          <cell r="A213" t="str">
            <v/>
          </cell>
          <cell r="B213" t="str">
            <v/>
          </cell>
          <cell r="C213">
            <v>1211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L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</row>
        <row r="214">
          <cell r="A214" t="str">
            <v/>
          </cell>
          <cell r="B214" t="str">
            <v/>
          </cell>
          <cell r="C214">
            <v>1212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L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</row>
        <row r="215">
          <cell r="A215" t="str">
            <v/>
          </cell>
          <cell r="B215" t="str">
            <v/>
          </cell>
          <cell r="C215">
            <v>1213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L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</row>
        <row r="216">
          <cell r="A216" t="str">
            <v/>
          </cell>
          <cell r="B216" t="str">
            <v/>
          </cell>
          <cell r="C216">
            <v>1214</v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L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</row>
        <row r="217">
          <cell r="A217" t="str">
            <v/>
          </cell>
          <cell r="B217" t="str">
            <v/>
          </cell>
          <cell r="C217">
            <v>1215</v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L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</row>
        <row r="218">
          <cell r="A218" t="str">
            <v/>
          </cell>
          <cell r="B218" t="str">
            <v/>
          </cell>
          <cell r="C218">
            <v>1216</v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L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</row>
        <row r="219">
          <cell r="A219" t="str">
            <v/>
          </cell>
          <cell r="B219" t="str">
            <v/>
          </cell>
          <cell r="C219">
            <v>1217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L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</row>
        <row r="220">
          <cell r="A220" t="str">
            <v/>
          </cell>
          <cell r="B220" t="str">
            <v/>
          </cell>
          <cell r="C220">
            <v>1218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L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</row>
        <row r="221">
          <cell r="A221" t="str">
            <v/>
          </cell>
          <cell r="B221" t="str">
            <v/>
          </cell>
          <cell r="C221">
            <v>1219</v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L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</row>
        <row r="222">
          <cell r="A222" t="str">
            <v/>
          </cell>
          <cell r="B222" t="str">
            <v/>
          </cell>
          <cell r="C222">
            <v>1220</v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L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</row>
        <row r="223">
          <cell r="A223" t="str">
            <v/>
          </cell>
          <cell r="B223" t="str">
            <v/>
          </cell>
          <cell r="C223">
            <v>1221</v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L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</row>
        <row r="224">
          <cell r="A224" t="str">
            <v/>
          </cell>
          <cell r="B224" t="str">
            <v/>
          </cell>
          <cell r="C224">
            <v>1222</v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L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</row>
        <row r="225">
          <cell r="A225" t="str">
            <v/>
          </cell>
          <cell r="B225" t="str">
            <v/>
          </cell>
          <cell r="C225">
            <v>1223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L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</row>
        <row r="226">
          <cell r="A226" t="str">
            <v/>
          </cell>
          <cell r="B226" t="str">
            <v/>
          </cell>
          <cell r="C226">
            <v>1224</v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L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</row>
        <row r="227">
          <cell r="A227" t="str">
            <v/>
          </cell>
          <cell r="B227" t="str">
            <v/>
          </cell>
          <cell r="C227">
            <v>1225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L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</row>
        <row r="228">
          <cell r="A228" t="str">
            <v/>
          </cell>
          <cell r="B228" t="str">
            <v/>
          </cell>
          <cell r="C228">
            <v>1226</v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L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</row>
        <row r="229">
          <cell r="A229" t="str">
            <v/>
          </cell>
          <cell r="B229" t="str">
            <v/>
          </cell>
          <cell r="C229">
            <v>1227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L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</row>
        <row r="230">
          <cell r="A230" t="str">
            <v/>
          </cell>
          <cell r="B230" t="str">
            <v/>
          </cell>
          <cell r="C230">
            <v>1228</v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L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</row>
        <row r="231">
          <cell r="A231" t="str">
            <v/>
          </cell>
          <cell r="B231" t="str">
            <v/>
          </cell>
          <cell r="C231">
            <v>1229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L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</row>
        <row r="232">
          <cell r="A232" t="str">
            <v/>
          </cell>
          <cell r="B232" t="str">
            <v/>
          </cell>
          <cell r="C232">
            <v>1230</v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L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</row>
        <row r="233">
          <cell r="A233" t="str">
            <v/>
          </cell>
          <cell r="B233" t="str">
            <v/>
          </cell>
          <cell r="C233">
            <v>1231</v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L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</row>
        <row r="234">
          <cell r="A234" t="str">
            <v/>
          </cell>
          <cell r="B234" t="str">
            <v/>
          </cell>
          <cell r="C234">
            <v>1232</v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L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</row>
        <row r="235">
          <cell r="A235" t="str">
            <v/>
          </cell>
          <cell r="B235" t="str">
            <v/>
          </cell>
          <cell r="C235">
            <v>1233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L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</row>
        <row r="236">
          <cell r="A236" t="str">
            <v/>
          </cell>
          <cell r="B236" t="str">
            <v/>
          </cell>
          <cell r="C236">
            <v>1234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L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</row>
        <row r="237">
          <cell r="A237" t="str">
            <v/>
          </cell>
          <cell r="B237" t="str">
            <v/>
          </cell>
          <cell r="C237">
            <v>1235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L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</row>
        <row r="238">
          <cell r="A238" t="str">
            <v/>
          </cell>
          <cell r="B238" t="str">
            <v/>
          </cell>
          <cell r="C238">
            <v>1236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L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</row>
        <row r="239">
          <cell r="A239" t="str">
            <v/>
          </cell>
          <cell r="B239" t="str">
            <v/>
          </cell>
          <cell r="C239">
            <v>1237</v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L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</row>
        <row r="240">
          <cell r="A240" t="str">
            <v/>
          </cell>
          <cell r="B240" t="str">
            <v/>
          </cell>
          <cell r="C240">
            <v>1238</v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L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</row>
        <row r="241">
          <cell r="A241" t="str">
            <v/>
          </cell>
          <cell r="B241" t="str">
            <v/>
          </cell>
          <cell r="C241">
            <v>1239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L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</row>
        <row r="242">
          <cell r="A242" t="str">
            <v/>
          </cell>
          <cell r="B242" t="str">
            <v/>
          </cell>
          <cell r="C242">
            <v>1240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L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</row>
        <row r="243">
          <cell r="A243" t="str">
            <v/>
          </cell>
          <cell r="B243" t="str">
            <v/>
          </cell>
          <cell r="C243">
            <v>1241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L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</row>
        <row r="244">
          <cell r="A244" t="str">
            <v/>
          </cell>
          <cell r="B244" t="str">
            <v/>
          </cell>
          <cell r="C244">
            <v>1242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L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</row>
        <row r="245">
          <cell r="A245" t="str">
            <v/>
          </cell>
          <cell r="B245" t="str">
            <v/>
          </cell>
          <cell r="C245">
            <v>1243</v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L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</row>
        <row r="246">
          <cell r="A246" t="str">
            <v/>
          </cell>
          <cell r="B246" t="str">
            <v/>
          </cell>
          <cell r="C246">
            <v>1244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L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</row>
        <row r="247">
          <cell r="A247" t="str">
            <v/>
          </cell>
          <cell r="B247" t="str">
            <v/>
          </cell>
          <cell r="C247">
            <v>1245</v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L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</row>
        <row r="248">
          <cell r="A248" t="str">
            <v/>
          </cell>
          <cell r="B248" t="str">
            <v/>
          </cell>
          <cell r="C248">
            <v>1246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L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</row>
        <row r="249">
          <cell r="A249" t="str">
            <v/>
          </cell>
          <cell r="B249" t="str">
            <v/>
          </cell>
          <cell r="C249">
            <v>1247</v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L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</row>
        <row r="250">
          <cell r="A250" t="str">
            <v/>
          </cell>
          <cell r="B250" t="str">
            <v/>
          </cell>
          <cell r="C250">
            <v>1248</v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L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</row>
        <row r="251">
          <cell r="A251" t="str">
            <v/>
          </cell>
          <cell r="B251" t="str">
            <v/>
          </cell>
          <cell r="C251">
            <v>1249</v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L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</row>
        <row r="252">
          <cell r="A252" t="str">
            <v/>
          </cell>
          <cell r="B252" t="str">
            <v/>
          </cell>
          <cell r="C252">
            <v>1250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L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</row>
        <row r="253">
          <cell r="A253" t="str">
            <v/>
          </cell>
          <cell r="B253" t="str">
            <v/>
          </cell>
          <cell r="C253">
            <v>1251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L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</row>
        <row r="254">
          <cell r="A254" t="str">
            <v/>
          </cell>
          <cell r="B254" t="str">
            <v/>
          </cell>
          <cell r="C254">
            <v>1252</v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L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</row>
        <row r="255">
          <cell r="A255" t="str">
            <v/>
          </cell>
          <cell r="B255" t="str">
            <v/>
          </cell>
          <cell r="C255">
            <v>1253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L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</row>
        <row r="256">
          <cell r="A256" t="str">
            <v/>
          </cell>
          <cell r="B256" t="str">
            <v/>
          </cell>
          <cell r="C256">
            <v>1254</v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L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</row>
        <row r="257">
          <cell r="A257" t="str">
            <v/>
          </cell>
          <cell r="B257" t="str">
            <v/>
          </cell>
          <cell r="C257">
            <v>1255</v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L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</row>
        <row r="258">
          <cell r="A258" t="str">
            <v/>
          </cell>
          <cell r="B258" t="str">
            <v/>
          </cell>
          <cell r="C258">
            <v>1256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L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</row>
        <row r="259">
          <cell r="A259" t="str">
            <v/>
          </cell>
          <cell r="B259" t="str">
            <v/>
          </cell>
          <cell r="C259">
            <v>1257</v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L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</row>
        <row r="260">
          <cell r="A260" t="str">
            <v/>
          </cell>
          <cell r="B260" t="str">
            <v/>
          </cell>
          <cell r="C260">
            <v>1258</v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L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</row>
        <row r="261">
          <cell r="A261" t="str">
            <v/>
          </cell>
          <cell r="B261" t="str">
            <v/>
          </cell>
          <cell r="C261">
            <v>1259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L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</row>
        <row r="262">
          <cell r="A262" t="str">
            <v/>
          </cell>
          <cell r="B262" t="str">
            <v/>
          </cell>
          <cell r="C262">
            <v>1260</v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L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</row>
        <row r="263">
          <cell r="A263" t="str">
            <v/>
          </cell>
          <cell r="B263" t="str">
            <v/>
          </cell>
          <cell r="C263">
            <v>1261</v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L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</row>
        <row r="264">
          <cell r="A264" t="str">
            <v/>
          </cell>
          <cell r="B264" t="str">
            <v/>
          </cell>
          <cell r="C264">
            <v>1262</v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L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</row>
        <row r="265">
          <cell r="A265" t="str">
            <v/>
          </cell>
          <cell r="B265" t="str">
            <v/>
          </cell>
          <cell r="C265">
            <v>1263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L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</row>
        <row r="266">
          <cell r="A266" t="str">
            <v/>
          </cell>
          <cell r="B266" t="str">
            <v/>
          </cell>
          <cell r="C266">
            <v>1264</v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L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</row>
        <row r="267">
          <cell r="A267" t="str">
            <v/>
          </cell>
          <cell r="B267" t="str">
            <v/>
          </cell>
          <cell r="C267">
            <v>1265</v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L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</row>
        <row r="268">
          <cell r="A268" t="str">
            <v/>
          </cell>
          <cell r="B268" t="str">
            <v/>
          </cell>
          <cell r="C268">
            <v>1266</v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L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</row>
        <row r="269">
          <cell r="A269" t="str">
            <v/>
          </cell>
          <cell r="B269" t="str">
            <v/>
          </cell>
          <cell r="C269">
            <v>1267</v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L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</row>
        <row r="270">
          <cell r="A270" t="str">
            <v/>
          </cell>
          <cell r="B270" t="str">
            <v/>
          </cell>
          <cell r="C270">
            <v>1268</v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L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</row>
        <row r="271">
          <cell r="A271" t="str">
            <v/>
          </cell>
          <cell r="B271" t="str">
            <v/>
          </cell>
          <cell r="C271">
            <v>1269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L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</row>
        <row r="272">
          <cell r="A272" t="str">
            <v/>
          </cell>
          <cell r="B272" t="str">
            <v/>
          </cell>
          <cell r="C272">
            <v>1270</v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L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</row>
        <row r="273">
          <cell r="A273" t="str">
            <v/>
          </cell>
          <cell r="B273" t="str">
            <v/>
          </cell>
          <cell r="C273">
            <v>1271</v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L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</row>
        <row r="274">
          <cell r="A274" t="str">
            <v/>
          </cell>
          <cell r="B274" t="str">
            <v/>
          </cell>
          <cell r="C274">
            <v>1272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L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</row>
        <row r="275">
          <cell r="A275" t="str">
            <v/>
          </cell>
          <cell r="B275" t="str">
            <v/>
          </cell>
          <cell r="C275">
            <v>1273</v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L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</row>
        <row r="276">
          <cell r="A276" t="str">
            <v/>
          </cell>
          <cell r="B276" t="str">
            <v/>
          </cell>
          <cell r="C276">
            <v>1274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L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</row>
        <row r="277">
          <cell r="A277" t="str">
            <v/>
          </cell>
          <cell r="B277" t="str">
            <v/>
          </cell>
          <cell r="C277">
            <v>1275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L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</row>
        <row r="278">
          <cell r="A278" t="str">
            <v/>
          </cell>
          <cell r="B278" t="str">
            <v/>
          </cell>
          <cell r="C278">
            <v>1276</v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L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</row>
        <row r="279">
          <cell r="A279" t="str">
            <v/>
          </cell>
          <cell r="B279" t="str">
            <v/>
          </cell>
          <cell r="C279">
            <v>1277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L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</row>
        <row r="280">
          <cell r="A280" t="str">
            <v/>
          </cell>
          <cell r="B280" t="str">
            <v/>
          </cell>
          <cell r="C280">
            <v>1278</v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L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</row>
        <row r="281">
          <cell r="A281" t="str">
            <v/>
          </cell>
          <cell r="B281" t="str">
            <v/>
          </cell>
          <cell r="C281">
            <v>1279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L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</row>
        <row r="282">
          <cell r="A282" t="str">
            <v/>
          </cell>
          <cell r="B282" t="str">
            <v/>
          </cell>
          <cell r="C282">
            <v>1280</v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L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</row>
        <row r="283">
          <cell r="A283" t="str">
            <v/>
          </cell>
          <cell r="B283" t="str">
            <v/>
          </cell>
          <cell r="C283">
            <v>1281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L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</row>
        <row r="284">
          <cell r="A284" t="str">
            <v/>
          </cell>
          <cell r="B284" t="str">
            <v/>
          </cell>
          <cell r="C284">
            <v>1282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L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</row>
        <row r="285">
          <cell r="A285" t="str">
            <v/>
          </cell>
          <cell r="B285" t="str">
            <v/>
          </cell>
          <cell r="C285">
            <v>1283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L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</row>
        <row r="286">
          <cell r="A286" t="str">
            <v/>
          </cell>
          <cell r="B286" t="str">
            <v/>
          </cell>
          <cell r="C286">
            <v>1284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L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</row>
        <row r="287">
          <cell r="A287" t="str">
            <v/>
          </cell>
          <cell r="B287" t="str">
            <v/>
          </cell>
          <cell r="C287">
            <v>1285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L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</row>
        <row r="288">
          <cell r="A288" t="str">
            <v/>
          </cell>
          <cell r="B288" t="str">
            <v/>
          </cell>
          <cell r="C288">
            <v>1286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L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</row>
        <row r="289">
          <cell r="A289" t="str">
            <v/>
          </cell>
          <cell r="B289" t="str">
            <v/>
          </cell>
          <cell r="C289">
            <v>1287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L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</row>
        <row r="290">
          <cell r="A290" t="str">
            <v/>
          </cell>
          <cell r="B290" t="str">
            <v/>
          </cell>
          <cell r="C290">
            <v>1288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L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</row>
        <row r="291">
          <cell r="A291" t="str">
            <v/>
          </cell>
          <cell r="B291" t="str">
            <v/>
          </cell>
          <cell r="C291">
            <v>1289</v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L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</row>
        <row r="292">
          <cell r="A292" t="str">
            <v/>
          </cell>
          <cell r="B292" t="str">
            <v/>
          </cell>
          <cell r="C292">
            <v>1290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L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</row>
        <row r="293">
          <cell r="A293" t="str">
            <v/>
          </cell>
          <cell r="B293" t="str">
            <v/>
          </cell>
          <cell r="C293">
            <v>1291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L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</row>
        <row r="294">
          <cell r="A294" t="str">
            <v/>
          </cell>
          <cell r="B294" t="str">
            <v/>
          </cell>
          <cell r="C294">
            <v>1292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L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</row>
        <row r="295">
          <cell r="A295" t="str">
            <v/>
          </cell>
          <cell r="B295" t="str">
            <v/>
          </cell>
          <cell r="C295">
            <v>1293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L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</row>
        <row r="296">
          <cell r="A296" t="str">
            <v/>
          </cell>
          <cell r="B296" t="str">
            <v/>
          </cell>
          <cell r="C296">
            <v>1294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L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</row>
        <row r="297">
          <cell r="A297" t="str">
            <v/>
          </cell>
          <cell r="B297" t="str">
            <v/>
          </cell>
          <cell r="C297">
            <v>1295</v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L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</row>
        <row r="298">
          <cell r="A298" t="str">
            <v/>
          </cell>
          <cell r="B298" t="str">
            <v/>
          </cell>
          <cell r="C298">
            <v>1296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L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</row>
        <row r="299">
          <cell r="A299" t="str">
            <v/>
          </cell>
          <cell r="B299" t="str">
            <v/>
          </cell>
          <cell r="C299">
            <v>1297</v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L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</row>
        <row r="300">
          <cell r="A300" t="str">
            <v/>
          </cell>
          <cell r="B300" t="str">
            <v/>
          </cell>
          <cell r="C300">
            <v>1298</v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L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</row>
        <row r="301">
          <cell r="A301" t="str">
            <v/>
          </cell>
          <cell r="B301" t="str">
            <v/>
          </cell>
          <cell r="C301">
            <v>1299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L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</row>
        <row r="302">
          <cell r="A302" t="str">
            <v/>
          </cell>
          <cell r="B302" t="str">
            <v/>
          </cell>
          <cell r="C302">
            <v>1300</v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L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</row>
        <row r="303">
          <cell r="A303" t="str">
            <v/>
          </cell>
          <cell r="B303" t="str">
            <v/>
          </cell>
          <cell r="C303">
            <v>1301</v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L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</row>
        <row r="304">
          <cell r="A304" t="str">
            <v/>
          </cell>
          <cell r="B304" t="str">
            <v/>
          </cell>
          <cell r="C304">
            <v>1302</v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L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</row>
        <row r="305">
          <cell r="A305" t="str">
            <v/>
          </cell>
          <cell r="B305" t="str">
            <v/>
          </cell>
          <cell r="C305">
            <v>1303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L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</row>
        <row r="306">
          <cell r="A306" t="str">
            <v/>
          </cell>
          <cell r="B306" t="str">
            <v/>
          </cell>
          <cell r="C306">
            <v>1304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L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</row>
        <row r="307">
          <cell r="A307" t="str">
            <v/>
          </cell>
          <cell r="B307" t="str">
            <v/>
          </cell>
          <cell r="C307">
            <v>1305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L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</row>
        <row r="308">
          <cell r="A308" t="str">
            <v/>
          </cell>
          <cell r="B308" t="str">
            <v/>
          </cell>
          <cell r="C308">
            <v>1306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L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</row>
        <row r="309">
          <cell r="A309" t="str">
            <v/>
          </cell>
          <cell r="B309" t="str">
            <v/>
          </cell>
          <cell r="C309">
            <v>1307</v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L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</row>
        <row r="310">
          <cell r="A310" t="str">
            <v/>
          </cell>
          <cell r="B310" t="str">
            <v/>
          </cell>
          <cell r="C310">
            <v>1308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L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</row>
        <row r="311">
          <cell r="A311" t="str">
            <v/>
          </cell>
          <cell r="B311" t="str">
            <v/>
          </cell>
          <cell r="C311">
            <v>1309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L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</row>
        <row r="312">
          <cell r="A312" t="str">
            <v/>
          </cell>
          <cell r="B312" t="str">
            <v/>
          </cell>
          <cell r="C312">
            <v>1310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L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</row>
        <row r="313">
          <cell r="A313" t="str">
            <v/>
          </cell>
          <cell r="B313" t="str">
            <v/>
          </cell>
          <cell r="C313">
            <v>1311</v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L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</row>
        <row r="314">
          <cell r="A314" t="str">
            <v/>
          </cell>
          <cell r="B314" t="str">
            <v/>
          </cell>
          <cell r="C314">
            <v>1312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L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</row>
        <row r="315">
          <cell r="A315" t="str">
            <v/>
          </cell>
          <cell r="B315" t="str">
            <v/>
          </cell>
          <cell r="C315">
            <v>1313</v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L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</row>
        <row r="316">
          <cell r="A316" t="str">
            <v/>
          </cell>
          <cell r="B316" t="str">
            <v/>
          </cell>
          <cell r="C316">
            <v>1314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L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</row>
        <row r="317">
          <cell r="A317" t="str">
            <v/>
          </cell>
          <cell r="B317" t="str">
            <v/>
          </cell>
          <cell r="C317">
            <v>1315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L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  <cell r="Z317" t="str">
            <v/>
          </cell>
        </row>
        <row r="318">
          <cell r="A318" t="str">
            <v/>
          </cell>
          <cell r="B318" t="str">
            <v/>
          </cell>
          <cell r="C318">
            <v>1316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L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  <cell r="Z318" t="str">
            <v/>
          </cell>
        </row>
        <row r="319">
          <cell r="A319" t="str">
            <v/>
          </cell>
          <cell r="B319" t="str">
            <v/>
          </cell>
          <cell r="C319">
            <v>1317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L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</row>
        <row r="320">
          <cell r="A320" t="str">
            <v/>
          </cell>
          <cell r="B320" t="str">
            <v/>
          </cell>
          <cell r="C320">
            <v>1318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L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</row>
        <row r="321">
          <cell r="A321" t="str">
            <v/>
          </cell>
          <cell r="B321" t="str">
            <v/>
          </cell>
          <cell r="C321">
            <v>1319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L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</row>
        <row r="322">
          <cell r="A322" t="str">
            <v/>
          </cell>
          <cell r="B322" t="str">
            <v/>
          </cell>
          <cell r="C322">
            <v>1320</v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L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</row>
        <row r="323">
          <cell r="A323" t="str">
            <v/>
          </cell>
          <cell r="B323" t="str">
            <v/>
          </cell>
          <cell r="C323">
            <v>1321</v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L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</row>
        <row r="324">
          <cell r="A324" t="str">
            <v/>
          </cell>
          <cell r="B324" t="str">
            <v/>
          </cell>
          <cell r="C324">
            <v>1322</v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L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</row>
        <row r="325">
          <cell r="A325" t="str">
            <v/>
          </cell>
          <cell r="B325" t="str">
            <v/>
          </cell>
          <cell r="C325">
            <v>1323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L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</row>
        <row r="326">
          <cell r="A326" t="str">
            <v/>
          </cell>
          <cell r="B326" t="str">
            <v/>
          </cell>
          <cell r="C326">
            <v>1324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L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</row>
        <row r="327">
          <cell r="A327" t="str">
            <v/>
          </cell>
          <cell r="B327" t="str">
            <v/>
          </cell>
          <cell r="C327">
            <v>1325</v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L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</row>
        <row r="328">
          <cell r="A328" t="str">
            <v/>
          </cell>
          <cell r="B328" t="str">
            <v/>
          </cell>
          <cell r="C328">
            <v>1326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L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</row>
        <row r="329">
          <cell r="A329" t="str">
            <v/>
          </cell>
          <cell r="B329" t="str">
            <v/>
          </cell>
          <cell r="C329">
            <v>1327</v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L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</row>
        <row r="330">
          <cell r="A330" t="str">
            <v/>
          </cell>
          <cell r="B330" t="str">
            <v/>
          </cell>
          <cell r="C330">
            <v>1328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L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</row>
        <row r="331">
          <cell r="A331" t="str">
            <v/>
          </cell>
          <cell r="B331" t="str">
            <v/>
          </cell>
          <cell r="C331">
            <v>1329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L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</row>
        <row r="332">
          <cell r="A332" t="str">
            <v/>
          </cell>
          <cell r="B332" t="str">
            <v/>
          </cell>
          <cell r="C332">
            <v>1330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L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</row>
        <row r="333">
          <cell r="A333" t="str">
            <v/>
          </cell>
          <cell r="B333" t="str">
            <v/>
          </cell>
          <cell r="C333">
            <v>1331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L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</row>
        <row r="334">
          <cell r="A334" t="str">
            <v/>
          </cell>
          <cell r="B334" t="str">
            <v/>
          </cell>
          <cell r="C334">
            <v>1332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L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</row>
        <row r="335">
          <cell r="A335" t="str">
            <v/>
          </cell>
          <cell r="B335" t="str">
            <v/>
          </cell>
          <cell r="C335">
            <v>1333</v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L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</row>
        <row r="336">
          <cell r="A336" t="str">
            <v/>
          </cell>
          <cell r="B336" t="str">
            <v/>
          </cell>
          <cell r="C336">
            <v>1334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L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</row>
        <row r="337">
          <cell r="A337" t="str">
            <v/>
          </cell>
          <cell r="B337" t="str">
            <v/>
          </cell>
          <cell r="C337">
            <v>1335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L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</row>
        <row r="338">
          <cell r="A338" t="str">
            <v/>
          </cell>
          <cell r="B338" t="str">
            <v/>
          </cell>
          <cell r="C338">
            <v>1336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L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</row>
        <row r="339">
          <cell r="A339" t="str">
            <v/>
          </cell>
          <cell r="B339" t="str">
            <v/>
          </cell>
          <cell r="C339">
            <v>1337</v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L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</row>
        <row r="340">
          <cell r="A340" t="str">
            <v/>
          </cell>
          <cell r="B340" t="str">
            <v/>
          </cell>
          <cell r="C340">
            <v>1338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L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</row>
        <row r="341">
          <cell r="A341" t="str">
            <v/>
          </cell>
          <cell r="B341" t="str">
            <v/>
          </cell>
          <cell r="C341">
            <v>1339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L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</row>
        <row r="342">
          <cell r="A342" t="str">
            <v/>
          </cell>
          <cell r="B342" t="str">
            <v/>
          </cell>
          <cell r="C342">
            <v>1340</v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L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</row>
        <row r="343">
          <cell r="A343" t="str">
            <v/>
          </cell>
          <cell r="B343" t="str">
            <v/>
          </cell>
          <cell r="C343">
            <v>1341</v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L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</row>
        <row r="344">
          <cell r="A344" t="str">
            <v/>
          </cell>
          <cell r="B344" t="str">
            <v/>
          </cell>
          <cell r="C344">
            <v>1342</v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L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</row>
        <row r="345">
          <cell r="A345" t="str">
            <v/>
          </cell>
          <cell r="B345" t="str">
            <v/>
          </cell>
          <cell r="C345">
            <v>1343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L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</row>
        <row r="346">
          <cell r="A346" t="str">
            <v/>
          </cell>
          <cell r="B346" t="str">
            <v/>
          </cell>
          <cell r="C346">
            <v>1344</v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L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</row>
        <row r="347">
          <cell r="A347" t="str">
            <v/>
          </cell>
          <cell r="B347" t="str">
            <v/>
          </cell>
          <cell r="C347">
            <v>1345</v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L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</row>
        <row r="348">
          <cell r="A348" t="str">
            <v/>
          </cell>
          <cell r="B348" t="str">
            <v/>
          </cell>
          <cell r="C348">
            <v>1346</v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L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</row>
        <row r="349">
          <cell r="A349" t="str">
            <v/>
          </cell>
          <cell r="B349" t="str">
            <v/>
          </cell>
          <cell r="C349">
            <v>1347</v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L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</row>
        <row r="350">
          <cell r="A350" t="str">
            <v/>
          </cell>
          <cell r="B350" t="str">
            <v/>
          </cell>
          <cell r="C350">
            <v>1348</v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L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</row>
        <row r="351">
          <cell r="A351" t="str">
            <v/>
          </cell>
          <cell r="B351" t="str">
            <v/>
          </cell>
          <cell r="C351">
            <v>1349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L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</row>
        <row r="352">
          <cell r="A352" t="str">
            <v/>
          </cell>
          <cell r="B352" t="str">
            <v/>
          </cell>
          <cell r="C352">
            <v>1350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L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</row>
        <row r="353">
          <cell r="A353" t="str">
            <v/>
          </cell>
          <cell r="B353" t="str">
            <v/>
          </cell>
          <cell r="C353">
            <v>1351</v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L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</row>
        <row r="354">
          <cell r="A354" t="str">
            <v/>
          </cell>
          <cell r="B354" t="str">
            <v/>
          </cell>
          <cell r="C354">
            <v>1352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L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</row>
        <row r="355">
          <cell r="A355" t="str">
            <v/>
          </cell>
          <cell r="B355" t="str">
            <v/>
          </cell>
          <cell r="C355">
            <v>1353</v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L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</row>
        <row r="356">
          <cell r="A356" t="str">
            <v/>
          </cell>
          <cell r="B356" t="str">
            <v/>
          </cell>
          <cell r="C356">
            <v>1354</v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L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</row>
        <row r="357">
          <cell r="A357" t="str">
            <v/>
          </cell>
          <cell r="B357" t="str">
            <v/>
          </cell>
          <cell r="C357">
            <v>1355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L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</row>
        <row r="358">
          <cell r="A358" t="str">
            <v/>
          </cell>
          <cell r="B358" t="str">
            <v/>
          </cell>
          <cell r="C358">
            <v>1356</v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L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</row>
        <row r="359">
          <cell r="A359" t="str">
            <v/>
          </cell>
          <cell r="B359" t="str">
            <v/>
          </cell>
          <cell r="C359">
            <v>1357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L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</row>
        <row r="360">
          <cell r="A360" t="str">
            <v/>
          </cell>
          <cell r="B360" t="str">
            <v/>
          </cell>
          <cell r="C360">
            <v>1358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L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</row>
        <row r="361">
          <cell r="A361" t="str">
            <v/>
          </cell>
          <cell r="B361" t="str">
            <v/>
          </cell>
          <cell r="C361">
            <v>1359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L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</row>
        <row r="362">
          <cell r="A362" t="str">
            <v/>
          </cell>
          <cell r="B362" t="str">
            <v/>
          </cell>
          <cell r="C362">
            <v>1360</v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L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</row>
        <row r="363">
          <cell r="A363" t="str">
            <v/>
          </cell>
          <cell r="B363" t="str">
            <v/>
          </cell>
          <cell r="C363">
            <v>1361</v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L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</row>
        <row r="364">
          <cell r="A364" t="str">
            <v/>
          </cell>
          <cell r="B364" t="str">
            <v/>
          </cell>
          <cell r="C364">
            <v>1362</v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L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</row>
        <row r="365">
          <cell r="A365" t="str">
            <v/>
          </cell>
          <cell r="B365" t="str">
            <v/>
          </cell>
          <cell r="C365">
            <v>1363</v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L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</row>
        <row r="366">
          <cell r="A366" t="str">
            <v/>
          </cell>
          <cell r="B366" t="str">
            <v/>
          </cell>
          <cell r="C366">
            <v>1364</v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L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</row>
        <row r="367">
          <cell r="A367" t="str">
            <v/>
          </cell>
          <cell r="B367" t="str">
            <v/>
          </cell>
          <cell r="C367">
            <v>1365</v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L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</row>
        <row r="368">
          <cell r="A368" t="str">
            <v/>
          </cell>
          <cell r="B368" t="str">
            <v/>
          </cell>
          <cell r="C368">
            <v>1366</v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L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</row>
        <row r="369">
          <cell r="A369" t="str">
            <v/>
          </cell>
          <cell r="B369" t="str">
            <v/>
          </cell>
          <cell r="C369">
            <v>1367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L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</row>
        <row r="370">
          <cell r="A370" t="str">
            <v/>
          </cell>
          <cell r="B370" t="str">
            <v/>
          </cell>
          <cell r="C370">
            <v>1368</v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L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</row>
        <row r="371">
          <cell r="A371" t="str">
            <v/>
          </cell>
          <cell r="B371" t="str">
            <v/>
          </cell>
          <cell r="C371">
            <v>1369</v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L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</row>
        <row r="372">
          <cell r="A372" t="str">
            <v/>
          </cell>
          <cell r="B372" t="str">
            <v/>
          </cell>
          <cell r="C372">
            <v>1370</v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L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</row>
        <row r="373">
          <cell r="A373" t="str">
            <v/>
          </cell>
          <cell r="B373" t="str">
            <v/>
          </cell>
          <cell r="C373">
            <v>1371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L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</row>
        <row r="374">
          <cell r="A374" t="str">
            <v/>
          </cell>
          <cell r="B374" t="str">
            <v/>
          </cell>
          <cell r="C374">
            <v>1372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L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</row>
        <row r="375">
          <cell r="A375" t="str">
            <v/>
          </cell>
          <cell r="B375" t="str">
            <v/>
          </cell>
          <cell r="C375">
            <v>1373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L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</row>
        <row r="376">
          <cell r="A376" t="str">
            <v/>
          </cell>
          <cell r="B376" t="str">
            <v/>
          </cell>
          <cell r="C376">
            <v>1374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L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</row>
        <row r="377">
          <cell r="A377" t="str">
            <v/>
          </cell>
          <cell r="B377" t="str">
            <v/>
          </cell>
          <cell r="C377">
            <v>1375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L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</row>
        <row r="378">
          <cell r="A378" t="str">
            <v/>
          </cell>
          <cell r="B378" t="str">
            <v/>
          </cell>
          <cell r="C378">
            <v>1376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L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</row>
        <row r="379">
          <cell r="A379" t="str">
            <v/>
          </cell>
          <cell r="B379" t="str">
            <v/>
          </cell>
          <cell r="C379">
            <v>1377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L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</row>
        <row r="380">
          <cell r="A380" t="str">
            <v/>
          </cell>
          <cell r="B380" t="str">
            <v/>
          </cell>
          <cell r="C380">
            <v>1378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L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</row>
        <row r="381">
          <cell r="A381" t="str">
            <v/>
          </cell>
          <cell r="B381" t="str">
            <v/>
          </cell>
          <cell r="C381">
            <v>1379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L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</row>
        <row r="382">
          <cell r="A382" t="str">
            <v/>
          </cell>
          <cell r="B382" t="str">
            <v/>
          </cell>
          <cell r="C382">
            <v>1380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L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</row>
        <row r="383">
          <cell r="A383" t="str">
            <v/>
          </cell>
          <cell r="B383" t="str">
            <v/>
          </cell>
          <cell r="C383">
            <v>1381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L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</row>
        <row r="384">
          <cell r="A384" t="str">
            <v/>
          </cell>
          <cell r="B384" t="str">
            <v/>
          </cell>
          <cell r="C384">
            <v>1382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L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</row>
        <row r="385">
          <cell r="A385" t="str">
            <v/>
          </cell>
          <cell r="B385" t="str">
            <v/>
          </cell>
          <cell r="C385">
            <v>1383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L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</row>
        <row r="386">
          <cell r="A386" t="str">
            <v/>
          </cell>
          <cell r="B386" t="str">
            <v/>
          </cell>
          <cell r="C386">
            <v>1384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L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</row>
        <row r="387">
          <cell r="A387" t="str">
            <v/>
          </cell>
          <cell r="B387" t="str">
            <v/>
          </cell>
          <cell r="C387">
            <v>1385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L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</row>
        <row r="388">
          <cell r="A388" t="str">
            <v/>
          </cell>
          <cell r="B388" t="str">
            <v/>
          </cell>
          <cell r="C388">
            <v>1386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L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</row>
        <row r="389">
          <cell r="A389" t="str">
            <v/>
          </cell>
          <cell r="B389" t="str">
            <v/>
          </cell>
          <cell r="C389">
            <v>1387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L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</row>
        <row r="390">
          <cell r="A390" t="str">
            <v/>
          </cell>
          <cell r="B390" t="str">
            <v/>
          </cell>
          <cell r="C390">
            <v>1388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L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</row>
        <row r="391">
          <cell r="A391" t="str">
            <v/>
          </cell>
          <cell r="B391" t="str">
            <v/>
          </cell>
          <cell r="C391">
            <v>1389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L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</row>
        <row r="392">
          <cell r="A392" t="str">
            <v/>
          </cell>
          <cell r="B392" t="str">
            <v/>
          </cell>
          <cell r="C392">
            <v>1390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L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</row>
        <row r="393">
          <cell r="A393" t="str">
            <v/>
          </cell>
          <cell r="B393" t="str">
            <v/>
          </cell>
          <cell r="C393">
            <v>1391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L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</row>
        <row r="394">
          <cell r="A394" t="str">
            <v/>
          </cell>
          <cell r="B394" t="str">
            <v/>
          </cell>
          <cell r="C394">
            <v>1392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L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</row>
        <row r="395">
          <cell r="A395" t="str">
            <v/>
          </cell>
          <cell r="B395" t="str">
            <v/>
          </cell>
          <cell r="C395">
            <v>1393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L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</row>
        <row r="396">
          <cell r="A396" t="str">
            <v/>
          </cell>
          <cell r="B396" t="str">
            <v/>
          </cell>
          <cell r="C396">
            <v>1394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L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</row>
        <row r="397">
          <cell r="A397" t="str">
            <v/>
          </cell>
          <cell r="B397" t="str">
            <v/>
          </cell>
          <cell r="C397">
            <v>1395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L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</row>
        <row r="398">
          <cell r="A398" t="str">
            <v/>
          </cell>
          <cell r="B398" t="str">
            <v/>
          </cell>
          <cell r="C398">
            <v>1396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L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</row>
        <row r="399">
          <cell r="A399" t="str">
            <v/>
          </cell>
          <cell r="B399" t="str">
            <v/>
          </cell>
          <cell r="C399">
            <v>1397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L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</row>
        <row r="400">
          <cell r="A400" t="str">
            <v/>
          </cell>
          <cell r="B400" t="str">
            <v/>
          </cell>
          <cell r="C400">
            <v>1398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L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</row>
        <row r="401">
          <cell r="A401" t="str">
            <v/>
          </cell>
          <cell r="B401" t="str">
            <v/>
          </cell>
          <cell r="C401">
            <v>1399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L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</row>
        <row r="402">
          <cell r="A402" t="str">
            <v/>
          </cell>
          <cell r="B402" t="str">
            <v/>
          </cell>
          <cell r="C402">
            <v>1400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L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</row>
        <row r="403">
          <cell r="A403" t="str">
            <v/>
          </cell>
          <cell r="B403" t="str">
            <v/>
          </cell>
          <cell r="C403">
            <v>1401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L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</row>
        <row r="404">
          <cell r="A404" t="str">
            <v/>
          </cell>
          <cell r="B404" t="str">
            <v/>
          </cell>
          <cell r="C404">
            <v>1402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L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</row>
        <row r="405">
          <cell r="A405" t="str">
            <v/>
          </cell>
          <cell r="B405" t="str">
            <v/>
          </cell>
          <cell r="C405">
            <v>1403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L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</row>
        <row r="406">
          <cell r="A406" t="str">
            <v/>
          </cell>
          <cell r="B406" t="str">
            <v/>
          </cell>
          <cell r="C406">
            <v>1404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L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</row>
        <row r="407">
          <cell r="A407" t="str">
            <v/>
          </cell>
          <cell r="B407" t="str">
            <v/>
          </cell>
          <cell r="C407">
            <v>1405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L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</row>
        <row r="408">
          <cell r="A408" t="str">
            <v/>
          </cell>
          <cell r="B408" t="str">
            <v/>
          </cell>
          <cell r="C408">
            <v>1406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L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</row>
        <row r="409">
          <cell r="A409" t="str">
            <v/>
          </cell>
          <cell r="B409" t="str">
            <v/>
          </cell>
          <cell r="C409">
            <v>1407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L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</row>
        <row r="410">
          <cell r="A410" t="str">
            <v/>
          </cell>
          <cell r="B410" t="str">
            <v/>
          </cell>
          <cell r="C410">
            <v>1408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L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</row>
        <row r="411">
          <cell r="A411" t="str">
            <v/>
          </cell>
          <cell r="B411" t="str">
            <v/>
          </cell>
          <cell r="C411">
            <v>1409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L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</row>
        <row r="412">
          <cell r="A412" t="str">
            <v/>
          </cell>
          <cell r="B412" t="str">
            <v/>
          </cell>
          <cell r="C412">
            <v>1410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L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</row>
        <row r="413">
          <cell r="A413" t="str">
            <v/>
          </cell>
          <cell r="B413" t="str">
            <v/>
          </cell>
          <cell r="C413">
            <v>1411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L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</row>
        <row r="414">
          <cell r="A414" t="str">
            <v/>
          </cell>
          <cell r="B414" t="str">
            <v/>
          </cell>
          <cell r="C414">
            <v>1412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L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</row>
        <row r="415">
          <cell r="A415" t="str">
            <v/>
          </cell>
          <cell r="B415" t="str">
            <v/>
          </cell>
          <cell r="C415">
            <v>1413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L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</row>
        <row r="416">
          <cell r="A416" t="str">
            <v/>
          </cell>
          <cell r="B416" t="str">
            <v/>
          </cell>
          <cell r="C416">
            <v>1414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L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</row>
        <row r="417">
          <cell r="A417" t="str">
            <v/>
          </cell>
          <cell r="B417" t="str">
            <v/>
          </cell>
          <cell r="C417">
            <v>1415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L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</row>
        <row r="418">
          <cell r="A418" t="str">
            <v/>
          </cell>
          <cell r="B418" t="str">
            <v/>
          </cell>
          <cell r="C418">
            <v>1416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L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</row>
        <row r="419">
          <cell r="A419" t="str">
            <v/>
          </cell>
          <cell r="B419" t="str">
            <v/>
          </cell>
          <cell r="C419">
            <v>1417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L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</row>
        <row r="420">
          <cell r="A420" t="str">
            <v/>
          </cell>
          <cell r="B420" t="str">
            <v/>
          </cell>
          <cell r="C420">
            <v>1418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L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</row>
        <row r="421">
          <cell r="A421" t="str">
            <v/>
          </cell>
          <cell r="B421" t="str">
            <v/>
          </cell>
          <cell r="C421">
            <v>1419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L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</row>
        <row r="422">
          <cell r="A422" t="str">
            <v/>
          </cell>
          <cell r="B422" t="str">
            <v/>
          </cell>
          <cell r="C422">
            <v>1420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L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</row>
        <row r="423">
          <cell r="A423" t="str">
            <v/>
          </cell>
          <cell r="B423" t="str">
            <v/>
          </cell>
          <cell r="C423">
            <v>1421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L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</row>
        <row r="424">
          <cell r="A424" t="str">
            <v/>
          </cell>
          <cell r="B424" t="str">
            <v/>
          </cell>
          <cell r="C424">
            <v>1422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L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</row>
        <row r="425">
          <cell r="A425" t="str">
            <v/>
          </cell>
          <cell r="B425" t="str">
            <v/>
          </cell>
          <cell r="C425">
            <v>1423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L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</row>
        <row r="426">
          <cell r="A426" t="str">
            <v/>
          </cell>
          <cell r="B426" t="str">
            <v/>
          </cell>
          <cell r="C426">
            <v>1424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L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</row>
        <row r="427">
          <cell r="A427" t="str">
            <v/>
          </cell>
          <cell r="B427" t="str">
            <v/>
          </cell>
          <cell r="C427">
            <v>1425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L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</row>
        <row r="428">
          <cell r="A428" t="str">
            <v/>
          </cell>
          <cell r="B428" t="str">
            <v/>
          </cell>
          <cell r="C428">
            <v>1426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L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</row>
        <row r="429">
          <cell r="A429" t="str">
            <v/>
          </cell>
          <cell r="B429" t="str">
            <v/>
          </cell>
          <cell r="C429">
            <v>1427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L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</row>
        <row r="430">
          <cell r="A430" t="str">
            <v/>
          </cell>
          <cell r="B430" t="str">
            <v/>
          </cell>
          <cell r="C430">
            <v>1428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L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</row>
        <row r="431">
          <cell r="A431" t="str">
            <v/>
          </cell>
          <cell r="B431" t="str">
            <v/>
          </cell>
          <cell r="C431">
            <v>1429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L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</row>
        <row r="432">
          <cell r="A432" t="str">
            <v/>
          </cell>
          <cell r="B432" t="str">
            <v/>
          </cell>
          <cell r="C432">
            <v>1430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L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</row>
        <row r="433">
          <cell r="A433" t="str">
            <v/>
          </cell>
          <cell r="B433" t="str">
            <v/>
          </cell>
          <cell r="C433">
            <v>1431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L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</row>
        <row r="434">
          <cell r="A434" t="str">
            <v/>
          </cell>
          <cell r="B434" t="str">
            <v/>
          </cell>
          <cell r="C434">
            <v>1432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L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</row>
        <row r="435">
          <cell r="A435" t="str">
            <v/>
          </cell>
          <cell r="B435" t="str">
            <v/>
          </cell>
          <cell r="C435">
            <v>1433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L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</row>
        <row r="436">
          <cell r="A436" t="str">
            <v/>
          </cell>
          <cell r="B436" t="str">
            <v/>
          </cell>
          <cell r="C436">
            <v>1434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L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</row>
        <row r="437">
          <cell r="A437" t="str">
            <v/>
          </cell>
          <cell r="B437" t="str">
            <v/>
          </cell>
          <cell r="C437">
            <v>1435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L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</row>
        <row r="438">
          <cell r="A438" t="str">
            <v/>
          </cell>
          <cell r="B438" t="str">
            <v/>
          </cell>
          <cell r="C438">
            <v>1436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L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</row>
        <row r="439">
          <cell r="A439" t="str">
            <v/>
          </cell>
          <cell r="B439" t="str">
            <v/>
          </cell>
          <cell r="C439">
            <v>1437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L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</row>
        <row r="440">
          <cell r="A440" t="str">
            <v/>
          </cell>
          <cell r="B440" t="str">
            <v/>
          </cell>
          <cell r="C440">
            <v>1438</v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L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</row>
        <row r="441">
          <cell r="A441" t="str">
            <v/>
          </cell>
          <cell r="B441" t="str">
            <v/>
          </cell>
          <cell r="C441">
            <v>1439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L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</row>
        <row r="442">
          <cell r="A442" t="str">
            <v/>
          </cell>
          <cell r="B442" t="str">
            <v/>
          </cell>
          <cell r="C442">
            <v>1440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L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</row>
        <row r="443">
          <cell r="A443" t="str">
            <v/>
          </cell>
          <cell r="B443" t="str">
            <v/>
          </cell>
          <cell r="C443">
            <v>1441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L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</row>
        <row r="444">
          <cell r="A444" t="str">
            <v/>
          </cell>
          <cell r="B444" t="str">
            <v/>
          </cell>
          <cell r="C444">
            <v>1442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L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</row>
        <row r="445">
          <cell r="A445" t="str">
            <v/>
          </cell>
          <cell r="B445" t="str">
            <v/>
          </cell>
          <cell r="C445">
            <v>1443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L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</row>
        <row r="446">
          <cell r="A446" t="str">
            <v/>
          </cell>
          <cell r="B446" t="str">
            <v/>
          </cell>
          <cell r="C446">
            <v>1444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L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</row>
        <row r="447">
          <cell r="A447" t="str">
            <v/>
          </cell>
          <cell r="B447" t="str">
            <v/>
          </cell>
          <cell r="C447">
            <v>1445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L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</row>
        <row r="448">
          <cell r="A448" t="str">
            <v/>
          </cell>
          <cell r="B448" t="str">
            <v/>
          </cell>
          <cell r="C448">
            <v>1446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L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</row>
        <row r="449">
          <cell r="A449" t="str">
            <v/>
          </cell>
          <cell r="B449" t="str">
            <v/>
          </cell>
          <cell r="C449">
            <v>1447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L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</row>
        <row r="450">
          <cell r="A450" t="str">
            <v/>
          </cell>
          <cell r="B450" t="str">
            <v/>
          </cell>
          <cell r="C450">
            <v>1448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L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</row>
        <row r="451">
          <cell r="A451" t="str">
            <v/>
          </cell>
          <cell r="B451" t="str">
            <v/>
          </cell>
          <cell r="C451">
            <v>1449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L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</row>
        <row r="452">
          <cell r="A452" t="str">
            <v/>
          </cell>
          <cell r="B452" t="str">
            <v/>
          </cell>
          <cell r="C452">
            <v>1450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L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</row>
        <row r="453">
          <cell r="A453" t="str">
            <v/>
          </cell>
          <cell r="B453" t="str">
            <v/>
          </cell>
          <cell r="C453">
            <v>1451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L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</row>
        <row r="454">
          <cell r="A454" t="str">
            <v/>
          </cell>
          <cell r="B454" t="str">
            <v/>
          </cell>
          <cell r="C454">
            <v>1452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L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</row>
        <row r="455">
          <cell r="A455" t="str">
            <v/>
          </cell>
          <cell r="B455" t="str">
            <v/>
          </cell>
          <cell r="C455">
            <v>1453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L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</row>
        <row r="456">
          <cell r="A456" t="str">
            <v/>
          </cell>
          <cell r="B456" t="str">
            <v/>
          </cell>
          <cell r="C456">
            <v>1454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L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</row>
        <row r="457">
          <cell r="A457" t="str">
            <v/>
          </cell>
          <cell r="B457" t="str">
            <v/>
          </cell>
          <cell r="C457">
            <v>1455</v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L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</row>
        <row r="458">
          <cell r="A458" t="str">
            <v/>
          </cell>
          <cell r="B458" t="str">
            <v/>
          </cell>
          <cell r="C458">
            <v>1456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L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</row>
        <row r="459">
          <cell r="A459" t="str">
            <v/>
          </cell>
          <cell r="B459" t="str">
            <v/>
          </cell>
          <cell r="C459">
            <v>1457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L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</row>
        <row r="460">
          <cell r="A460" t="str">
            <v/>
          </cell>
          <cell r="B460" t="str">
            <v/>
          </cell>
          <cell r="C460">
            <v>1458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L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</row>
        <row r="461">
          <cell r="A461" t="str">
            <v/>
          </cell>
          <cell r="B461" t="str">
            <v/>
          </cell>
          <cell r="C461">
            <v>1459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L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</row>
        <row r="462">
          <cell r="A462" t="str">
            <v/>
          </cell>
          <cell r="B462" t="str">
            <v/>
          </cell>
          <cell r="C462">
            <v>1460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L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</row>
        <row r="463">
          <cell r="A463" t="str">
            <v/>
          </cell>
          <cell r="B463" t="str">
            <v/>
          </cell>
          <cell r="C463">
            <v>1461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L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</row>
        <row r="464">
          <cell r="A464" t="str">
            <v/>
          </cell>
          <cell r="B464" t="str">
            <v/>
          </cell>
          <cell r="C464">
            <v>1462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L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</row>
        <row r="465">
          <cell r="A465" t="str">
            <v/>
          </cell>
          <cell r="B465" t="str">
            <v/>
          </cell>
          <cell r="C465">
            <v>1463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L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</row>
        <row r="466">
          <cell r="A466" t="str">
            <v/>
          </cell>
          <cell r="B466" t="str">
            <v/>
          </cell>
          <cell r="C466">
            <v>1464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L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</row>
        <row r="467">
          <cell r="A467" t="str">
            <v/>
          </cell>
          <cell r="B467" t="str">
            <v/>
          </cell>
          <cell r="C467">
            <v>1465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L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</row>
        <row r="468">
          <cell r="A468" t="str">
            <v/>
          </cell>
          <cell r="B468" t="str">
            <v/>
          </cell>
          <cell r="C468">
            <v>1466</v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L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</row>
        <row r="469">
          <cell r="A469" t="str">
            <v/>
          </cell>
          <cell r="B469" t="str">
            <v/>
          </cell>
          <cell r="C469">
            <v>1467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L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</row>
        <row r="470">
          <cell r="A470" t="str">
            <v/>
          </cell>
          <cell r="B470" t="str">
            <v/>
          </cell>
          <cell r="C470">
            <v>1468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L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</row>
        <row r="471">
          <cell r="A471" t="str">
            <v/>
          </cell>
          <cell r="B471" t="str">
            <v/>
          </cell>
          <cell r="C471">
            <v>1469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L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</row>
        <row r="472">
          <cell r="A472" t="str">
            <v/>
          </cell>
          <cell r="B472" t="str">
            <v/>
          </cell>
          <cell r="C472">
            <v>1470</v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L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</row>
        <row r="473">
          <cell r="A473" t="str">
            <v/>
          </cell>
          <cell r="B473" t="str">
            <v/>
          </cell>
          <cell r="C473">
            <v>1471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L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</row>
        <row r="474">
          <cell r="A474" t="str">
            <v/>
          </cell>
          <cell r="B474" t="str">
            <v/>
          </cell>
          <cell r="C474">
            <v>1472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L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</row>
        <row r="475">
          <cell r="A475" t="str">
            <v/>
          </cell>
          <cell r="B475" t="str">
            <v/>
          </cell>
          <cell r="C475">
            <v>1473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L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</row>
        <row r="476">
          <cell r="A476" t="str">
            <v/>
          </cell>
          <cell r="B476" t="str">
            <v/>
          </cell>
          <cell r="C476">
            <v>1474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L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</row>
        <row r="477">
          <cell r="A477" t="str">
            <v/>
          </cell>
          <cell r="B477" t="str">
            <v/>
          </cell>
          <cell r="C477">
            <v>1475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L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</row>
        <row r="478">
          <cell r="A478" t="str">
            <v/>
          </cell>
          <cell r="B478" t="str">
            <v/>
          </cell>
          <cell r="C478">
            <v>1476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L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</row>
        <row r="479">
          <cell r="A479" t="str">
            <v/>
          </cell>
          <cell r="B479" t="str">
            <v/>
          </cell>
          <cell r="C479">
            <v>1477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L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</row>
        <row r="480">
          <cell r="A480" t="str">
            <v/>
          </cell>
          <cell r="B480" t="str">
            <v/>
          </cell>
          <cell r="C480">
            <v>1478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L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</row>
        <row r="481">
          <cell r="A481" t="str">
            <v/>
          </cell>
          <cell r="B481" t="str">
            <v/>
          </cell>
          <cell r="C481">
            <v>1479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L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</row>
        <row r="482">
          <cell r="A482" t="str">
            <v/>
          </cell>
          <cell r="B482" t="str">
            <v/>
          </cell>
          <cell r="C482">
            <v>1480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L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</row>
        <row r="483">
          <cell r="A483" t="str">
            <v/>
          </cell>
          <cell r="B483" t="str">
            <v/>
          </cell>
          <cell r="C483">
            <v>1481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L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</row>
        <row r="484">
          <cell r="A484" t="str">
            <v/>
          </cell>
          <cell r="B484" t="str">
            <v/>
          </cell>
          <cell r="C484">
            <v>1482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L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</row>
        <row r="485">
          <cell r="A485" t="str">
            <v/>
          </cell>
          <cell r="B485" t="str">
            <v/>
          </cell>
          <cell r="C485">
            <v>1483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L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</row>
        <row r="486">
          <cell r="A486" t="str">
            <v/>
          </cell>
          <cell r="B486" t="str">
            <v/>
          </cell>
          <cell r="C486">
            <v>1484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L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</row>
        <row r="487">
          <cell r="A487" t="str">
            <v/>
          </cell>
          <cell r="B487" t="str">
            <v/>
          </cell>
          <cell r="C487">
            <v>1485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L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</row>
        <row r="488">
          <cell r="A488" t="str">
            <v/>
          </cell>
          <cell r="B488" t="str">
            <v/>
          </cell>
          <cell r="C488">
            <v>1486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L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</row>
        <row r="489">
          <cell r="A489" t="str">
            <v/>
          </cell>
          <cell r="B489" t="str">
            <v/>
          </cell>
          <cell r="C489">
            <v>1487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L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</row>
        <row r="490">
          <cell r="A490" t="str">
            <v/>
          </cell>
          <cell r="B490" t="str">
            <v/>
          </cell>
          <cell r="C490">
            <v>1488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L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</row>
        <row r="491">
          <cell r="A491" t="str">
            <v/>
          </cell>
          <cell r="B491" t="str">
            <v/>
          </cell>
          <cell r="C491">
            <v>1489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L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</row>
        <row r="492">
          <cell r="A492" t="str">
            <v/>
          </cell>
          <cell r="B492" t="str">
            <v/>
          </cell>
          <cell r="C492">
            <v>1490</v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L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</row>
        <row r="493">
          <cell r="A493" t="str">
            <v/>
          </cell>
          <cell r="B493" t="str">
            <v/>
          </cell>
          <cell r="C493">
            <v>1491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L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</row>
        <row r="494">
          <cell r="A494" t="str">
            <v/>
          </cell>
          <cell r="B494" t="str">
            <v/>
          </cell>
          <cell r="C494">
            <v>1492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L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</row>
        <row r="495">
          <cell r="A495" t="str">
            <v/>
          </cell>
          <cell r="B495" t="str">
            <v/>
          </cell>
          <cell r="C495">
            <v>1493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L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</row>
        <row r="496">
          <cell r="A496" t="str">
            <v/>
          </cell>
          <cell r="B496" t="str">
            <v/>
          </cell>
          <cell r="C496">
            <v>1494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L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</row>
        <row r="497">
          <cell r="A497" t="str">
            <v/>
          </cell>
          <cell r="B497" t="str">
            <v/>
          </cell>
          <cell r="C497">
            <v>1495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L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</row>
        <row r="498">
          <cell r="A498" t="str">
            <v/>
          </cell>
          <cell r="B498" t="str">
            <v/>
          </cell>
          <cell r="C498">
            <v>1496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L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</row>
        <row r="499">
          <cell r="A499" t="str">
            <v/>
          </cell>
          <cell r="B499" t="str">
            <v/>
          </cell>
          <cell r="C499">
            <v>1497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L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</row>
        <row r="500">
          <cell r="A500" t="str">
            <v/>
          </cell>
          <cell r="B500" t="str">
            <v/>
          </cell>
          <cell r="C500">
            <v>1498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L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</row>
        <row r="501">
          <cell r="A501" t="str">
            <v/>
          </cell>
          <cell r="B501" t="str">
            <v/>
          </cell>
          <cell r="C501">
            <v>1499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L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</row>
        <row r="502">
          <cell r="A502" t="str">
            <v/>
          </cell>
          <cell r="B502" t="str">
            <v/>
          </cell>
          <cell r="C502">
            <v>1500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L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</row>
        <row r="503">
          <cell r="A503" t="str">
            <v/>
          </cell>
          <cell r="B503" t="str">
            <v/>
          </cell>
          <cell r="C503">
            <v>1501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L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</row>
        <row r="504">
          <cell r="A504" t="str">
            <v/>
          </cell>
          <cell r="B504" t="str">
            <v/>
          </cell>
          <cell r="C504">
            <v>1502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L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</row>
        <row r="505">
          <cell r="A505" t="str">
            <v/>
          </cell>
          <cell r="B505" t="str">
            <v/>
          </cell>
          <cell r="C505">
            <v>1503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L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</row>
        <row r="506">
          <cell r="A506" t="str">
            <v/>
          </cell>
          <cell r="B506" t="str">
            <v/>
          </cell>
          <cell r="C506">
            <v>1504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L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</row>
        <row r="507">
          <cell r="A507" t="str">
            <v/>
          </cell>
          <cell r="B507" t="str">
            <v/>
          </cell>
          <cell r="C507">
            <v>1505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L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  <cell r="Z507" t="str">
            <v/>
          </cell>
        </row>
        <row r="508">
          <cell r="A508" t="str">
            <v/>
          </cell>
          <cell r="B508" t="str">
            <v/>
          </cell>
          <cell r="C508">
            <v>1506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L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</row>
        <row r="509">
          <cell r="A509" t="str">
            <v/>
          </cell>
          <cell r="B509" t="str">
            <v/>
          </cell>
          <cell r="C509">
            <v>1507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L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</row>
        <row r="510">
          <cell r="A510" t="str">
            <v/>
          </cell>
          <cell r="B510" t="str">
            <v/>
          </cell>
          <cell r="C510">
            <v>1508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L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</row>
        <row r="511">
          <cell r="A511" t="str">
            <v/>
          </cell>
          <cell r="B511" t="str">
            <v/>
          </cell>
          <cell r="C511">
            <v>1509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L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</row>
        <row r="512">
          <cell r="A512" t="str">
            <v/>
          </cell>
          <cell r="B512" t="str">
            <v/>
          </cell>
          <cell r="C512">
            <v>1510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L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</row>
        <row r="513">
          <cell r="A513" t="str">
            <v/>
          </cell>
          <cell r="B513" t="str">
            <v/>
          </cell>
          <cell r="C513">
            <v>1511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L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</row>
        <row r="514">
          <cell r="A514" t="str">
            <v/>
          </cell>
          <cell r="B514" t="str">
            <v/>
          </cell>
          <cell r="C514">
            <v>1512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L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</row>
        <row r="515">
          <cell r="A515" t="str">
            <v/>
          </cell>
          <cell r="B515" t="str">
            <v/>
          </cell>
          <cell r="C515">
            <v>1513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L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</row>
        <row r="516">
          <cell r="A516" t="str">
            <v/>
          </cell>
          <cell r="B516" t="str">
            <v/>
          </cell>
          <cell r="C516">
            <v>1514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L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</row>
        <row r="517">
          <cell r="A517" t="str">
            <v/>
          </cell>
          <cell r="B517" t="str">
            <v/>
          </cell>
          <cell r="C517">
            <v>1515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L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</row>
        <row r="518">
          <cell r="A518" t="str">
            <v/>
          </cell>
          <cell r="B518" t="str">
            <v/>
          </cell>
          <cell r="C518">
            <v>1516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L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</row>
        <row r="519">
          <cell r="A519" t="str">
            <v/>
          </cell>
          <cell r="B519" t="str">
            <v/>
          </cell>
          <cell r="C519">
            <v>1517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L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</row>
        <row r="520">
          <cell r="A520" t="str">
            <v/>
          </cell>
          <cell r="B520" t="str">
            <v/>
          </cell>
          <cell r="C520">
            <v>1518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L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</row>
        <row r="521">
          <cell r="A521" t="str">
            <v/>
          </cell>
          <cell r="B521" t="str">
            <v/>
          </cell>
          <cell r="C521">
            <v>1519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L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</row>
        <row r="522">
          <cell r="A522" t="str">
            <v/>
          </cell>
          <cell r="B522" t="str">
            <v/>
          </cell>
          <cell r="C522">
            <v>1520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L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</row>
        <row r="523">
          <cell r="A523" t="str">
            <v/>
          </cell>
          <cell r="B523" t="str">
            <v/>
          </cell>
          <cell r="C523">
            <v>1521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L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</row>
        <row r="524">
          <cell r="A524" t="str">
            <v/>
          </cell>
          <cell r="B524" t="str">
            <v/>
          </cell>
          <cell r="C524">
            <v>1522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L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</row>
        <row r="525">
          <cell r="A525" t="str">
            <v/>
          </cell>
          <cell r="B525" t="str">
            <v/>
          </cell>
          <cell r="C525">
            <v>1523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L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</row>
        <row r="526">
          <cell r="A526" t="str">
            <v/>
          </cell>
          <cell r="B526" t="str">
            <v/>
          </cell>
          <cell r="C526">
            <v>1524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L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</row>
        <row r="527">
          <cell r="A527" t="str">
            <v/>
          </cell>
          <cell r="B527" t="str">
            <v/>
          </cell>
          <cell r="C527">
            <v>1525</v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L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</row>
        <row r="528">
          <cell r="A528" t="str">
            <v/>
          </cell>
          <cell r="B528" t="str">
            <v/>
          </cell>
          <cell r="C528">
            <v>1526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L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</row>
        <row r="529">
          <cell r="A529" t="str">
            <v/>
          </cell>
          <cell r="B529" t="str">
            <v/>
          </cell>
          <cell r="C529">
            <v>1527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L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</row>
        <row r="530">
          <cell r="A530" t="str">
            <v/>
          </cell>
          <cell r="B530" t="str">
            <v/>
          </cell>
          <cell r="C530">
            <v>1528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L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</row>
        <row r="531">
          <cell r="A531" t="str">
            <v/>
          </cell>
          <cell r="B531" t="str">
            <v/>
          </cell>
          <cell r="C531">
            <v>1529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L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</row>
        <row r="532">
          <cell r="A532" t="str">
            <v/>
          </cell>
          <cell r="B532" t="str">
            <v/>
          </cell>
          <cell r="C532">
            <v>1530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L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</row>
        <row r="533">
          <cell r="A533" t="str">
            <v/>
          </cell>
          <cell r="B533" t="str">
            <v/>
          </cell>
          <cell r="C533">
            <v>1531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L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</row>
        <row r="534">
          <cell r="A534" t="str">
            <v/>
          </cell>
          <cell r="B534" t="str">
            <v/>
          </cell>
          <cell r="C534">
            <v>1532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L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</row>
        <row r="535">
          <cell r="A535" t="str">
            <v/>
          </cell>
          <cell r="B535" t="str">
            <v/>
          </cell>
          <cell r="C535">
            <v>1533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L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</row>
        <row r="536">
          <cell r="A536" t="str">
            <v/>
          </cell>
          <cell r="B536" t="str">
            <v/>
          </cell>
          <cell r="C536">
            <v>1534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L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</row>
        <row r="537">
          <cell r="A537" t="str">
            <v/>
          </cell>
          <cell r="B537" t="str">
            <v/>
          </cell>
          <cell r="C537">
            <v>1535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L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</row>
        <row r="538">
          <cell r="A538" t="str">
            <v/>
          </cell>
          <cell r="B538" t="str">
            <v/>
          </cell>
          <cell r="C538">
            <v>1536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L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</row>
        <row r="539">
          <cell r="A539" t="str">
            <v/>
          </cell>
          <cell r="B539" t="str">
            <v/>
          </cell>
          <cell r="C539">
            <v>1537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L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</row>
        <row r="540">
          <cell r="A540" t="str">
            <v/>
          </cell>
          <cell r="B540" t="str">
            <v/>
          </cell>
          <cell r="C540">
            <v>1538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L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</row>
        <row r="541">
          <cell r="A541" t="str">
            <v/>
          </cell>
          <cell r="B541" t="str">
            <v/>
          </cell>
          <cell r="C541">
            <v>1539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L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</row>
        <row r="542">
          <cell r="A542" t="str">
            <v/>
          </cell>
          <cell r="B542" t="str">
            <v/>
          </cell>
          <cell r="C542">
            <v>1540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L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</row>
        <row r="543">
          <cell r="A543" t="str">
            <v/>
          </cell>
          <cell r="B543" t="str">
            <v/>
          </cell>
          <cell r="C543">
            <v>1541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L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</row>
        <row r="544">
          <cell r="A544" t="str">
            <v/>
          </cell>
          <cell r="B544" t="str">
            <v/>
          </cell>
          <cell r="C544">
            <v>1542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L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</row>
        <row r="545">
          <cell r="A545" t="str">
            <v/>
          </cell>
          <cell r="B545" t="str">
            <v/>
          </cell>
          <cell r="C545">
            <v>1543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L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</row>
        <row r="546">
          <cell r="A546" t="str">
            <v/>
          </cell>
          <cell r="B546" t="str">
            <v/>
          </cell>
          <cell r="C546">
            <v>1544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L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</row>
        <row r="547">
          <cell r="A547" t="str">
            <v/>
          </cell>
          <cell r="B547" t="str">
            <v/>
          </cell>
          <cell r="C547">
            <v>1545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L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</row>
        <row r="548">
          <cell r="A548" t="str">
            <v/>
          </cell>
          <cell r="B548" t="str">
            <v/>
          </cell>
          <cell r="C548">
            <v>1546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L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</row>
        <row r="549">
          <cell r="A549" t="str">
            <v/>
          </cell>
          <cell r="B549" t="str">
            <v/>
          </cell>
          <cell r="C549">
            <v>1547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L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</row>
        <row r="550">
          <cell r="A550" t="str">
            <v/>
          </cell>
          <cell r="B550" t="str">
            <v/>
          </cell>
          <cell r="C550">
            <v>1548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L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</row>
        <row r="551">
          <cell r="A551" t="str">
            <v/>
          </cell>
          <cell r="B551" t="str">
            <v/>
          </cell>
          <cell r="C551">
            <v>1549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L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</row>
        <row r="552">
          <cell r="A552" t="str">
            <v/>
          </cell>
          <cell r="B552" t="str">
            <v/>
          </cell>
          <cell r="C552">
            <v>1550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L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</row>
        <row r="553">
          <cell r="A553" t="str">
            <v/>
          </cell>
          <cell r="B553" t="str">
            <v/>
          </cell>
          <cell r="C553">
            <v>1551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L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</row>
        <row r="554">
          <cell r="A554" t="str">
            <v/>
          </cell>
          <cell r="B554" t="str">
            <v/>
          </cell>
          <cell r="C554">
            <v>1552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L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</row>
        <row r="555">
          <cell r="A555" t="str">
            <v/>
          </cell>
          <cell r="B555" t="str">
            <v/>
          </cell>
          <cell r="C555">
            <v>1553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L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</row>
        <row r="556">
          <cell r="A556" t="str">
            <v/>
          </cell>
          <cell r="B556" t="str">
            <v/>
          </cell>
          <cell r="C556">
            <v>1554</v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L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</row>
        <row r="557">
          <cell r="A557" t="str">
            <v/>
          </cell>
          <cell r="B557" t="str">
            <v/>
          </cell>
          <cell r="C557">
            <v>1555</v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L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</row>
        <row r="558">
          <cell r="A558" t="str">
            <v/>
          </cell>
          <cell r="B558" t="str">
            <v/>
          </cell>
          <cell r="C558">
            <v>1556</v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L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</row>
        <row r="559">
          <cell r="A559" t="str">
            <v/>
          </cell>
          <cell r="B559" t="str">
            <v/>
          </cell>
          <cell r="C559">
            <v>1557</v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L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</row>
        <row r="560">
          <cell r="A560" t="str">
            <v/>
          </cell>
          <cell r="B560" t="str">
            <v/>
          </cell>
          <cell r="C560">
            <v>1558</v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L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</row>
        <row r="561">
          <cell r="A561" t="str">
            <v/>
          </cell>
          <cell r="B561" t="str">
            <v/>
          </cell>
          <cell r="C561">
            <v>1559</v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L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</row>
        <row r="562">
          <cell r="A562" t="str">
            <v/>
          </cell>
          <cell r="B562" t="str">
            <v/>
          </cell>
          <cell r="C562">
            <v>1560</v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L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</row>
        <row r="563">
          <cell r="A563" t="str">
            <v/>
          </cell>
          <cell r="B563" t="str">
            <v/>
          </cell>
          <cell r="C563">
            <v>1561</v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L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</row>
        <row r="564">
          <cell r="A564" t="str">
            <v/>
          </cell>
          <cell r="B564" t="str">
            <v/>
          </cell>
          <cell r="C564">
            <v>1562</v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L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</row>
        <row r="565">
          <cell r="A565" t="str">
            <v/>
          </cell>
          <cell r="B565" t="str">
            <v/>
          </cell>
          <cell r="C565">
            <v>1563</v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L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</row>
        <row r="566">
          <cell r="A566" t="str">
            <v/>
          </cell>
          <cell r="B566" t="str">
            <v/>
          </cell>
          <cell r="C566">
            <v>1564</v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L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</row>
        <row r="567">
          <cell r="A567" t="str">
            <v/>
          </cell>
          <cell r="B567" t="str">
            <v/>
          </cell>
          <cell r="C567">
            <v>1565</v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L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</row>
        <row r="568">
          <cell r="A568" t="str">
            <v/>
          </cell>
          <cell r="B568" t="str">
            <v/>
          </cell>
          <cell r="C568">
            <v>1566</v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L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</row>
        <row r="569">
          <cell r="A569" t="str">
            <v/>
          </cell>
          <cell r="B569" t="str">
            <v/>
          </cell>
          <cell r="C569">
            <v>1567</v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L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</row>
        <row r="570">
          <cell r="A570" t="str">
            <v/>
          </cell>
          <cell r="B570" t="str">
            <v/>
          </cell>
          <cell r="C570">
            <v>1568</v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L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</row>
        <row r="571">
          <cell r="A571" t="str">
            <v/>
          </cell>
          <cell r="B571" t="str">
            <v/>
          </cell>
          <cell r="C571">
            <v>1569</v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L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</row>
        <row r="572">
          <cell r="A572" t="str">
            <v/>
          </cell>
          <cell r="B572" t="str">
            <v/>
          </cell>
          <cell r="C572">
            <v>1570</v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L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</row>
        <row r="573">
          <cell r="A573" t="str">
            <v/>
          </cell>
          <cell r="B573" t="str">
            <v/>
          </cell>
          <cell r="C573">
            <v>1571</v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L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</row>
        <row r="574">
          <cell r="A574" t="str">
            <v/>
          </cell>
          <cell r="B574" t="str">
            <v/>
          </cell>
          <cell r="C574">
            <v>1572</v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L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</row>
        <row r="575">
          <cell r="A575" t="str">
            <v/>
          </cell>
          <cell r="B575" t="str">
            <v/>
          </cell>
          <cell r="C575">
            <v>1573</v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L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</row>
        <row r="576">
          <cell r="A576" t="str">
            <v/>
          </cell>
          <cell r="B576" t="str">
            <v/>
          </cell>
          <cell r="C576">
            <v>1574</v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L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</row>
        <row r="577">
          <cell r="A577" t="str">
            <v/>
          </cell>
          <cell r="B577" t="str">
            <v/>
          </cell>
          <cell r="C577">
            <v>1575</v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L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</row>
        <row r="578">
          <cell r="A578" t="str">
            <v/>
          </cell>
          <cell r="B578" t="str">
            <v/>
          </cell>
          <cell r="C578">
            <v>1576</v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L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</row>
        <row r="579">
          <cell r="A579" t="str">
            <v/>
          </cell>
          <cell r="B579" t="str">
            <v/>
          </cell>
          <cell r="C579">
            <v>1577</v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L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</row>
        <row r="580">
          <cell r="A580" t="str">
            <v/>
          </cell>
          <cell r="B580" t="str">
            <v/>
          </cell>
          <cell r="C580">
            <v>1578</v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L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</row>
        <row r="581">
          <cell r="A581" t="str">
            <v/>
          </cell>
          <cell r="B581" t="str">
            <v/>
          </cell>
          <cell r="C581">
            <v>1579</v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L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</row>
        <row r="582">
          <cell r="A582" t="str">
            <v/>
          </cell>
          <cell r="B582" t="str">
            <v/>
          </cell>
          <cell r="C582">
            <v>1580</v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L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</row>
        <row r="583">
          <cell r="A583" t="str">
            <v/>
          </cell>
          <cell r="B583" t="str">
            <v/>
          </cell>
          <cell r="C583">
            <v>1581</v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L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</row>
        <row r="584">
          <cell r="A584" t="str">
            <v/>
          </cell>
          <cell r="B584" t="str">
            <v/>
          </cell>
          <cell r="C584">
            <v>1582</v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L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</row>
        <row r="585">
          <cell r="A585" t="str">
            <v/>
          </cell>
          <cell r="B585" t="str">
            <v/>
          </cell>
          <cell r="C585">
            <v>1583</v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L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</row>
        <row r="586">
          <cell r="A586" t="str">
            <v/>
          </cell>
          <cell r="B586" t="str">
            <v/>
          </cell>
          <cell r="C586">
            <v>1584</v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L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</row>
        <row r="587">
          <cell r="A587" t="str">
            <v/>
          </cell>
          <cell r="B587" t="str">
            <v/>
          </cell>
          <cell r="C587">
            <v>1585</v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L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</row>
        <row r="588">
          <cell r="A588" t="str">
            <v/>
          </cell>
          <cell r="B588" t="str">
            <v/>
          </cell>
          <cell r="C588">
            <v>1586</v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L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</row>
        <row r="589">
          <cell r="A589" t="str">
            <v/>
          </cell>
          <cell r="B589" t="str">
            <v/>
          </cell>
          <cell r="C589">
            <v>1587</v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L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</row>
        <row r="590">
          <cell r="A590" t="str">
            <v/>
          </cell>
          <cell r="B590" t="str">
            <v/>
          </cell>
          <cell r="C590">
            <v>1588</v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L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</row>
        <row r="591">
          <cell r="A591" t="str">
            <v/>
          </cell>
          <cell r="B591" t="str">
            <v/>
          </cell>
          <cell r="C591">
            <v>1589</v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L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</row>
        <row r="592">
          <cell r="A592" t="str">
            <v/>
          </cell>
          <cell r="B592" t="str">
            <v/>
          </cell>
          <cell r="C592">
            <v>1590</v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L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</row>
        <row r="593">
          <cell r="A593" t="str">
            <v/>
          </cell>
          <cell r="B593" t="str">
            <v/>
          </cell>
          <cell r="C593">
            <v>1591</v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L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</row>
        <row r="594">
          <cell r="A594" t="str">
            <v/>
          </cell>
          <cell r="B594" t="str">
            <v/>
          </cell>
          <cell r="C594">
            <v>1592</v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L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</row>
        <row r="595">
          <cell r="A595" t="str">
            <v/>
          </cell>
          <cell r="B595" t="str">
            <v/>
          </cell>
          <cell r="C595">
            <v>1593</v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L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</row>
        <row r="596">
          <cell r="A596" t="str">
            <v/>
          </cell>
          <cell r="B596" t="str">
            <v/>
          </cell>
          <cell r="C596">
            <v>1594</v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L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</row>
        <row r="597">
          <cell r="A597" t="str">
            <v/>
          </cell>
          <cell r="B597" t="str">
            <v/>
          </cell>
          <cell r="C597">
            <v>1595</v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L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</row>
        <row r="598">
          <cell r="A598" t="str">
            <v/>
          </cell>
          <cell r="B598" t="str">
            <v/>
          </cell>
          <cell r="C598">
            <v>1596</v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L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</row>
        <row r="599">
          <cell r="A599" t="str">
            <v/>
          </cell>
          <cell r="B599" t="str">
            <v/>
          </cell>
          <cell r="C599">
            <v>1597</v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L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</row>
        <row r="600">
          <cell r="A600" t="str">
            <v/>
          </cell>
          <cell r="B600" t="str">
            <v/>
          </cell>
          <cell r="C600">
            <v>1598</v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L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</row>
        <row r="601">
          <cell r="A601" t="str">
            <v/>
          </cell>
          <cell r="B601" t="str">
            <v/>
          </cell>
          <cell r="C601">
            <v>1599</v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L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</row>
        <row r="602">
          <cell r="A602" t="str">
            <v/>
          </cell>
          <cell r="B602" t="str">
            <v/>
          </cell>
          <cell r="C602">
            <v>1600</v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L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</row>
        <row r="603">
          <cell r="A603" t="str">
            <v/>
          </cell>
          <cell r="B603" t="str">
            <v/>
          </cell>
          <cell r="C603">
            <v>1601</v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L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</row>
        <row r="604">
          <cell r="A604" t="str">
            <v/>
          </cell>
          <cell r="B604" t="str">
            <v/>
          </cell>
          <cell r="C604">
            <v>1602</v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L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</row>
        <row r="605">
          <cell r="A605" t="str">
            <v/>
          </cell>
          <cell r="B605" t="str">
            <v/>
          </cell>
          <cell r="C605">
            <v>1603</v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L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</row>
        <row r="606">
          <cell r="A606" t="str">
            <v/>
          </cell>
          <cell r="B606" t="str">
            <v/>
          </cell>
          <cell r="C606">
            <v>1604</v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L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</row>
        <row r="607">
          <cell r="A607" t="str">
            <v/>
          </cell>
          <cell r="B607" t="str">
            <v/>
          </cell>
          <cell r="C607">
            <v>1605</v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L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</row>
        <row r="608">
          <cell r="A608" t="str">
            <v/>
          </cell>
          <cell r="B608" t="str">
            <v/>
          </cell>
          <cell r="C608">
            <v>1606</v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L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</row>
        <row r="609">
          <cell r="A609" t="str">
            <v/>
          </cell>
          <cell r="B609" t="str">
            <v/>
          </cell>
          <cell r="C609">
            <v>1607</v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L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</row>
        <row r="610">
          <cell r="A610" t="str">
            <v/>
          </cell>
          <cell r="B610" t="str">
            <v/>
          </cell>
          <cell r="C610">
            <v>1608</v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L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</row>
        <row r="611">
          <cell r="A611" t="str">
            <v/>
          </cell>
          <cell r="B611" t="str">
            <v/>
          </cell>
          <cell r="C611">
            <v>1609</v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L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</row>
        <row r="612">
          <cell r="A612" t="str">
            <v/>
          </cell>
          <cell r="B612" t="str">
            <v/>
          </cell>
          <cell r="C612">
            <v>1610</v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L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</row>
        <row r="613">
          <cell r="A613" t="str">
            <v/>
          </cell>
          <cell r="B613" t="str">
            <v/>
          </cell>
          <cell r="C613">
            <v>1611</v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L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</row>
        <row r="614">
          <cell r="A614" t="str">
            <v/>
          </cell>
          <cell r="B614" t="str">
            <v/>
          </cell>
          <cell r="C614">
            <v>1612</v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L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</row>
        <row r="615">
          <cell r="A615" t="str">
            <v/>
          </cell>
          <cell r="B615" t="str">
            <v/>
          </cell>
          <cell r="C615">
            <v>1613</v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L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</row>
        <row r="616">
          <cell r="A616" t="str">
            <v/>
          </cell>
          <cell r="B616" t="str">
            <v/>
          </cell>
          <cell r="C616">
            <v>1614</v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L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</row>
        <row r="617">
          <cell r="A617" t="str">
            <v/>
          </cell>
          <cell r="B617" t="str">
            <v/>
          </cell>
          <cell r="C617">
            <v>1615</v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L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</row>
        <row r="618">
          <cell r="A618" t="str">
            <v/>
          </cell>
          <cell r="B618" t="str">
            <v/>
          </cell>
          <cell r="C618">
            <v>1616</v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L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</row>
        <row r="619">
          <cell r="A619" t="str">
            <v/>
          </cell>
          <cell r="B619" t="str">
            <v/>
          </cell>
          <cell r="C619">
            <v>1617</v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L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</row>
        <row r="620">
          <cell r="A620" t="str">
            <v/>
          </cell>
          <cell r="B620" t="str">
            <v/>
          </cell>
          <cell r="C620">
            <v>1618</v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L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</row>
        <row r="621">
          <cell r="A621" t="str">
            <v/>
          </cell>
          <cell r="B621" t="str">
            <v/>
          </cell>
          <cell r="C621">
            <v>1619</v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L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</row>
        <row r="622">
          <cell r="A622" t="str">
            <v/>
          </cell>
          <cell r="B622" t="str">
            <v/>
          </cell>
          <cell r="C622">
            <v>1620</v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L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</row>
        <row r="623">
          <cell r="A623" t="str">
            <v/>
          </cell>
          <cell r="B623" t="str">
            <v/>
          </cell>
          <cell r="C623">
            <v>1621</v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L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</row>
        <row r="624">
          <cell r="A624" t="str">
            <v/>
          </cell>
          <cell r="B624" t="str">
            <v/>
          </cell>
          <cell r="C624">
            <v>1622</v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L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</row>
        <row r="625">
          <cell r="A625" t="str">
            <v/>
          </cell>
          <cell r="B625" t="str">
            <v/>
          </cell>
          <cell r="C625">
            <v>1623</v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L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</row>
        <row r="626">
          <cell r="A626" t="str">
            <v/>
          </cell>
          <cell r="B626" t="str">
            <v/>
          </cell>
          <cell r="C626">
            <v>1624</v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L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</row>
        <row r="627">
          <cell r="A627" t="str">
            <v/>
          </cell>
          <cell r="B627" t="str">
            <v/>
          </cell>
          <cell r="C627">
            <v>1625</v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L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</row>
        <row r="628">
          <cell r="A628" t="str">
            <v/>
          </cell>
          <cell r="B628" t="str">
            <v/>
          </cell>
          <cell r="C628">
            <v>1626</v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L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</row>
        <row r="629">
          <cell r="A629" t="str">
            <v/>
          </cell>
          <cell r="B629" t="str">
            <v/>
          </cell>
          <cell r="C629">
            <v>1627</v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L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</row>
        <row r="630">
          <cell r="A630" t="str">
            <v/>
          </cell>
          <cell r="B630" t="str">
            <v/>
          </cell>
          <cell r="C630">
            <v>1628</v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L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</row>
        <row r="631">
          <cell r="A631" t="str">
            <v/>
          </cell>
          <cell r="B631" t="str">
            <v/>
          </cell>
          <cell r="C631">
            <v>1629</v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L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  <cell r="Z631" t="str">
            <v/>
          </cell>
        </row>
        <row r="632">
          <cell r="A632" t="str">
            <v/>
          </cell>
          <cell r="B632" t="str">
            <v/>
          </cell>
          <cell r="C632">
            <v>1630</v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L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</row>
        <row r="633">
          <cell r="A633" t="str">
            <v/>
          </cell>
          <cell r="B633" t="str">
            <v/>
          </cell>
          <cell r="C633">
            <v>1631</v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L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</row>
        <row r="634">
          <cell r="A634" t="str">
            <v/>
          </cell>
          <cell r="B634" t="str">
            <v/>
          </cell>
          <cell r="C634">
            <v>1632</v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L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</row>
        <row r="635">
          <cell r="A635" t="str">
            <v/>
          </cell>
          <cell r="B635" t="str">
            <v/>
          </cell>
          <cell r="C635">
            <v>1633</v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L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</row>
        <row r="636">
          <cell r="A636" t="str">
            <v/>
          </cell>
          <cell r="B636" t="str">
            <v/>
          </cell>
          <cell r="C636">
            <v>1634</v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L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</row>
        <row r="637">
          <cell r="A637" t="str">
            <v/>
          </cell>
          <cell r="B637" t="str">
            <v/>
          </cell>
          <cell r="C637">
            <v>1635</v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L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</row>
        <row r="638">
          <cell r="A638" t="str">
            <v/>
          </cell>
          <cell r="B638" t="str">
            <v/>
          </cell>
          <cell r="C638">
            <v>1636</v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L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</row>
        <row r="639">
          <cell r="A639" t="str">
            <v/>
          </cell>
          <cell r="B639" t="str">
            <v/>
          </cell>
          <cell r="C639">
            <v>1637</v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L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</row>
        <row r="640">
          <cell r="A640" t="str">
            <v/>
          </cell>
          <cell r="B640" t="str">
            <v/>
          </cell>
          <cell r="C640">
            <v>1638</v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L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</row>
        <row r="641">
          <cell r="A641" t="str">
            <v/>
          </cell>
          <cell r="B641" t="str">
            <v/>
          </cell>
          <cell r="C641">
            <v>1639</v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L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</row>
        <row r="642">
          <cell r="A642" t="str">
            <v/>
          </cell>
          <cell r="B642" t="str">
            <v/>
          </cell>
          <cell r="C642">
            <v>1640</v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L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</row>
        <row r="643">
          <cell r="A643" t="str">
            <v/>
          </cell>
          <cell r="B643" t="str">
            <v/>
          </cell>
          <cell r="C643">
            <v>1641</v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L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</row>
        <row r="644">
          <cell r="A644" t="str">
            <v/>
          </cell>
          <cell r="B644" t="str">
            <v/>
          </cell>
          <cell r="C644">
            <v>1642</v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L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</row>
        <row r="645">
          <cell r="A645" t="str">
            <v/>
          </cell>
          <cell r="B645" t="str">
            <v/>
          </cell>
          <cell r="C645">
            <v>1643</v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L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</row>
        <row r="646">
          <cell r="A646" t="str">
            <v/>
          </cell>
          <cell r="B646" t="str">
            <v/>
          </cell>
          <cell r="C646">
            <v>1644</v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L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</row>
        <row r="647">
          <cell r="A647" t="str">
            <v/>
          </cell>
          <cell r="B647" t="str">
            <v/>
          </cell>
          <cell r="C647">
            <v>1645</v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L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</row>
        <row r="648">
          <cell r="A648" t="str">
            <v/>
          </cell>
          <cell r="B648" t="str">
            <v/>
          </cell>
          <cell r="C648">
            <v>1646</v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L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</row>
        <row r="649">
          <cell r="A649" t="str">
            <v/>
          </cell>
          <cell r="B649" t="str">
            <v/>
          </cell>
          <cell r="C649">
            <v>1647</v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L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</row>
        <row r="650">
          <cell r="A650" t="str">
            <v/>
          </cell>
          <cell r="B650" t="str">
            <v/>
          </cell>
          <cell r="C650">
            <v>1648</v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L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</row>
        <row r="651">
          <cell r="A651" t="str">
            <v/>
          </cell>
          <cell r="B651" t="str">
            <v/>
          </cell>
          <cell r="C651">
            <v>1649</v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L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</row>
        <row r="652">
          <cell r="A652" t="str">
            <v/>
          </cell>
          <cell r="B652" t="str">
            <v/>
          </cell>
          <cell r="C652">
            <v>1650</v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L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</row>
        <row r="653">
          <cell r="A653" t="str">
            <v/>
          </cell>
          <cell r="B653" t="str">
            <v/>
          </cell>
          <cell r="C653">
            <v>1651</v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L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</row>
        <row r="654">
          <cell r="A654" t="str">
            <v/>
          </cell>
          <cell r="B654" t="str">
            <v/>
          </cell>
          <cell r="C654">
            <v>1652</v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L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</row>
        <row r="655">
          <cell r="A655" t="str">
            <v/>
          </cell>
          <cell r="B655" t="str">
            <v/>
          </cell>
          <cell r="C655">
            <v>1653</v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L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</row>
        <row r="656">
          <cell r="A656" t="str">
            <v/>
          </cell>
          <cell r="B656" t="str">
            <v/>
          </cell>
          <cell r="C656">
            <v>1654</v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L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</row>
        <row r="657">
          <cell r="A657" t="str">
            <v/>
          </cell>
          <cell r="B657" t="str">
            <v/>
          </cell>
          <cell r="C657">
            <v>1655</v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L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</row>
        <row r="658">
          <cell r="A658" t="str">
            <v/>
          </cell>
          <cell r="B658" t="str">
            <v/>
          </cell>
          <cell r="C658">
            <v>1656</v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L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</row>
        <row r="659">
          <cell r="A659" t="str">
            <v/>
          </cell>
          <cell r="B659" t="str">
            <v/>
          </cell>
          <cell r="C659">
            <v>1657</v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L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</row>
        <row r="660">
          <cell r="A660" t="str">
            <v/>
          </cell>
          <cell r="B660" t="str">
            <v/>
          </cell>
          <cell r="C660">
            <v>1658</v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L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</row>
        <row r="661">
          <cell r="A661" t="str">
            <v/>
          </cell>
          <cell r="B661" t="str">
            <v/>
          </cell>
          <cell r="C661">
            <v>1659</v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L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</row>
        <row r="662">
          <cell r="A662" t="str">
            <v/>
          </cell>
          <cell r="B662" t="str">
            <v/>
          </cell>
          <cell r="C662">
            <v>1660</v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L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</row>
        <row r="663">
          <cell r="A663" t="str">
            <v/>
          </cell>
          <cell r="B663" t="str">
            <v/>
          </cell>
          <cell r="C663">
            <v>1661</v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L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</row>
        <row r="664">
          <cell r="A664" t="str">
            <v/>
          </cell>
          <cell r="B664" t="str">
            <v/>
          </cell>
          <cell r="C664">
            <v>1662</v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L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</row>
        <row r="665">
          <cell r="A665" t="str">
            <v/>
          </cell>
          <cell r="B665" t="str">
            <v/>
          </cell>
          <cell r="C665">
            <v>1663</v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L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</row>
        <row r="666">
          <cell r="A666" t="str">
            <v/>
          </cell>
          <cell r="B666" t="str">
            <v/>
          </cell>
          <cell r="C666">
            <v>1664</v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L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</row>
        <row r="667">
          <cell r="A667" t="str">
            <v/>
          </cell>
          <cell r="B667" t="str">
            <v/>
          </cell>
          <cell r="C667">
            <v>1665</v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L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</row>
        <row r="668">
          <cell r="A668" t="str">
            <v/>
          </cell>
          <cell r="B668" t="str">
            <v/>
          </cell>
          <cell r="C668">
            <v>1666</v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L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</row>
        <row r="669">
          <cell r="A669" t="str">
            <v/>
          </cell>
          <cell r="B669" t="str">
            <v/>
          </cell>
          <cell r="C669">
            <v>1667</v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L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</row>
        <row r="670">
          <cell r="A670" t="str">
            <v/>
          </cell>
          <cell r="B670" t="str">
            <v/>
          </cell>
          <cell r="C670">
            <v>1668</v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L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</row>
        <row r="671">
          <cell r="A671" t="str">
            <v/>
          </cell>
          <cell r="B671" t="str">
            <v/>
          </cell>
          <cell r="C671">
            <v>1669</v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L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</row>
        <row r="672">
          <cell r="A672" t="str">
            <v/>
          </cell>
          <cell r="B672" t="str">
            <v/>
          </cell>
          <cell r="C672">
            <v>1670</v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L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</row>
        <row r="673">
          <cell r="A673" t="str">
            <v/>
          </cell>
          <cell r="B673" t="str">
            <v/>
          </cell>
          <cell r="C673">
            <v>1671</v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L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</row>
        <row r="674">
          <cell r="A674" t="str">
            <v/>
          </cell>
          <cell r="B674" t="str">
            <v/>
          </cell>
          <cell r="C674">
            <v>1672</v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L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</row>
        <row r="675">
          <cell r="A675" t="str">
            <v/>
          </cell>
          <cell r="B675" t="str">
            <v/>
          </cell>
          <cell r="C675">
            <v>1673</v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L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</row>
        <row r="676">
          <cell r="A676" t="str">
            <v/>
          </cell>
          <cell r="B676" t="str">
            <v/>
          </cell>
          <cell r="C676">
            <v>1674</v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L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</row>
        <row r="677">
          <cell r="A677" t="str">
            <v/>
          </cell>
          <cell r="B677" t="str">
            <v/>
          </cell>
          <cell r="C677">
            <v>1675</v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L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</row>
        <row r="678">
          <cell r="A678" t="str">
            <v/>
          </cell>
          <cell r="B678" t="str">
            <v/>
          </cell>
          <cell r="C678">
            <v>1676</v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L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</row>
        <row r="679">
          <cell r="A679" t="str">
            <v/>
          </cell>
          <cell r="B679" t="str">
            <v/>
          </cell>
          <cell r="C679">
            <v>1677</v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L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</row>
        <row r="680">
          <cell r="A680" t="str">
            <v/>
          </cell>
          <cell r="B680" t="str">
            <v/>
          </cell>
          <cell r="C680">
            <v>1678</v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L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</row>
        <row r="681">
          <cell r="A681" t="str">
            <v/>
          </cell>
          <cell r="B681" t="str">
            <v/>
          </cell>
          <cell r="C681">
            <v>1679</v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L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</row>
        <row r="682">
          <cell r="A682" t="str">
            <v/>
          </cell>
          <cell r="B682" t="str">
            <v/>
          </cell>
          <cell r="C682">
            <v>1680</v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L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</row>
        <row r="683">
          <cell r="A683" t="str">
            <v/>
          </cell>
          <cell r="B683" t="str">
            <v/>
          </cell>
          <cell r="C683">
            <v>1681</v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L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</row>
        <row r="684">
          <cell r="A684" t="str">
            <v/>
          </cell>
          <cell r="B684" t="str">
            <v/>
          </cell>
          <cell r="C684">
            <v>1682</v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L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</row>
        <row r="685">
          <cell r="A685" t="str">
            <v/>
          </cell>
          <cell r="B685" t="str">
            <v/>
          </cell>
          <cell r="C685">
            <v>1683</v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L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</row>
        <row r="686">
          <cell r="A686" t="str">
            <v/>
          </cell>
          <cell r="B686" t="str">
            <v/>
          </cell>
          <cell r="C686">
            <v>1684</v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L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</row>
        <row r="687">
          <cell r="A687" t="str">
            <v/>
          </cell>
          <cell r="B687" t="str">
            <v/>
          </cell>
          <cell r="C687">
            <v>1685</v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L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</row>
        <row r="688">
          <cell r="A688" t="str">
            <v/>
          </cell>
          <cell r="B688" t="str">
            <v/>
          </cell>
          <cell r="C688">
            <v>1686</v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L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</row>
        <row r="689">
          <cell r="A689" t="str">
            <v/>
          </cell>
          <cell r="B689" t="str">
            <v/>
          </cell>
          <cell r="C689">
            <v>1687</v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L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</row>
        <row r="690">
          <cell r="A690" t="str">
            <v/>
          </cell>
          <cell r="B690" t="str">
            <v/>
          </cell>
          <cell r="C690">
            <v>1688</v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L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</row>
        <row r="691">
          <cell r="A691" t="str">
            <v/>
          </cell>
          <cell r="B691" t="str">
            <v/>
          </cell>
          <cell r="C691">
            <v>1689</v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L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</row>
        <row r="692">
          <cell r="A692" t="str">
            <v/>
          </cell>
          <cell r="B692" t="str">
            <v/>
          </cell>
          <cell r="C692">
            <v>1690</v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L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</row>
        <row r="693">
          <cell r="A693" t="str">
            <v/>
          </cell>
          <cell r="B693" t="str">
            <v/>
          </cell>
          <cell r="C693">
            <v>1691</v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L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</row>
        <row r="694">
          <cell r="A694" t="str">
            <v/>
          </cell>
          <cell r="B694" t="str">
            <v/>
          </cell>
          <cell r="C694">
            <v>1692</v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L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  <cell r="Z694" t="str">
            <v/>
          </cell>
        </row>
        <row r="695">
          <cell r="A695" t="str">
            <v/>
          </cell>
          <cell r="B695" t="str">
            <v/>
          </cell>
          <cell r="C695">
            <v>1693</v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L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</row>
        <row r="696">
          <cell r="A696" t="str">
            <v/>
          </cell>
          <cell r="B696" t="str">
            <v/>
          </cell>
          <cell r="C696">
            <v>1694</v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L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  <cell r="Z696" t="str">
            <v/>
          </cell>
        </row>
        <row r="697">
          <cell r="A697" t="str">
            <v/>
          </cell>
          <cell r="B697" t="str">
            <v/>
          </cell>
          <cell r="C697">
            <v>1695</v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L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</row>
        <row r="698">
          <cell r="A698" t="str">
            <v/>
          </cell>
          <cell r="B698" t="str">
            <v/>
          </cell>
          <cell r="C698">
            <v>1696</v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L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</row>
        <row r="699">
          <cell r="A699" t="str">
            <v/>
          </cell>
          <cell r="B699" t="str">
            <v/>
          </cell>
          <cell r="C699">
            <v>1697</v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L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</row>
        <row r="700">
          <cell r="A700" t="str">
            <v/>
          </cell>
          <cell r="B700" t="str">
            <v/>
          </cell>
          <cell r="C700">
            <v>1698</v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L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</row>
        <row r="701">
          <cell r="A701" t="str">
            <v/>
          </cell>
          <cell r="B701" t="str">
            <v/>
          </cell>
          <cell r="C701">
            <v>1699</v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L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</row>
        <row r="702">
          <cell r="A702" t="str">
            <v/>
          </cell>
          <cell r="B702" t="str">
            <v/>
          </cell>
          <cell r="C702">
            <v>1700</v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L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</row>
        <row r="703">
          <cell r="A703" t="str">
            <v/>
          </cell>
          <cell r="B703" t="str">
            <v/>
          </cell>
          <cell r="C703">
            <v>1701</v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L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</row>
        <row r="704">
          <cell r="A704" t="str">
            <v/>
          </cell>
          <cell r="B704" t="str">
            <v/>
          </cell>
          <cell r="C704">
            <v>1702</v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L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</row>
        <row r="705">
          <cell r="A705" t="str">
            <v/>
          </cell>
          <cell r="B705" t="str">
            <v/>
          </cell>
          <cell r="C705">
            <v>1703</v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L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</row>
        <row r="706">
          <cell r="A706" t="str">
            <v/>
          </cell>
          <cell r="B706" t="str">
            <v/>
          </cell>
          <cell r="C706">
            <v>1704</v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L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</row>
        <row r="707">
          <cell r="A707" t="str">
            <v/>
          </cell>
          <cell r="B707" t="str">
            <v/>
          </cell>
          <cell r="C707">
            <v>1705</v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L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</row>
        <row r="708">
          <cell r="A708" t="str">
            <v/>
          </cell>
          <cell r="B708" t="str">
            <v/>
          </cell>
          <cell r="C708">
            <v>1706</v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L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</row>
        <row r="709">
          <cell r="A709" t="str">
            <v/>
          </cell>
          <cell r="B709" t="str">
            <v/>
          </cell>
          <cell r="C709">
            <v>1707</v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L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</row>
        <row r="710">
          <cell r="A710" t="str">
            <v/>
          </cell>
          <cell r="B710" t="str">
            <v/>
          </cell>
          <cell r="C710">
            <v>1708</v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L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</row>
        <row r="711">
          <cell r="A711" t="str">
            <v/>
          </cell>
          <cell r="B711" t="str">
            <v/>
          </cell>
          <cell r="C711">
            <v>1709</v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L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</row>
        <row r="712">
          <cell r="A712" t="str">
            <v/>
          </cell>
          <cell r="B712" t="str">
            <v/>
          </cell>
          <cell r="C712">
            <v>1710</v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L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</row>
        <row r="713">
          <cell r="A713" t="str">
            <v/>
          </cell>
          <cell r="B713" t="str">
            <v/>
          </cell>
          <cell r="C713">
            <v>1711</v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L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</row>
        <row r="714">
          <cell r="A714" t="str">
            <v/>
          </cell>
          <cell r="B714" t="str">
            <v/>
          </cell>
          <cell r="C714">
            <v>1712</v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L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</row>
        <row r="715">
          <cell r="A715" t="str">
            <v/>
          </cell>
          <cell r="B715" t="str">
            <v/>
          </cell>
          <cell r="C715">
            <v>1713</v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L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</row>
        <row r="716">
          <cell r="A716" t="str">
            <v/>
          </cell>
          <cell r="B716" t="str">
            <v/>
          </cell>
          <cell r="C716">
            <v>1714</v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L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</row>
        <row r="717">
          <cell r="A717" t="str">
            <v/>
          </cell>
          <cell r="B717" t="str">
            <v/>
          </cell>
          <cell r="C717">
            <v>1715</v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L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</row>
        <row r="718">
          <cell r="A718" t="str">
            <v/>
          </cell>
          <cell r="B718" t="str">
            <v/>
          </cell>
          <cell r="C718">
            <v>1716</v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L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</row>
        <row r="719">
          <cell r="A719" t="str">
            <v/>
          </cell>
          <cell r="B719" t="str">
            <v/>
          </cell>
          <cell r="C719">
            <v>1717</v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L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</row>
        <row r="720">
          <cell r="A720" t="str">
            <v/>
          </cell>
          <cell r="B720" t="str">
            <v/>
          </cell>
          <cell r="C720">
            <v>1718</v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L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</row>
        <row r="721">
          <cell r="A721" t="str">
            <v/>
          </cell>
          <cell r="B721" t="str">
            <v/>
          </cell>
          <cell r="C721">
            <v>1719</v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L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</row>
        <row r="722">
          <cell r="A722" t="str">
            <v/>
          </cell>
          <cell r="B722" t="str">
            <v/>
          </cell>
          <cell r="C722">
            <v>1720</v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L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</row>
        <row r="723">
          <cell r="A723" t="str">
            <v/>
          </cell>
          <cell r="B723" t="str">
            <v/>
          </cell>
          <cell r="C723">
            <v>1721</v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L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</row>
        <row r="724">
          <cell r="A724" t="str">
            <v/>
          </cell>
          <cell r="B724" t="str">
            <v/>
          </cell>
          <cell r="C724">
            <v>1722</v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L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</row>
        <row r="725">
          <cell r="A725" t="str">
            <v/>
          </cell>
          <cell r="B725" t="str">
            <v/>
          </cell>
          <cell r="C725">
            <v>1723</v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L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</row>
        <row r="726">
          <cell r="A726" t="str">
            <v/>
          </cell>
          <cell r="B726" t="str">
            <v/>
          </cell>
          <cell r="C726">
            <v>1724</v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L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</row>
        <row r="727">
          <cell r="A727" t="str">
            <v/>
          </cell>
          <cell r="B727" t="str">
            <v/>
          </cell>
          <cell r="C727">
            <v>1725</v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L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</row>
        <row r="728">
          <cell r="A728" t="str">
            <v/>
          </cell>
          <cell r="B728" t="str">
            <v/>
          </cell>
          <cell r="C728">
            <v>1726</v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L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</row>
        <row r="729">
          <cell r="A729" t="str">
            <v/>
          </cell>
          <cell r="B729" t="str">
            <v/>
          </cell>
          <cell r="C729">
            <v>1727</v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L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</row>
        <row r="730">
          <cell r="A730" t="str">
            <v/>
          </cell>
          <cell r="B730" t="str">
            <v/>
          </cell>
          <cell r="C730">
            <v>1728</v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L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</row>
        <row r="731">
          <cell r="A731" t="str">
            <v/>
          </cell>
          <cell r="B731" t="str">
            <v/>
          </cell>
          <cell r="C731">
            <v>1729</v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L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</row>
        <row r="732">
          <cell r="A732" t="str">
            <v/>
          </cell>
          <cell r="B732" t="str">
            <v/>
          </cell>
          <cell r="C732">
            <v>1730</v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L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</row>
        <row r="733">
          <cell r="A733" t="str">
            <v/>
          </cell>
          <cell r="B733" t="str">
            <v/>
          </cell>
          <cell r="C733">
            <v>1731</v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L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</row>
        <row r="734">
          <cell r="A734" t="str">
            <v/>
          </cell>
          <cell r="B734" t="str">
            <v/>
          </cell>
          <cell r="C734">
            <v>1732</v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L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</row>
        <row r="735">
          <cell r="A735" t="str">
            <v/>
          </cell>
          <cell r="B735" t="str">
            <v/>
          </cell>
          <cell r="C735">
            <v>1733</v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L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</row>
        <row r="736">
          <cell r="A736" t="str">
            <v/>
          </cell>
          <cell r="B736" t="str">
            <v/>
          </cell>
          <cell r="C736">
            <v>1734</v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L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</row>
        <row r="737">
          <cell r="A737" t="str">
            <v/>
          </cell>
          <cell r="B737" t="str">
            <v/>
          </cell>
          <cell r="C737">
            <v>1735</v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L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</row>
        <row r="738">
          <cell r="A738" t="str">
            <v/>
          </cell>
          <cell r="B738" t="str">
            <v/>
          </cell>
          <cell r="C738">
            <v>1736</v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L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</row>
        <row r="739">
          <cell r="A739" t="str">
            <v/>
          </cell>
          <cell r="B739" t="str">
            <v/>
          </cell>
          <cell r="C739">
            <v>1737</v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L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</row>
        <row r="740">
          <cell r="A740" t="str">
            <v/>
          </cell>
          <cell r="B740" t="str">
            <v/>
          </cell>
          <cell r="C740">
            <v>1738</v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L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</row>
        <row r="741">
          <cell r="A741" t="str">
            <v/>
          </cell>
          <cell r="B741" t="str">
            <v/>
          </cell>
          <cell r="C741">
            <v>1739</v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L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</row>
        <row r="742">
          <cell r="A742" t="str">
            <v/>
          </cell>
          <cell r="B742" t="str">
            <v/>
          </cell>
          <cell r="C742">
            <v>1740</v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L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</row>
        <row r="743">
          <cell r="A743" t="str">
            <v/>
          </cell>
          <cell r="B743" t="str">
            <v/>
          </cell>
          <cell r="C743">
            <v>1741</v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L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</row>
        <row r="744">
          <cell r="A744" t="str">
            <v/>
          </cell>
          <cell r="B744" t="str">
            <v/>
          </cell>
          <cell r="C744">
            <v>1742</v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L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</row>
        <row r="745">
          <cell r="A745" t="str">
            <v/>
          </cell>
          <cell r="B745" t="str">
            <v/>
          </cell>
          <cell r="C745">
            <v>1743</v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L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</row>
        <row r="746">
          <cell r="A746" t="str">
            <v/>
          </cell>
          <cell r="B746" t="str">
            <v/>
          </cell>
          <cell r="C746">
            <v>1744</v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L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</row>
        <row r="747">
          <cell r="A747" t="str">
            <v/>
          </cell>
          <cell r="B747" t="str">
            <v/>
          </cell>
          <cell r="C747">
            <v>1745</v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L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</row>
        <row r="748">
          <cell r="A748" t="str">
            <v/>
          </cell>
          <cell r="B748" t="str">
            <v/>
          </cell>
          <cell r="C748">
            <v>1746</v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L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</row>
        <row r="749">
          <cell r="A749" t="str">
            <v/>
          </cell>
          <cell r="B749" t="str">
            <v/>
          </cell>
          <cell r="C749">
            <v>1747</v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L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</row>
        <row r="750">
          <cell r="A750" t="str">
            <v/>
          </cell>
          <cell r="B750" t="str">
            <v/>
          </cell>
          <cell r="C750">
            <v>1748</v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L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</row>
        <row r="751">
          <cell r="A751" t="str">
            <v/>
          </cell>
          <cell r="B751" t="str">
            <v/>
          </cell>
          <cell r="C751">
            <v>1749</v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L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</row>
        <row r="752">
          <cell r="A752" t="str">
            <v/>
          </cell>
          <cell r="B752" t="str">
            <v/>
          </cell>
          <cell r="C752">
            <v>1750</v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L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</row>
        <row r="753">
          <cell r="A753" t="str">
            <v/>
          </cell>
          <cell r="B753" t="str">
            <v/>
          </cell>
          <cell r="C753">
            <v>1751</v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L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</row>
        <row r="754">
          <cell r="A754" t="str">
            <v/>
          </cell>
          <cell r="B754" t="str">
            <v/>
          </cell>
          <cell r="C754">
            <v>1752</v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L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</row>
        <row r="755">
          <cell r="A755" t="str">
            <v/>
          </cell>
          <cell r="B755" t="str">
            <v/>
          </cell>
          <cell r="C755">
            <v>1753</v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L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</row>
        <row r="756">
          <cell r="A756" t="str">
            <v/>
          </cell>
          <cell r="B756" t="str">
            <v/>
          </cell>
          <cell r="C756">
            <v>1754</v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L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</row>
        <row r="757">
          <cell r="A757" t="str">
            <v/>
          </cell>
          <cell r="B757" t="str">
            <v/>
          </cell>
          <cell r="C757">
            <v>1755</v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L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</row>
        <row r="758">
          <cell r="A758" t="str">
            <v/>
          </cell>
          <cell r="B758" t="str">
            <v/>
          </cell>
          <cell r="C758">
            <v>1756</v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L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</row>
        <row r="759">
          <cell r="A759" t="str">
            <v/>
          </cell>
          <cell r="B759" t="str">
            <v/>
          </cell>
          <cell r="C759">
            <v>1757</v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L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</row>
        <row r="760">
          <cell r="A760" t="str">
            <v/>
          </cell>
          <cell r="B760" t="str">
            <v/>
          </cell>
          <cell r="C760">
            <v>1758</v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L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</row>
        <row r="761">
          <cell r="A761" t="str">
            <v/>
          </cell>
          <cell r="B761" t="str">
            <v/>
          </cell>
          <cell r="C761">
            <v>1759</v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L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</row>
        <row r="762">
          <cell r="A762" t="str">
            <v/>
          </cell>
          <cell r="B762" t="str">
            <v/>
          </cell>
          <cell r="C762">
            <v>1760</v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L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</row>
        <row r="763">
          <cell r="A763" t="str">
            <v/>
          </cell>
          <cell r="B763" t="str">
            <v/>
          </cell>
          <cell r="C763">
            <v>1761</v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L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</row>
        <row r="764">
          <cell r="A764" t="str">
            <v/>
          </cell>
          <cell r="B764" t="str">
            <v/>
          </cell>
          <cell r="C764">
            <v>1762</v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L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</row>
        <row r="765">
          <cell r="A765" t="str">
            <v/>
          </cell>
          <cell r="B765" t="str">
            <v/>
          </cell>
          <cell r="C765">
            <v>1763</v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L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</row>
        <row r="766">
          <cell r="A766" t="str">
            <v/>
          </cell>
          <cell r="B766" t="str">
            <v/>
          </cell>
          <cell r="C766">
            <v>1764</v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L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</row>
        <row r="767">
          <cell r="A767" t="str">
            <v/>
          </cell>
          <cell r="B767" t="str">
            <v/>
          </cell>
          <cell r="C767">
            <v>1765</v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L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</row>
        <row r="768">
          <cell r="A768" t="str">
            <v/>
          </cell>
          <cell r="B768" t="str">
            <v/>
          </cell>
          <cell r="C768">
            <v>1766</v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L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</row>
        <row r="769">
          <cell r="A769" t="str">
            <v/>
          </cell>
          <cell r="B769" t="str">
            <v/>
          </cell>
          <cell r="C769">
            <v>1767</v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L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</row>
        <row r="770">
          <cell r="A770" t="str">
            <v/>
          </cell>
          <cell r="B770" t="str">
            <v/>
          </cell>
          <cell r="C770">
            <v>1768</v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L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</row>
        <row r="771">
          <cell r="A771" t="str">
            <v/>
          </cell>
          <cell r="B771" t="str">
            <v/>
          </cell>
          <cell r="C771">
            <v>1769</v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L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</row>
        <row r="772">
          <cell r="A772" t="str">
            <v/>
          </cell>
          <cell r="B772" t="str">
            <v/>
          </cell>
          <cell r="C772">
            <v>1770</v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L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</row>
        <row r="773">
          <cell r="A773" t="str">
            <v/>
          </cell>
          <cell r="B773" t="str">
            <v/>
          </cell>
          <cell r="C773">
            <v>1771</v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L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</row>
        <row r="774">
          <cell r="A774" t="str">
            <v/>
          </cell>
          <cell r="B774" t="str">
            <v/>
          </cell>
          <cell r="C774">
            <v>1772</v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L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</row>
        <row r="775">
          <cell r="A775" t="str">
            <v/>
          </cell>
          <cell r="B775" t="str">
            <v/>
          </cell>
          <cell r="C775">
            <v>1773</v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L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</row>
        <row r="776">
          <cell r="A776" t="str">
            <v/>
          </cell>
          <cell r="B776" t="str">
            <v/>
          </cell>
          <cell r="C776">
            <v>1774</v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L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</row>
        <row r="777">
          <cell r="A777" t="str">
            <v/>
          </cell>
          <cell r="B777" t="str">
            <v/>
          </cell>
          <cell r="C777">
            <v>1775</v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L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</row>
        <row r="778">
          <cell r="A778" t="str">
            <v/>
          </cell>
          <cell r="B778" t="str">
            <v/>
          </cell>
          <cell r="C778">
            <v>1776</v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L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</row>
        <row r="779">
          <cell r="A779" t="str">
            <v/>
          </cell>
          <cell r="B779" t="str">
            <v/>
          </cell>
          <cell r="C779">
            <v>1777</v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L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</row>
        <row r="780">
          <cell r="A780" t="str">
            <v/>
          </cell>
          <cell r="B780" t="str">
            <v/>
          </cell>
          <cell r="C780">
            <v>1778</v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L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</row>
        <row r="781">
          <cell r="A781" t="str">
            <v/>
          </cell>
          <cell r="B781" t="str">
            <v/>
          </cell>
          <cell r="C781">
            <v>1779</v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L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</row>
        <row r="782">
          <cell r="A782" t="str">
            <v/>
          </cell>
          <cell r="B782" t="str">
            <v/>
          </cell>
          <cell r="C782">
            <v>1780</v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L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</row>
        <row r="783">
          <cell r="A783" t="str">
            <v/>
          </cell>
          <cell r="B783" t="str">
            <v/>
          </cell>
          <cell r="C783">
            <v>1781</v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L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</row>
        <row r="784">
          <cell r="A784" t="str">
            <v/>
          </cell>
          <cell r="B784" t="str">
            <v/>
          </cell>
          <cell r="C784">
            <v>1782</v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L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</row>
        <row r="785">
          <cell r="A785" t="str">
            <v/>
          </cell>
          <cell r="B785" t="str">
            <v/>
          </cell>
          <cell r="C785">
            <v>1783</v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L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</row>
        <row r="786">
          <cell r="A786" t="str">
            <v/>
          </cell>
          <cell r="B786" t="str">
            <v/>
          </cell>
          <cell r="C786">
            <v>1784</v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L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</row>
        <row r="787">
          <cell r="A787" t="str">
            <v/>
          </cell>
          <cell r="B787" t="str">
            <v/>
          </cell>
          <cell r="C787">
            <v>1785</v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L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</row>
        <row r="788">
          <cell r="A788" t="str">
            <v/>
          </cell>
          <cell r="B788" t="str">
            <v/>
          </cell>
          <cell r="C788">
            <v>1786</v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L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</row>
        <row r="789">
          <cell r="A789" t="str">
            <v/>
          </cell>
          <cell r="B789" t="str">
            <v/>
          </cell>
          <cell r="C789">
            <v>1787</v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L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</row>
        <row r="790">
          <cell r="A790" t="str">
            <v/>
          </cell>
          <cell r="B790" t="str">
            <v/>
          </cell>
          <cell r="C790">
            <v>1788</v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L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</row>
        <row r="791">
          <cell r="A791" t="str">
            <v/>
          </cell>
          <cell r="B791" t="str">
            <v/>
          </cell>
          <cell r="C791">
            <v>1789</v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L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</row>
        <row r="792">
          <cell r="A792" t="str">
            <v/>
          </cell>
          <cell r="B792" t="str">
            <v/>
          </cell>
          <cell r="C792">
            <v>1790</v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L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</row>
        <row r="793">
          <cell r="A793" t="str">
            <v/>
          </cell>
          <cell r="B793" t="str">
            <v/>
          </cell>
          <cell r="C793">
            <v>1791</v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L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</row>
        <row r="794">
          <cell r="A794" t="str">
            <v/>
          </cell>
          <cell r="B794" t="str">
            <v/>
          </cell>
          <cell r="C794">
            <v>1792</v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L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</row>
        <row r="795">
          <cell r="A795" t="str">
            <v/>
          </cell>
          <cell r="B795" t="str">
            <v/>
          </cell>
          <cell r="C795">
            <v>1793</v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L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</row>
        <row r="796">
          <cell r="A796" t="str">
            <v/>
          </cell>
          <cell r="B796" t="str">
            <v/>
          </cell>
          <cell r="C796">
            <v>1794</v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L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</row>
        <row r="797">
          <cell r="A797" t="str">
            <v/>
          </cell>
          <cell r="B797" t="str">
            <v/>
          </cell>
          <cell r="C797">
            <v>1795</v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L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</row>
        <row r="798">
          <cell r="A798" t="str">
            <v/>
          </cell>
          <cell r="B798" t="str">
            <v/>
          </cell>
          <cell r="C798">
            <v>1796</v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L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</row>
        <row r="799">
          <cell r="A799" t="str">
            <v/>
          </cell>
          <cell r="B799" t="str">
            <v/>
          </cell>
          <cell r="C799">
            <v>1797</v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L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</row>
        <row r="800">
          <cell r="A800" t="str">
            <v/>
          </cell>
          <cell r="B800" t="str">
            <v/>
          </cell>
          <cell r="C800">
            <v>1798</v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L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</row>
        <row r="801">
          <cell r="A801" t="str">
            <v/>
          </cell>
          <cell r="B801" t="str">
            <v/>
          </cell>
          <cell r="C801">
            <v>1799</v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L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</row>
        <row r="802">
          <cell r="A802" t="str">
            <v/>
          </cell>
          <cell r="B802" t="str">
            <v/>
          </cell>
          <cell r="C802">
            <v>1800</v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L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</row>
        <row r="803">
          <cell r="A803" t="str">
            <v/>
          </cell>
          <cell r="B803" t="str">
            <v/>
          </cell>
          <cell r="C803">
            <v>1801</v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L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</row>
        <row r="804">
          <cell r="A804" t="str">
            <v/>
          </cell>
          <cell r="B804" t="str">
            <v/>
          </cell>
          <cell r="C804">
            <v>1802</v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L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</row>
        <row r="805">
          <cell r="A805" t="str">
            <v/>
          </cell>
          <cell r="B805" t="str">
            <v/>
          </cell>
          <cell r="C805">
            <v>1803</v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L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</row>
        <row r="806">
          <cell r="A806" t="str">
            <v/>
          </cell>
          <cell r="B806" t="str">
            <v/>
          </cell>
          <cell r="C806">
            <v>1804</v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L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</row>
        <row r="807">
          <cell r="A807" t="str">
            <v/>
          </cell>
          <cell r="B807" t="str">
            <v/>
          </cell>
          <cell r="C807">
            <v>1805</v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L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</row>
        <row r="808">
          <cell r="A808" t="str">
            <v/>
          </cell>
          <cell r="B808" t="str">
            <v/>
          </cell>
          <cell r="C808">
            <v>1806</v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L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</row>
        <row r="809">
          <cell r="A809" t="str">
            <v/>
          </cell>
          <cell r="B809" t="str">
            <v/>
          </cell>
          <cell r="C809">
            <v>1807</v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L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</row>
        <row r="810">
          <cell r="A810" t="str">
            <v/>
          </cell>
          <cell r="B810" t="str">
            <v/>
          </cell>
          <cell r="C810">
            <v>1808</v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L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</row>
        <row r="811">
          <cell r="A811" t="str">
            <v/>
          </cell>
          <cell r="B811" t="str">
            <v/>
          </cell>
          <cell r="C811">
            <v>1809</v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L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</row>
        <row r="812">
          <cell r="A812" t="str">
            <v/>
          </cell>
          <cell r="B812" t="str">
            <v/>
          </cell>
          <cell r="C812">
            <v>1810</v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L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</row>
        <row r="813">
          <cell r="A813" t="str">
            <v/>
          </cell>
          <cell r="B813" t="str">
            <v/>
          </cell>
          <cell r="C813">
            <v>1811</v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L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</row>
        <row r="814">
          <cell r="A814" t="str">
            <v/>
          </cell>
          <cell r="B814" t="str">
            <v/>
          </cell>
          <cell r="C814">
            <v>1812</v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L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</row>
        <row r="815">
          <cell r="A815" t="str">
            <v/>
          </cell>
          <cell r="B815" t="str">
            <v/>
          </cell>
          <cell r="C815">
            <v>1813</v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L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</row>
        <row r="816">
          <cell r="A816" t="str">
            <v/>
          </cell>
          <cell r="B816" t="str">
            <v/>
          </cell>
          <cell r="C816">
            <v>1814</v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L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</row>
        <row r="817">
          <cell r="A817" t="str">
            <v/>
          </cell>
          <cell r="B817" t="str">
            <v/>
          </cell>
          <cell r="C817">
            <v>1815</v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L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</row>
        <row r="818">
          <cell r="A818" t="str">
            <v/>
          </cell>
          <cell r="B818" t="str">
            <v/>
          </cell>
          <cell r="C818">
            <v>1816</v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L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</row>
        <row r="819">
          <cell r="A819" t="str">
            <v/>
          </cell>
          <cell r="B819" t="str">
            <v/>
          </cell>
          <cell r="C819">
            <v>1817</v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L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</row>
        <row r="820">
          <cell r="A820" t="str">
            <v/>
          </cell>
          <cell r="B820" t="str">
            <v/>
          </cell>
          <cell r="C820">
            <v>1818</v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L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</row>
        <row r="821">
          <cell r="A821" t="str">
            <v/>
          </cell>
          <cell r="B821" t="str">
            <v/>
          </cell>
          <cell r="C821">
            <v>1819</v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L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</row>
        <row r="822">
          <cell r="A822" t="str">
            <v/>
          </cell>
          <cell r="B822" t="str">
            <v/>
          </cell>
          <cell r="C822">
            <v>1820</v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L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</row>
        <row r="823">
          <cell r="A823" t="str">
            <v/>
          </cell>
          <cell r="B823" t="str">
            <v/>
          </cell>
          <cell r="C823">
            <v>1821</v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L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</row>
        <row r="824">
          <cell r="A824" t="str">
            <v/>
          </cell>
          <cell r="B824" t="str">
            <v/>
          </cell>
          <cell r="C824">
            <v>1822</v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L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</row>
        <row r="825">
          <cell r="A825" t="str">
            <v/>
          </cell>
          <cell r="B825" t="str">
            <v/>
          </cell>
          <cell r="C825">
            <v>1823</v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L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</row>
        <row r="826">
          <cell r="A826" t="str">
            <v/>
          </cell>
          <cell r="B826" t="str">
            <v/>
          </cell>
          <cell r="C826">
            <v>1824</v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L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</row>
        <row r="827">
          <cell r="A827" t="str">
            <v/>
          </cell>
          <cell r="B827" t="str">
            <v/>
          </cell>
          <cell r="C827">
            <v>1825</v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L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</row>
        <row r="828">
          <cell r="A828" t="str">
            <v/>
          </cell>
          <cell r="B828" t="str">
            <v/>
          </cell>
          <cell r="C828">
            <v>1826</v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L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</row>
        <row r="829">
          <cell r="A829" t="str">
            <v/>
          </cell>
          <cell r="B829" t="str">
            <v/>
          </cell>
          <cell r="C829">
            <v>1827</v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L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</row>
        <row r="830">
          <cell r="A830" t="str">
            <v/>
          </cell>
          <cell r="B830" t="str">
            <v/>
          </cell>
          <cell r="C830">
            <v>1828</v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L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</row>
        <row r="831">
          <cell r="A831" t="str">
            <v/>
          </cell>
          <cell r="B831" t="str">
            <v/>
          </cell>
          <cell r="C831">
            <v>1829</v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L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</row>
        <row r="832">
          <cell r="A832" t="str">
            <v/>
          </cell>
          <cell r="B832" t="str">
            <v/>
          </cell>
          <cell r="C832">
            <v>1830</v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L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</row>
        <row r="833">
          <cell r="A833" t="str">
            <v/>
          </cell>
          <cell r="B833" t="str">
            <v/>
          </cell>
          <cell r="C833">
            <v>1831</v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L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</row>
        <row r="834">
          <cell r="A834" t="str">
            <v/>
          </cell>
          <cell r="B834" t="str">
            <v/>
          </cell>
          <cell r="C834">
            <v>1832</v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L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</row>
        <row r="835">
          <cell r="A835" t="str">
            <v/>
          </cell>
          <cell r="B835" t="str">
            <v/>
          </cell>
          <cell r="C835">
            <v>1833</v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L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</row>
        <row r="836">
          <cell r="A836" t="str">
            <v/>
          </cell>
          <cell r="B836" t="str">
            <v/>
          </cell>
          <cell r="C836">
            <v>1834</v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L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</row>
        <row r="837">
          <cell r="A837" t="str">
            <v/>
          </cell>
          <cell r="B837" t="str">
            <v/>
          </cell>
          <cell r="C837">
            <v>1835</v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L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</row>
        <row r="838">
          <cell r="A838" t="str">
            <v/>
          </cell>
          <cell r="B838" t="str">
            <v/>
          </cell>
          <cell r="C838">
            <v>1836</v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L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</row>
        <row r="839">
          <cell r="A839" t="str">
            <v/>
          </cell>
          <cell r="B839" t="str">
            <v/>
          </cell>
          <cell r="C839">
            <v>1837</v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L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</row>
        <row r="840">
          <cell r="A840" t="str">
            <v/>
          </cell>
          <cell r="B840" t="str">
            <v/>
          </cell>
          <cell r="C840">
            <v>1838</v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L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</row>
        <row r="841">
          <cell r="A841" t="str">
            <v/>
          </cell>
          <cell r="B841" t="str">
            <v/>
          </cell>
          <cell r="C841">
            <v>1839</v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L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</row>
        <row r="842">
          <cell r="A842" t="str">
            <v/>
          </cell>
          <cell r="B842" t="str">
            <v/>
          </cell>
          <cell r="C842">
            <v>1840</v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L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</row>
        <row r="843">
          <cell r="A843" t="str">
            <v/>
          </cell>
          <cell r="B843" t="str">
            <v/>
          </cell>
          <cell r="C843">
            <v>1841</v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L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</row>
        <row r="844">
          <cell r="A844" t="str">
            <v/>
          </cell>
          <cell r="B844" t="str">
            <v/>
          </cell>
          <cell r="C844">
            <v>1842</v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L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</row>
        <row r="845">
          <cell r="A845" t="str">
            <v/>
          </cell>
          <cell r="B845" t="str">
            <v/>
          </cell>
          <cell r="C845">
            <v>1843</v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L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</row>
        <row r="846">
          <cell r="A846" t="str">
            <v/>
          </cell>
          <cell r="B846" t="str">
            <v/>
          </cell>
          <cell r="C846">
            <v>1844</v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L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</row>
        <row r="847">
          <cell r="A847" t="str">
            <v/>
          </cell>
          <cell r="B847" t="str">
            <v/>
          </cell>
          <cell r="C847">
            <v>1845</v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L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</row>
        <row r="848">
          <cell r="A848" t="str">
            <v/>
          </cell>
          <cell r="B848" t="str">
            <v/>
          </cell>
          <cell r="C848">
            <v>1846</v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L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</row>
        <row r="849">
          <cell r="A849" t="str">
            <v/>
          </cell>
          <cell r="B849" t="str">
            <v/>
          </cell>
          <cell r="C849">
            <v>1847</v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L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</row>
        <row r="850">
          <cell r="A850" t="str">
            <v/>
          </cell>
          <cell r="B850" t="str">
            <v/>
          </cell>
          <cell r="C850">
            <v>1848</v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L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</row>
        <row r="851">
          <cell r="A851" t="str">
            <v/>
          </cell>
          <cell r="B851" t="str">
            <v/>
          </cell>
          <cell r="C851">
            <v>1849</v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L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</row>
        <row r="852">
          <cell r="A852" t="str">
            <v/>
          </cell>
          <cell r="B852" t="str">
            <v/>
          </cell>
          <cell r="C852">
            <v>1850</v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L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</row>
        <row r="853">
          <cell r="A853" t="str">
            <v/>
          </cell>
          <cell r="B853" t="str">
            <v/>
          </cell>
          <cell r="C853">
            <v>1851</v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L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</row>
        <row r="854">
          <cell r="A854" t="str">
            <v/>
          </cell>
          <cell r="B854" t="str">
            <v/>
          </cell>
          <cell r="C854">
            <v>1852</v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L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</row>
        <row r="855">
          <cell r="A855" t="str">
            <v/>
          </cell>
          <cell r="B855" t="str">
            <v/>
          </cell>
          <cell r="C855">
            <v>1853</v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L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</row>
        <row r="856">
          <cell r="A856" t="str">
            <v/>
          </cell>
          <cell r="B856" t="str">
            <v/>
          </cell>
          <cell r="C856">
            <v>1854</v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L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</row>
        <row r="857">
          <cell r="A857" t="str">
            <v/>
          </cell>
          <cell r="B857" t="str">
            <v/>
          </cell>
          <cell r="C857">
            <v>1855</v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L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</row>
        <row r="858">
          <cell r="A858" t="str">
            <v/>
          </cell>
          <cell r="B858" t="str">
            <v/>
          </cell>
          <cell r="C858">
            <v>1856</v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L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</row>
        <row r="859">
          <cell r="A859" t="str">
            <v/>
          </cell>
          <cell r="B859" t="str">
            <v/>
          </cell>
          <cell r="C859">
            <v>1857</v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L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</row>
        <row r="860">
          <cell r="A860" t="str">
            <v/>
          </cell>
          <cell r="B860" t="str">
            <v/>
          </cell>
          <cell r="C860">
            <v>1858</v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L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</row>
        <row r="861">
          <cell r="A861" t="str">
            <v/>
          </cell>
          <cell r="B861" t="str">
            <v/>
          </cell>
          <cell r="C861">
            <v>1859</v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L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</row>
        <row r="862">
          <cell r="A862" t="str">
            <v/>
          </cell>
          <cell r="B862" t="str">
            <v/>
          </cell>
          <cell r="C862">
            <v>1860</v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L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</row>
        <row r="863">
          <cell r="A863" t="str">
            <v/>
          </cell>
          <cell r="B863" t="str">
            <v/>
          </cell>
          <cell r="C863">
            <v>1861</v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L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</row>
        <row r="864">
          <cell r="A864" t="str">
            <v/>
          </cell>
          <cell r="B864" t="str">
            <v/>
          </cell>
          <cell r="C864">
            <v>1862</v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L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</row>
        <row r="865">
          <cell r="A865" t="str">
            <v/>
          </cell>
          <cell r="B865" t="str">
            <v/>
          </cell>
          <cell r="C865">
            <v>1863</v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L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</row>
        <row r="866">
          <cell r="A866" t="str">
            <v/>
          </cell>
          <cell r="B866" t="str">
            <v/>
          </cell>
          <cell r="C866">
            <v>1864</v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L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</row>
        <row r="867">
          <cell r="A867" t="str">
            <v/>
          </cell>
          <cell r="B867" t="str">
            <v/>
          </cell>
          <cell r="C867">
            <v>1865</v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L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</row>
        <row r="868">
          <cell r="A868" t="str">
            <v/>
          </cell>
          <cell r="B868" t="str">
            <v/>
          </cell>
          <cell r="C868">
            <v>1866</v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L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</row>
        <row r="869">
          <cell r="A869" t="str">
            <v/>
          </cell>
          <cell r="B869" t="str">
            <v/>
          </cell>
          <cell r="C869">
            <v>1867</v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L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</row>
        <row r="870">
          <cell r="A870" t="str">
            <v/>
          </cell>
          <cell r="B870" t="str">
            <v/>
          </cell>
          <cell r="C870">
            <v>1868</v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L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</row>
        <row r="871">
          <cell r="A871" t="str">
            <v/>
          </cell>
          <cell r="B871" t="str">
            <v/>
          </cell>
          <cell r="C871">
            <v>1869</v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L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</row>
        <row r="872">
          <cell r="A872" t="str">
            <v/>
          </cell>
          <cell r="B872" t="str">
            <v/>
          </cell>
          <cell r="C872">
            <v>1870</v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L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</row>
        <row r="873">
          <cell r="A873" t="str">
            <v/>
          </cell>
          <cell r="B873" t="str">
            <v/>
          </cell>
          <cell r="C873">
            <v>1871</v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L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</row>
        <row r="874">
          <cell r="A874" t="str">
            <v/>
          </cell>
          <cell r="B874" t="str">
            <v/>
          </cell>
          <cell r="C874">
            <v>1872</v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L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</row>
        <row r="875">
          <cell r="A875" t="str">
            <v/>
          </cell>
          <cell r="B875" t="str">
            <v/>
          </cell>
          <cell r="C875">
            <v>1873</v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L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</row>
        <row r="876">
          <cell r="A876" t="str">
            <v/>
          </cell>
          <cell r="B876" t="str">
            <v/>
          </cell>
          <cell r="C876">
            <v>1874</v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L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</row>
        <row r="877">
          <cell r="A877" t="str">
            <v/>
          </cell>
          <cell r="B877" t="str">
            <v/>
          </cell>
          <cell r="C877">
            <v>1875</v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L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</row>
        <row r="878">
          <cell r="A878" t="str">
            <v/>
          </cell>
          <cell r="B878" t="str">
            <v/>
          </cell>
          <cell r="C878">
            <v>1876</v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L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</row>
        <row r="879">
          <cell r="A879" t="str">
            <v/>
          </cell>
          <cell r="B879" t="str">
            <v/>
          </cell>
          <cell r="C879">
            <v>1877</v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L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</row>
        <row r="880">
          <cell r="A880" t="str">
            <v/>
          </cell>
          <cell r="B880" t="str">
            <v/>
          </cell>
          <cell r="C880">
            <v>1878</v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L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</row>
        <row r="881">
          <cell r="A881" t="str">
            <v/>
          </cell>
          <cell r="B881" t="str">
            <v/>
          </cell>
          <cell r="C881">
            <v>1879</v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L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</row>
        <row r="882">
          <cell r="A882" t="str">
            <v/>
          </cell>
          <cell r="B882" t="str">
            <v/>
          </cell>
          <cell r="C882">
            <v>1880</v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L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</row>
        <row r="883">
          <cell r="A883" t="str">
            <v/>
          </cell>
          <cell r="B883" t="str">
            <v/>
          </cell>
          <cell r="C883">
            <v>1881</v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L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</row>
        <row r="884">
          <cell r="A884" t="str">
            <v/>
          </cell>
          <cell r="B884" t="str">
            <v/>
          </cell>
          <cell r="C884">
            <v>1882</v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L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</row>
        <row r="885">
          <cell r="A885" t="str">
            <v/>
          </cell>
          <cell r="B885" t="str">
            <v/>
          </cell>
          <cell r="C885">
            <v>1883</v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L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</row>
        <row r="886">
          <cell r="A886" t="str">
            <v/>
          </cell>
          <cell r="B886" t="str">
            <v/>
          </cell>
          <cell r="C886">
            <v>1884</v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L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</row>
        <row r="887">
          <cell r="A887" t="str">
            <v/>
          </cell>
          <cell r="B887" t="str">
            <v/>
          </cell>
          <cell r="C887">
            <v>1885</v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L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</row>
        <row r="888">
          <cell r="A888" t="str">
            <v/>
          </cell>
          <cell r="B888" t="str">
            <v/>
          </cell>
          <cell r="C888">
            <v>1886</v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L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</row>
        <row r="889">
          <cell r="A889" t="str">
            <v/>
          </cell>
          <cell r="B889" t="str">
            <v/>
          </cell>
          <cell r="C889">
            <v>1887</v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L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</row>
        <row r="890">
          <cell r="A890" t="str">
            <v/>
          </cell>
          <cell r="B890" t="str">
            <v/>
          </cell>
          <cell r="C890">
            <v>1888</v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L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</row>
        <row r="891">
          <cell r="A891" t="str">
            <v/>
          </cell>
          <cell r="B891" t="str">
            <v/>
          </cell>
          <cell r="C891">
            <v>1889</v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L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</row>
        <row r="892">
          <cell r="A892" t="str">
            <v/>
          </cell>
          <cell r="B892" t="str">
            <v/>
          </cell>
          <cell r="C892">
            <v>1890</v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L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</row>
        <row r="893">
          <cell r="A893" t="str">
            <v/>
          </cell>
          <cell r="B893" t="str">
            <v/>
          </cell>
          <cell r="C893">
            <v>1891</v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L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</row>
        <row r="894">
          <cell r="A894" t="str">
            <v/>
          </cell>
          <cell r="B894" t="str">
            <v/>
          </cell>
          <cell r="C894">
            <v>1892</v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L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</row>
        <row r="895">
          <cell r="A895" t="str">
            <v/>
          </cell>
          <cell r="B895" t="str">
            <v/>
          </cell>
          <cell r="C895">
            <v>1893</v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L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</row>
        <row r="896">
          <cell r="A896" t="str">
            <v/>
          </cell>
          <cell r="B896" t="str">
            <v/>
          </cell>
          <cell r="C896">
            <v>1894</v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L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</row>
        <row r="897">
          <cell r="A897" t="str">
            <v/>
          </cell>
          <cell r="B897" t="str">
            <v/>
          </cell>
          <cell r="C897">
            <v>1895</v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L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</row>
        <row r="898">
          <cell r="A898" t="str">
            <v/>
          </cell>
          <cell r="B898" t="str">
            <v/>
          </cell>
          <cell r="C898">
            <v>1896</v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L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</row>
        <row r="899">
          <cell r="A899" t="str">
            <v/>
          </cell>
          <cell r="B899" t="str">
            <v/>
          </cell>
          <cell r="C899">
            <v>1897</v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L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</row>
        <row r="900">
          <cell r="A900" t="str">
            <v/>
          </cell>
          <cell r="B900" t="str">
            <v/>
          </cell>
          <cell r="C900">
            <v>1898</v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L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</row>
        <row r="901">
          <cell r="A901" t="str">
            <v/>
          </cell>
          <cell r="B901" t="str">
            <v/>
          </cell>
          <cell r="C901">
            <v>1899</v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L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</row>
        <row r="902">
          <cell r="A902" t="str">
            <v/>
          </cell>
          <cell r="B902" t="str">
            <v/>
          </cell>
          <cell r="C902">
            <v>1900</v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L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</row>
        <row r="903">
          <cell r="A903" t="str">
            <v/>
          </cell>
          <cell r="B903" t="str">
            <v/>
          </cell>
          <cell r="C903">
            <v>1901</v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L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</row>
        <row r="904">
          <cell r="A904" t="str">
            <v/>
          </cell>
          <cell r="B904" t="str">
            <v/>
          </cell>
          <cell r="C904">
            <v>1902</v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L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</row>
        <row r="905">
          <cell r="A905" t="str">
            <v/>
          </cell>
          <cell r="B905" t="str">
            <v/>
          </cell>
          <cell r="C905">
            <v>1903</v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L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</row>
        <row r="906">
          <cell r="A906" t="str">
            <v/>
          </cell>
          <cell r="B906" t="str">
            <v/>
          </cell>
          <cell r="C906">
            <v>1904</v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L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</row>
        <row r="907">
          <cell r="A907" t="str">
            <v/>
          </cell>
          <cell r="B907" t="str">
            <v/>
          </cell>
          <cell r="C907">
            <v>1905</v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L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</row>
        <row r="908">
          <cell r="A908" t="str">
            <v/>
          </cell>
          <cell r="B908" t="str">
            <v/>
          </cell>
          <cell r="C908">
            <v>1906</v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L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</row>
        <row r="909">
          <cell r="A909" t="str">
            <v/>
          </cell>
          <cell r="B909" t="str">
            <v/>
          </cell>
          <cell r="C909">
            <v>1907</v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L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</row>
        <row r="910">
          <cell r="A910" t="str">
            <v/>
          </cell>
          <cell r="B910" t="str">
            <v/>
          </cell>
          <cell r="C910">
            <v>1908</v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L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</row>
        <row r="911">
          <cell r="A911" t="str">
            <v/>
          </cell>
          <cell r="B911" t="str">
            <v/>
          </cell>
          <cell r="C911">
            <v>1909</v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L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</row>
        <row r="912">
          <cell r="A912" t="str">
            <v/>
          </cell>
          <cell r="B912" t="str">
            <v/>
          </cell>
          <cell r="C912">
            <v>1910</v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L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</row>
        <row r="913">
          <cell r="A913" t="str">
            <v/>
          </cell>
          <cell r="B913" t="str">
            <v/>
          </cell>
          <cell r="C913">
            <v>1911</v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L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</row>
        <row r="914">
          <cell r="A914" t="str">
            <v/>
          </cell>
          <cell r="B914" t="str">
            <v/>
          </cell>
          <cell r="C914">
            <v>1912</v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L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</row>
        <row r="915">
          <cell r="A915" t="str">
            <v/>
          </cell>
          <cell r="B915" t="str">
            <v/>
          </cell>
          <cell r="C915">
            <v>1913</v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L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</row>
        <row r="916">
          <cell r="A916" t="str">
            <v/>
          </cell>
          <cell r="B916" t="str">
            <v/>
          </cell>
          <cell r="C916">
            <v>1914</v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L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</row>
        <row r="917">
          <cell r="A917" t="str">
            <v/>
          </cell>
          <cell r="B917" t="str">
            <v/>
          </cell>
          <cell r="C917">
            <v>1915</v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L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</row>
        <row r="918">
          <cell r="A918" t="str">
            <v/>
          </cell>
          <cell r="B918" t="str">
            <v/>
          </cell>
          <cell r="C918">
            <v>1916</v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L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</row>
        <row r="919">
          <cell r="A919" t="str">
            <v/>
          </cell>
          <cell r="B919" t="str">
            <v/>
          </cell>
          <cell r="C919">
            <v>1917</v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L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</row>
        <row r="920">
          <cell r="A920" t="str">
            <v/>
          </cell>
          <cell r="B920" t="str">
            <v/>
          </cell>
          <cell r="C920">
            <v>1918</v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L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</row>
        <row r="921">
          <cell r="A921" t="str">
            <v/>
          </cell>
          <cell r="B921" t="str">
            <v/>
          </cell>
          <cell r="C921">
            <v>1919</v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L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</row>
        <row r="922">
          <cell r="A922" t="str">
            <v/>
          </cell>
          <cell r="B922" t="str">
            <v/>
          </cell>
          <cell r="C922">
            <v>1920</v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L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</row>
        <row r="923">
          <cell r="A923" t="str">
            <v/>
          </cell>
          <cell r="B923" t="str">
            <v/>
          </cell>
          <cell r="C923">
            <v>1921</v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L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</row>
        <row r="924">
          <cell r="A924" t="str">
            <v/>
          </cell>
          <cell r="B924" t="str">
            <v/>
          </cell>
          <cell r="C924">
            <v>1922</v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L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</row>
        <row r="925">
          <cell r="A925" t="str">
            <v/>
          </cell>
          <cell r="B925" t="str">
            <v/>
          </cell>
          <cell r="C925">
            <v>1923</v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L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</row>
        <row r="926">
          <cell r="A926" t="str">
            <v/>
          </cell>
          <cell r="B926" t="str">
            <v/>
          </cell>
          <cell r="C926">
            <v>1924</v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L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</row>
        <row r="927">
          <cell r="A927" t="str">
            <v/>
          </cell>
          <cell r="B927" t="str">
            <v/>
          </cell>
          <cell r="C927">
            <v>1925</v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L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</row>
        <row r="928">
          <cell r="A928" t="str">
            <v/>
          </cell>
          <cell r="B928" t="str">
            <v/>
          </cell>
          <cell r="C928">
            <v>1926</v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L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</row>
        <row r="929">
          <cell r="A929" t="str">
            <v/>
          </cell>
          <cell r="B929" t="str">
            <v/>
          </cell>
          <cell r="C929">
            <v>1927</v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L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</row>
        <row r="930">
          <cell r="A930" t="str">
            <v/>
          </cell>
          <cell r="B930" t="str">
            <v/>
          </cell>
          <cell r="C930">
            <v>1928</v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L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</row>
        <row r="931">
          <cell r="A931" t="str">
            <v/>
          </cell>
          <cell r="B931" t="str">
            <v/>
          </cell>
          <cell r="C931">
            <v>1929</v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L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</row>
        <row r="932">
          <cell r="A932" t="str">
            <v/>
          </cell>
          <cell r="B932" t="str">
            <v/>
          </cell>
          <cell r="C932">
            <v>1930</v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L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</row>
        <row r="933">
          <cell r="A933" t="str">
            <v/>
          </cell>
          <cell r="B933" t="str">
            <v/>
          </cell>
          <cell r="C933">
            <v>1931</v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L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</row>
        <row r="934">
          <cell r="A934" t="str">
            <v/>
          </cell>
          <cell r="B934" t="str">
            <v/>
          </cell>
          <cell r="C934">
            <v>1932</v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L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</row>
        <row r="935">
          <cell r="A935" t="str">
            <v/>
          </cell>
          <cell r="B935" t="str">
            <v/>
          </cell>
          <cell r="C935">
            <v>1933</v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L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</row>
        <row r="936">
          <cell r="A936" t="str">
            <v/>
          </cell>
          <cell r="B936" t="str">
            <v/>
          </cell>
          <cell r="C936">
            <v>1934</v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L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</row>
        <row r="937">
          <cell r="A937" t="str">
            <v/>
          </cell>
          <cell r="B937" t="str">
            <v/>
          </cell>
          <cell r="C937">
            <v>1935</v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L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</row>
        <row r="938">
          <cell r="A938" t="str">
            <v/>
          </cell>
          <cell r="B938" t="str">
            <v/>
          </cell>
          <cell r="C938">
            <v>1936</v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L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</row>
        <row r="939">
          <cell r="A939" t="str">
            <v/>
          </cell>
          <cell r="B939" t="str">
            <v/>
          </cell>
          <cell r="C939">
            <v>1937</v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L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</row>
        <row r="940">
          <cell r="A940" t="str">
            <v/>
          </cell>
          <cell r="B940" t="str">
            <v/>
          </cell>
          <cell r="C940">
            <v>1938</v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L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</row>
        <row r="941">
          <cell r="A941" t="str">
            <v/>
          </cell>
          <cell r="B941" t="str">
            <v/>
          </cell>
          <cell r="C941">
            <v>1939</v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L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</row>
        <row r="942">
          <cell r="A942" t="str">
            <v/>
          </cell>
          <cell r="B942" t="str">
            <v/>
          </cell>
          <cell r="C942">
            <v>1940</v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L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</row>
        <row r="943">
          <cell r="A943" t="str">
            <v/>
          </cell>
          <cell r="B943" t="str">
            <v/>
          </cell>
          <cell r="C943">
            <v>1941</v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L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</row>
        <row r="944">
          <cell r="A944" t="str">
            <v/>
          </cell>
          <cell r="B944" t="str">
            <v/>
          </cell>
          <cell r="C944">
            <v>1942</v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L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</row>
        <row r="945">
          <cell r="A945" t="str">
            <v/>
          </cell>
          <cell r="B945" t="str">
            <v/>
          </cell>
          <cell r="C945">
            <v>1943</v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L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</row>
        <row r="946">
          <cell r="A946" t="str">
            <v/>
          </cell>
          <cell r="B946" t="str">
            <v/>
          </cell>
          <cell r="C946">
            <v>1944</v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L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</row>
        <row r="947">
          <cell r="A947" t="str">
            <v/>
          </cell>
          <cell r="B947" t="str">
            <v/>
          </cell>
          <cell r="C947">
            <v>1945</v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L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</row>
        <row r="948">
          <cell r="A948" t="str">
            <v/>
          </cell>
          <cell r="B948" t="str">
            <v/>
          </cell>
          <cell r="C948">
            <v>1946</v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L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  <cell r="Z948" t="str">
            <v/>
          </cell>
        </row>
        <row r="949">
          <cell r="A949" t="str">
            <v/>
          </cell>
          <cell r="B949" t="str">
            <v/>
          </cell>
          <cell r="C949">
            <v>1947</v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L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  <cell r="Z949" t="str">
            <v/>
          </cell>
        </row>
        <row r="950">
          <cell r="A950" t="str">
            <v/>
          </cell>
          <cell r="B950" t="str">
            <v/>
          </cell>
          <cell r="C950">
            <v>1948</v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L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  <cell r="Z950" t="str">
            <v/>
          </cell>
        </row>
        <row r="951">
          <cell r="A951" t="str">
            <v/>
          </cell>
          <cell r="B951" t="str">
            <v/>
          </cell>
          <cell r="C951">
            <v>1949</v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L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  <cell r="Z951" t="str">
            <v/>
          </cell>
        </row>
        <row r="952">
          <cell r="A952" t="str">
            <v/>
          </cell>
          <cell r="B952" t="str">
            <v/>
          </cell>
          <cell r="C952">
            <v>1950</v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L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</row>
        <row r="953">
          <cell r="A953" t="str">
            <v/>
          </cell>
          <cell r="B953" t="str">
            <v/>
          </cell>
          <cell r="C953">
            <v>1951</v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L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</row>
        <row r="954">
          <cell r="A954" t="str">
            <v/>
          </cell>
          <cell r="B954" t="str">
            <v/>
          </cell>
          <cell r="C954">
            <v>1952</v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L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</row>
        <row r="955">
          <cell r="A955" t="str">
            <v/>
          </cell>
          <cell r="B955" t="str">
            <v/>
          </cell>
          <cell r="C955">
            <v>1953</v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L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  <cell r="Z955" t="str">
            <v/>
          </cell>
        </row>
        <row r="956">
          <cell r="A956" t="str">
            <v/>
          </cell>
          <cell r="B956" t="str">
            <v/>
          </cell>
          <cell r="C956">
            <v>1954</v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L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  <cell r="Z956" t="str">
            <v/>
          </cell>
        </row>
        <row r="957">
          <cell r="A957" t="str">
            <v/>
          </cell>
          <cell r="B957" t="str">
            <v/>
          </cell>
          <cell r="C957">
            <v>1955</v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L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</row>
        <row r="958">
          <cell r="A958" t="str">
            <v/>
          </cell>
          <cell r="B958" t="str">
            <v/>
          </cell>
          <cell r="C958">
            <v>1956</v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L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</row>
        <row r="959">
          <cell r="A959" t="str">
            <v/>
          </cell>
          <cell r="B959" t="str">
            <v/>
          </cell>
          <cell r="C959">
            <v>1957</v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L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</row>
        <row r="960">
          <cell r="A960" t="str">
            <v/>
          </cell>
          <cell r="B960" t="str">
            <v/>
          </cell>
          <cell r="C960">
            <v>1958</v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L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  <cell r="Z960" t="str">
            <v/>
          </cell>
        </row>
        <row r="961">
          <cell r="A961" t="str">
            <v/>
          </cell>
          <cell r="B961" t="str">
            <v/>
          </cell>
          <cell r="C961">
            <v>1959</v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L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  <cell r="Z961" t="str">
            <v/>
          </cell>
        </row>
        <row r="962">
          <cell r="A962" t="str">
            <v/>
          </cell>
          <cell r="B962" t="str">
            <v/>
          </cell>
          <cell r="C962">
            <v>1960</v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L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</row>
        <row r="963">
          <cell r="A963" t="str">
            <v/>
          </cell>
          <cell r="B963" t="str">
            <v/>
          </cell>
          <cell r="C963">
            <v>1961</v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L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</row>
        <row r="964">
          <cell r="A964" t="str">
            <v/>
          </cell>
          <cell r="B964" t="str">
            <v/>
          </cell>
          <cell r="C964">
            <v>1962</v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L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  <cell r="Z964" t="str">
            <v/>
          </cell>
        </row>
        <row r="965">
          <cell r="A965" t="str">
            <v/>
          </cell>
          <cell r="B965" t="str">
            <v/>
          </cell>
          <cell r="C965">
            <v>1963</v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L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  <cell r="Z965" t="str">
            <v/>
          </cell>
        </row>
        <row r="966">
          <cell r="A966" t="str">
            <v/>
          </cell>
          <cell r="B966" t="str">
            <v/>
          </cell>
          <cell r="C966">
            <v>1964</v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L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</row>
        <row r="967">
          <cell r="A967" t="str">
            <v/>
          </cell>
          <cell r="B967" t="str">
            <v/>
          </cell>
          <cell r="C967">
            <v>1965</v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L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</row>
        <row r="968">
          <cell r="A968" t="str">
            <v/>
          </cell>
          <cell r="B968" t="str">
            <v/>
          </cell>
          <cell r="C968">
            <v>1966</v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L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  <cell r="Z968" t="str">
            <v/>
          </cell>
        </row>
        <row r="969">
          <cell r="A969" t="str">
            <v/>
          </cell>
          <cell r="B969" t="str">
            <v/>
          </cell>
          <cell r="C969">
            <v>1967</v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L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  <cell r="Z969" t="str">
            <v/>
          </cell>
        </row>
        <row r="970">
          <cell r="A970" t="str">
            <v/>
          </cell>
          <cell r="B970" t="str">
            <v/>
          </cell>
          <cell r="C970">
            <v>1968</v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L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  <cell r="Z970" t="str">
            <v/>
          </cell>
        </row>
        <row r="971">
          <cell r="A971" t="str">
            <v/>
          </cell>
          <cell r="B971" t="str">
            <v/>
          </cell>
          <cell r="C971">
            <v>1969</v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L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</row>
        <row r="972">
          <cell r="A972" t="str">
            <v/>
          </cell>
          <cell r="B972" t="str">
            <v/>
          </cell>
          <cell r="C972">
            <v>1970</v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L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  <cell r="Z972" t="str">
            <v/>
          </cell>
        </row>
        <row r="973">
          <cell r="A973" t="str">
            <v/>
          </cell>
          <cell r="B973" t="str">
            <v/>
          </cell>
          <cell r="C973">
            <v>1971</v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L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  <cell r="Z973" t="str">
            <v/>
          </cell>
        </row>
        <row r="974">
          <cell r="A974" t="str">
            <v/>
          </cell>
          <cell r="B974" t="str">
            <v/>
          </cell>
          <cell r="C974">
            <v>1972</v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L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</row>
        <row r="975">
          <cell r="A975" t="str">
            <v/>
          </cell>
          <cell r="B975" t="str">
            <v/>
          </cell>
          <cell r="C975">
            <v>1973</v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L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</row>
        <row r="976">
          <cell r="A976" t="str">
            <v/>
          </cell>
          <cell r="B976" t="str">
            <v/>
          </cell>
          <cell r="C976">
            <v>1974</v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L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</row>
        <row r="977">
          <cell r="A977" t="str">
            <v/>
          </cell>
          <cell r="B977" t="str">
            <v/>
          </cell>
          <cell r="C977">
            <v>1975</v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L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</row>
        <row r="978">
          <cell r="A978" t="str">
            <v/>
          </cell>
          <cell r="B978" t="str">
            <v/>
          </cell>
          <cell r="C978">
            <v>1976</v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L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</row>
        <row r="979">
          <cell r="A979" t="str">
            <v/>
          </cell>
          <cell r="B979" t="str">
            <v/>
          </cell>
          <cell r="C979">
            <v>1977</v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L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</row>
        <row r="980">
          <cell r="A980" t="str">
            <v/>
          </cell>
          <cell r="B980" t="str">
            <v/>
          </cell>
          <cell r="C980">
            <v>1978</v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L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</row>
        <row r="981">
          <cell r="A981" t="str">
            <v/>
          </cell>
          <cell r="B981" t="str">
            <v/>
          </cell>
          <cell r="C981">
            <v>1979</v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L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</row>
        <row r="982">
          <cell r="A982" t="str">
            <v/>
          </cell>
          <cell r="B982" t="str">
            <v/>
          </cell>
          <cell r="C982">
            <v>1980</v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L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  <cell r="Z982" t="str">
            <v/>
          </cell>
        </row>
        <row r="983">
          <cell r="A983" t="str">
            <v/>
          </cell>
          <cell r="B983" t="str">
            <v/>
          </cell>
          <cell r="C983">
            <v>1981</v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L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</row>
        <row r="984">
          <cell r="A984" t="str">
            <v/>
          </cell>
          <cell r="B984" t="str">
            <v/>
          </cell>
          <cell r="C984">
            <v>1982</v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L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</row>
        <row r="985">
          <cell r="A985" t="str">
            <v/>
          </cell>
          <cell r="B985" t="str">
            <v/>
          </cell>
          <cell r="C985">
            <v>1983</v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L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</row>
        <row r="986">
          <cell r="A986" t="str">
            <v/>
          </cell>
          <cell r="B986" t="str">
            <v/>
          </cell>
          <cell r="C986">
            <v>1984</v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L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</row>
        <row r="987">
          <cell r="A987" t="str">
            <v/>
          </cell>
          <cell r="B987" t="str">
            <v/>
          </cell>
          <cell r="C987">
            <v>1985</v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L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</row>
        <row r="988">
          <cell r="A988" t="str">
            <v/>
          </cell>
          <cell r="B988" t="str">
            <v/>
          </cell>
          <cell r="C988">
            <v>1986</v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L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</row>
        <row r="989">
          <cell r="A989" t="str">
            <v/>
          </cell>
          <cell r="B989" t="str">
            <v/>
          </cell>
          <cell r="C989">
            <v>1987</v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L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</row>
        <row r="990">
          <cell r="A990" t="str">
            <v/>
          </cell>
          <cell r="B990" t="str">
            <v/>
          </cell>
          <cell r="C990">
            <v>1988</v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L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</row>
        <row r="991">
          <cell r="A991" t="str">
            <v/>
          </cell>
          <cell r="B991" t="str">
            <v/>
          </cell>
          <cell r="C991">
            <v>1989</v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L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</row>
        <row r="992">
          <cell r="A992" t="str">
            <v/>
          </cell>
          <cell r="B992" t="str">
            <v/>
          </cell>
          <cell r="C992">
            <v>1990</v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L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</row>
        <row r="993">
          <cell r="A993" t="str">
            <v/>
          </cell>
          <cell r="B993" t="str">
            <v/>
          </cell>
          <cell r="C993">
            <v>1991</v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L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</row>
        <row r="994">
          <cell r="A994" t="str">
            <v/>
          </cell>
          <cell r="B994" t="str">
            <v/>
          </cell>
          <cell r="C994">
            <v>1992</v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L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</row>
        <row r="995">
          <cell r="A995" t="str">
            <v/>
          </cell>
          <cell r="B995" t="str">
            <v/>
          </cell>
          <cell r="C995">
            <v>1993</v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L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</row>
        <row r="996">
          <cell r="A996" t="str">
            <v/>
          </cell>
          <cell r="B996" t="str">
            <v/>
          </cell>
          <cell r="C996">
            <v>1994</v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L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</row>
        <row r="997">
          <cell r="A997" t="str">
            <v/>
          </cell>
          <cell r="B997" t="str">
            <v/>
          </cell>
          <cell r="C997">
            <v>1995</v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L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  <cell r="Z997" t="str">
            <v/>
          </cell>
        </row>
        <row r="998">
          <cell r="A998" t="str">
            <v/>
          </cell>
          <cell r="B998" t="str">
            <v/>
          </cell>
          <cell r="C998">
            <v>1996</v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L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  <cell r="Z998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urchase"/>
      <sheetName val="Brokers"/>
      <sheetName val="Symbols"/>
      <sheetName val="INPUT LEDGER"/>
      <sheetName val="Purchase"/>
      <sheetName val="Sale"/>
      <sheetName val="Resealed Broker"/>
      <sheetName val="Released Scrip"/>
      <sheetName val="UN-RELEASED Scrip"/>
      <sheetName val="UN-RELEASED Broker"/>
      <sheetName val="Summary"/>
      <sheetName val="Scrip Position"/>
      <sheetName val="NCCPL Exposure"/>
      <sheetName val="Exposure-Previous"/>
      <sheetName val="Var-Previous"/>
      <sheetName val="VAR"/>
      <sheetName val="Market Rate"/>
      <sheetName val="Broker"/>
      <sheetName val="OrderSheet"/>
    </sheetNames>
    <sheetDataSet>
      <sheetData sheetId="0" refreshError="1">
        <row r="1">
          <cell r="F1" t="str">
            <v>O/S PURCHASES</v>
          </cell>
        </row>
        <row r="3">
          <cell r="F3" t="str">
            <v>Pur-OGDC-1000</v>
          </cell>
        </row>
        <row r="4">
          <cell r="F4" t="str">
            <v>Pur-PPL-1001</v>
          </cell>
        </row>
        <row r="5">
          <cell r="F5" t="str">
            <v/>
          </cell>
        </row>
        <row r="6">
          <cell r="F6" t="str">
            <v/>
          </cell>
        </row>
        <row r="7">
          <cell r="F7" t="str">
            <v/>
          </cell>
        </row>
        <row r="8">
          <cell r="F8" t="str">
            <v/>
          </cell>
        </row>
        <row r="9">
          <cell r="F9" t="str">
            <v/>
          </cell>
        </row>
        <row r="10">
          <cell r="F10" t="str">
            <v/>
          </cell>
        </row>
        <row r="11">
          <cell r="F11" t="str">
            <v/>
          </cell>
        </row>
        <row r="12">
          <cell r="F12" t="str">
            <v/>
          </cell>
        </row>
        <row r="13">
          <cell r="F13" t="str">
            <v/>
          </cell>
        </row>
        <row r="14">
          <cell r="F14" t="str">
            <v/>
          </cell>
        </row>
        <row r="15">
          <cell r="F15" t="str">
            <v/>
          </cell>
        </row>
        <row r="16">
          <cell r="F16" t="str">
            <v/>
          </cell>
        </row>
        <row r="17">
          <cell r="F17" t="str">
            <v/>
          </cell>
        </row>
        <row r="18">
          <cell r="F18" t="str">
            <v/>
          </cell>
        </row>
        <row r="19">
          <cell r="F19" t="str">
            <v/>
          </cell>
        </row>
        <row r="20">
          <cell r="F20" t="str">
            <v/>
          </cell>
        </row>
        <row r="21">
          <cell r="F21" t="str">
            <v/>
          </cell>
        </row>
        <row r="22">
          <cell r="F22" t="str">
            <v/>
          </cell>
        </row>
        <row r="23">
          <cell r="F23" t="str">
            <v/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3">
          <cell r="F33" t="str">
            <v/>
          </cell>
        </row>
        <row r="34">
          <cell r="F34" t="str">
            <v/>
          </cell>
        </row>
        <row r="35"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  <row r="39">
          <cell r="F39" t="str">
            <v/>
          </cell>
        </row>
        <row r="40">
          <cell r="F40" t="str">
            <v/>
          </cell>
        </row>
        <row r="41">
          <cell r="F41" t="str">
            <v/>
          </cell>
        </row>
        <row r="42">
          <cell r="F42" t="str">
            <v/>
          </cell>
        </row>
        <row r="43">
          <cell r="F43" t="str">
            <v/>
          </cell>
        </row>
        <row r="44">
          <cell r="F44" t="str">
            <v/>
          </cell>
        </row>
        <row r="45">
          <cell r="F45" t="str">
            <v/>
          </cell>
        </row>
        <row r="46">
          <cell r="F46" t="str">
            <v/>
          </cell>
        </row>
        <row r="47">
          <cell r="F47" t="str">
            <v/>
          </cell>
        </row>
        <row r="48">
          <cell r="F48" t="str">
            <v/>
          </cell>
        </row>
        <row r="49">
          <cell r="F49" t="str">
            <v/>
          </cell>
        </row>
        <row r="50">
          <cell r="F50" t="str">
            <v/>
          </cell>
        </row>
        <row r="51">
          <cell r="F51" t="str">
            <v/>
          </cell>
        </row>
        <row r="52">
          <cell r="F52" t="str">
            <v/>
          </cell>
        </row>
        <row r="53">
          <cell r="F53" t="str">
            <v/>
          </cell>
        </row>
        <row r="54">
          <cell r="F54" t="str">
            <v/>
          </cell>
        </row>
        <row r="55">
          <cell r="F55" t="str">
            <v/>
          </cell>
        </row>
        <row r="56">
          <cell r="F56" t="str">
            <v/>
          </cell>
        </row>
        <row r="57">
          <cell r="F57" t="str">
            <v/>
          </cell>
        </row>
        <row r="58">
          <cell r="F58" t="str">
            <v/>
          </cell>
        </row>
        <row r="59">
          <cell r="F59" t="str">
            <v/>
          </cell>
        </row>
        <row r="60">
          <cell r="F60" t="str">
            <v/>
          </cell>
        </row>
        <row r="61">
          <cell r="F61" t="str">
            <v/>
          </cell>
        </row>
        <row r="62">
          <cell r="F62" t="str">
            <v/>
          </cell>
        </row>
        <row r="63">
          <cell r="F63" t="str">
            <v/>
          </cell>
        </row>
        <row r="64">
          <cell r="F64" t="str">
            <v/>
          </cell>
        </row>
        <row r="65">
          <cell r="F65" t="str">
            <v/>
          </cell>
        </row>
        <row r="66">
          <cell r="F66" t="str">
            <v/>
          </cell>
        </row>
        <row r="67">
          <cell r="F67" t="str">
            <v/>
          </cell>
        </row>
        <row r="68">
          <cell r="F68" t="str">
            <v/>
          </cell>
        </row>
        <row r="69">
          <cell r="F69" t="str">
            <v/>
          </cell>
        </row>
        <row r="70">
          <cell r="F70" t="str">
            <v/>
          </cell>
        </row>
        <row r="71">
          <cell r="F71" t="str">
            <v/>
          </cell>
        </row>
        <row r="72">
          <cell r="F72" t="str">
            <v/>
          </cell>
        </row>
        <row r="73">
          <cell r="F73" t="str">
            <v/>
          </cell>
        </row>
        <row r="74">
          <cell r="F74" t="str">
            <v/>
          </cell>
        </row>
        <row r="75">
          <cell r="F75" t="str">
            <v/>
          </cell>
        </row>
        <row r="76">
          <cell r="F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/>
          </cell>
        </row>
        <row r="85">
          <cell r="F85" t="str">
            <v/>
          </cell>
        </row>
        <row r="86">
          <cell r="F86" t="str">
            <v/>
          </cell>
        </row>
        <row r="87">
          <cell r="F87" t="str">
            <v/>
          </cell>
        </row>
        <row r="88">
          <cell r="F88" t="str">
            <v/>
          </cell>
        </row>
        <row r="89">
          <cell r="F89" t="str">
            <v/>
          </cell>
        </row>
        <row r="90">
          <cell r="F90" t="str">
            <v/>
          </cell>
        </row>
        <row r="91">
          <cell r="F91" t="str">
            <v/>
          </cell>
        </row>
        <row r="92">
          <cell r="F92" t="str">
            <v/>
          </cell>
        </row>
        <row r="93">
          <cell r="F93" t="str">
            <v/>
          </cell>
        </row>
        <row r="94">
          <cell r="F94" t="str">
            <v/>
          </cell>
        </row>
        <row r="95">
          <cell r="F95" t="str">
            <v/>
          </cell>
        </row>
        <row r="96">
          <cell r="F96" t="str">
            <v/>
          </cell>
        </row>
        <row r="97">
          <cell r="F97" t="str">
            <v/>
          </cell>
        </row>
        <row r="98">
          <cell r="F98" t="str">
            <v/>
          </cell>
        </row>
        <row r="99">
          <cell r="F99" t="str">
            <v/>
          </cell>
        </row>
        <row r="100">
          <cell r="F100" t="str">
            <v/>
          </cell>
        </row>
        <row r="101">
          <cell r="F101" t="str">
            <v/>
          </cell>
        </row>
        <row r="102">
          <cell r="F102" t="str">
            <v/>
          </cell>
        </row>
        <row r="103">
          <cell r="F103" t="str">
            <v/>
          </cell>
        </row>
        <row r="104">
          <cell r="F104" t="str">
            <v/>
          </cell>
        </row>
        <row r="105">
          <cell r="F105" t="str">
            <v/>
          </cell>
        </row>
        <row r="106">
          <cell r="F106" t="str">
            <v/>
          </cell>
        </row>
        <row r="107">
          <cell r="F107" t="str">
            <v/>
          </cell>
        </row>
        <row r="108">
          <cell r="F108" t="str">
            <v/>
          </cell>
        </row>
        <row r="109">
          <cell r="F109" t="str">
            <v/>
          </cell>
        </row>
        <row r="110">
          <cell r="F110" t="str">
            <v/>
          </cell>
        </row>
        <row r="111">
          <cell r="F111" t="str">
            <v/>
          </cell>
        </row>
        <row r="112">
          <cell r="F112" t="str">
            <v/>
          </cell>
        </row>
        <row r="113">
          <cell r="F113" t="str">
            <v/>
          </cell>
        </row>
        <row r="114">
          <cell r="F114" t="str">
            <v/>
          </cell>
        </row>
        <row r="115">
          <cell r="F115" t="str">
            <v/>
          </cell>
        </row>
        <row r="116">
          <cell r="F116" t="str">
            <v/>
          </cell>
        </row>
        <row r="117">
          <cell r="F117" t="str">
            <v/>
          </cell>
        </row>
        <row r="118">
          <cell r="F118" t="str">
            <v/>
          </cell>
        </row>
        <row r="119">
          <cell r="F119" t="str">
            <v/>
          </cell>
        </row>
        <row r="120">
          <cell r="F120" t="str">
            <v/>
          </cell>
        </row>
        <row r="121">
          <cell r="F121" t="str">
            <v/>
          </cell>
        </row>
        <row r="122">
          <cell r="F122" t="str">
            <v/>
          </cell>
        </row>
        <row r="123">
          <cell r="F123" t="str">
            <v/>
          </cell>
        </row>
        <row r="124">
          <cell r="F124" t="str">
            <v/>
          </cell>
        </row>
        <row r="125">
          <cell r="F125" t="str">
            <v/>
          </cell>
        </row>
        <row r="126">
          <cell r="F126" t="str">
            <v/>
          </cell>
        </row>
        <row r="127">
          <cell r="F127" t="str">
            <v/>
          </cell>
        </row>
        <row r="128">
          <cell r="F128" t="str">
            <v/>
          </cell>
        </row>
        <row r="129">
          <cell r="F129" t="str">
            <v/>
          </cell>
        </row>
        <row r="130">
          <cell r="F130" t="str">
            <v/>
          </cell>
        </row>
        <row r="131">
          <cell r="F131" t="str">
            <v/>
          </cell>
        </row>
        <row r="132">
          <cell r="F132" t="str">
            <v/>
          </cell>
        </row>
        <row r="133">
          <cell r="F133" t="str">
            <v/>
          </cell>
        </row>
        <row r="134">
          <cell r="F134" t="str">
            <v/>
          </cell>
        </row>
        <row r="135">
          <cell r="F135" t="str">
            <v/>
          </cell>
        </row>
        <row r="136">
          <cell r="F136" t="str">
            <v/>
          </cell>
        </row>
        <row r="137">
          <cell r="F137" t="str">
            <v/>
          </cell>
        </row>
        <row r="138">
          <cell r="F138" t="str">
            <v/>
          </cell>
        </row>
        <row r="139">
          <cell r="F139" t="str">
            <v/>
          </cell>
        </row>
        <row r="140">
          <cell r="F140" t="str">
            <v/>
          </cell>
        </row>
        <row r="141">
          <cell r="F141" t="str">
            <v/>
          </cell>
        </row>
        <row r="142">
          <cell r="F142" t="str">
            <v/>
          </cell>
        </row>
        <row r="143">
          <cell r="F143" t="str">
            <v/>
          </cell>
        </row>
        <row r="144">
          <cell r="F144" t="str">
            <v/>
          </cell>
        </row>
        <row r="145">
          <cell r="F145" t="str">
            <v/>
          </cell>
        </row>
        <row r="146">
          <cell r="F146" t="str">
            <v/>
          </cell>
        </row>
        <row r="147">
          <cell r="F147" t="str">
            <v/>
          </cell>
        </row>
        <row r="148">
          <cell r="F148" t="str">
            <v/>
          </cell>
        </row>
        <row r="149">
          <cell r="F149" t="str">
            <v/>
          </cell>
        </row>
        <row r="150">
          <cell r="F150" t="str">
            <v/>
          </cell>
        </row>
        <row r="151">
          <cell r="F151" t="str">
            <v/>
          </cell>
        </row>
        <row r="152">
          <cell r="F152" t="str">
            <v/>
          </cell>
        </row>
        <row r="153">
          <cell r="F153" t="str">
            <v/>
          </cell>
        </row>
        <row r="154">
          <cell r="F154" t="str">
            <v/>
          </cell>
        </row>
        <row r="155">
          <cell r="F155" t="str">
            <v/>
          </cell>
        </row>
        <row r="156">
          <cell r="F156" t="str">
            <v/>
          </cell>
        </row>
        <row r="157">
          <cell r="F157" t="str">
            <v/>
          </cell>
        </row>
        <row r="158">
          <cell r="F158" t="str">
            <v/>
          </cell>
        </row>
        <row r="159">
          <cell r="F159" t="str">
            <v/>
          </cell>
        </row>
        <row r="160">
          <cell r="F160" t="str">
            <v/>
          </cell>
        </row>
        <row r="161">
          <cell r="F161" t="str">
            <v/>
          </cell>
        </row>
        <row r="162">
          <cell r="F162" t="str">
            <v/>
          </cell>
        </row>
        <row r="163">
          <cell r="F163" t="str">
            <v/>
          </cell>
        </row>
        <row r="164">
          <cell r="F164" t="str">
            <v/>
          </cell>
        </row>
        <row r="165">
          <cell r="F165" t="str">
            <v/>
          </cell>
        </row>
        <row r="166">
          <cell r="F166" t="str">
            <v/>
          </cell>
        </row>
        <row r="167">
          <cell r="F167" t="str">
            <v/>
          </cell>
        </row>
        <row r="168">
          <cell r="F168" t="str">
            <v/>
          </cell>
        </row>
        <row r="169">
          <cell r="F169" t="str">
            <v/>
          </cell>
        </row>
        <row r="170">
          <cell r="F170" t="str">
            <v/>
          </cell>
        </row>
        <row r="171">
          <cell r="F171" t="str">
            <v/>
          </cell>
        </row>
        <row r="172">
          <cell r="F172" t="str">
            <v/>
          </cell>
        </row>
        <row r="173">
          <cell r="F173" t="str">
            <v/>
          </cell>
        </row>
        <row r="174">
          <cell r="F174" t="str">
            <v/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F327" t="str">
            <v/>
          </cell>
        </row>
        <row r="328"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F571" t="str">
            <v/>
          </cell>
        </row>
        <row r="572">
          <cell r="F572" t="str">
            <v/>
          </cell>
        </row>
        <row r="573">
          <cell r="F573" t="str">
            <v/>
          </cell>
        </row>
        <row r="574">
          <cell r="F574" t="str">
            <v/>
          </cell>
        </row>
        <row r="575">
          <cell r="F575" t="str">
            <v/>
          </cell>
        </row>
        <row r="576">
          <cell r="F576" t="str">
            <v/>
          </cell>
        </row>
        <row r="577">
          <cell r="F577" t="str">
            <v/>
          </cell>
        </row>
        <row r="578">
          <cell r="F578" t="str">
            <v/>
          </cell>
        </row>
        <row r="579">
          <cell r="F579" t="str">
            <v/>
          </cell>
        </row>
        <row r="580">
          <cell r="F580" t="str">
            <v/>
          </cell>
        </row>
        <row r="581">
          <cell r="F581" t="str">
            <v/>
          </cell>
        </row>
        <row r="582">
          <cell r="F582" t="str">
            <v/>
          </cell>
        </row>
        <row r="583">
          <cell r="F583" t="str">
            <v/>
          </cell>
        </row>
        <row r="584">
          <cell r="F584" t="str">
            <v/>
          </cell>
        </row>
        <row r="585">
          <cell r="F585" t="str">
            <v/>
          </cell>
        </row>
        <row r="586">
          <cell r="F586" t="str">
            <v/>
          </cell>
        </row>
        <row r="587">
          <cell r="F587" t="str">
            <v/>
          </cell>
        </row>
        <row r="588">
          <cell r="F588" t="str">
            <v/>
          </cell>
        </row>
        <row r="589">
          <cell r="F589" t="str">
            <v/>
          </cell>
        </row>
        <row r="590">
          <cell r="F590" t="str">
            <v/>
          </cell>
        </row>
        <row r="591">
          <cell r="F591" t="str">
            <v/>
          </cell>
        </row>
        <row r="592">
          <cell r="F592" t="str">
            <v/>
          </cell>
        </row>
        <row r="593">
          <cell r="F593" t="str">
            <v/>
          </cell>
        </row>
        <row r="594">
          <cell r="F594" t="str">
            <v/>
          </cell>
        </row>
        <row r="595">
          <cell r="F595" t="str">
            <v/>
          </cell>
        </row>
        <row r="596">
          <cell r="F596" t="str">
            <v/>
          </cell>
        </row>
        <row r="597">
          <cell r="F597" t="str">
            <v/>
          </cell>
        </row>
        <row r="598">
          <cell r="F598" t="str">
            <v/>
          </cell>
        </row>
        <row r="599">
          <cell r="F599" t="str">
            <v/>
          </cell>
        </row>
        <row r="600">
          <cell r="F600" t="str">
            <v/>
          </cell>
        </row>
        <row r="601">
          <cell r="F601" t="str">
            <v/>
          </cell>
        </row>
        <row r="602">
          <cell r="F602" t="str">
            <v/>
          </cell>
        </row>
        <row r="603">
          <cell r="F603" t="str">
            <v/>
          </cell>
        </row>
        <row r="604">
          <cell r="F604" t="str">
            <v/>
          </cell>
        </row>
        <row r="605">
          <cell r="F605" t="str">
            <v/>
          </cell>
        </row>
        <row r="606">
          <cell r="F606" t="str">
            <v/>
          </cell>
        </row>
        <row r="607">
          <cell r="F607" t="str">
            <v/>
          </cell>
        </row>
        <row r="608">
          <cell r="F608" t="str">
            <v/>
          </cell>
        </row>
        <row r="609">
          <cell r="F609" t="str">
            <v/>
          </cell>
        </row>
        <row r="610">
          <cell r="F610" t="str">
            <v/>
          </cell>
        </row>
        <row r="611">
          <cell r="F611" t="str">
            <v/>
          </cell>
        </row>
        <row r="612">
          <cell r="F612" t="str">
            <v/>
          </cell>
        </row>
        <row r="613">
          <cell r="F613" t="str">
            <v/>
          </cell>
        </row>
        <row r="614">
          <cell r="F614" t="str">
            <v/>
          </cell>
        </row>
        <row r="615">
          <cell r="F615" t="str">
            <v/>
          </cell>
        </row>
        <row r="616">
          <cell r="F616" t="str">
            <v/>
          </cell>
        </row>
        <row r="617">
          <cell r="F617" t="str">
            <v/>
          </cell>
        </row>
        <row r="618">
          <cell r="F618" t="str">
            <v/>
          </cell>
        </row>
        <row r="619">
          <cell r="F619" t="str">
            <v/>
          </cell>
        </row>
        <row r="620">
          <cell r="F620" t="str">
            <v/>
          </cell>
        </row>
        <row r="621">
          <cell r="F621" t="str">
            <v/>
          </cell>
        </row>
        <row r="622">
          <cell r="F622" t="str">
            <v/>
          </cell>
        </row>
        <row r="623">
          <cell r="F623" t="str">
            <v/>
          </cell>
        </row>
        <row r="624">
          <cell r="F624" t="str">
            <v/>
          </cell>
        </row>
        <row r="625">
          <cell r="F625" t="str">
            <v/>
          </cell>
        </row>
        <row r="626">
          <cell r="F626" t="str">
            <v/>
          </cell>
        </row>
        <row r="627">
          <cell r="F627" t="str">
            <v/>
          </cell>
        </row>
        <row r="628">
          <cell r="F628" t="str">
            <v/>
          </cell>
        </row>
        <row r="629">
          <cell r="F629" t="str">
            <v/>
          </cell>
        </row>
        <row r="630">
          <cell r="F630" t="str">
            <v/>
          </cell>
        </row>
        <row r="631">
          <cell r="F631" t="str">
            <v/>
          </cell>
        </row>
        <row r="632">
          <cell r="F632" t="str">
            <v/>
          </cell>
        </row>
        <row r="633">
          <cell r="F633" t="str">
            <v/>
          </cell>
        </row>
        <row r="634">
          <cell r="F634" t="str">
            <v/>
          </cell>
        </row>
        <row r="635">
          <cell r="F635" t="str">
            <v/>
          </cell>
        </row>
        <row r="636">
          <cell r="F636" t="str">
            <v/>
          </cell>
        </row>
        <row r="637">
          <cell r="F637" t="str">
            <v/>
          </cell>
        </row>
        <row r="638">
          <cell r="F638" t="str">
            <v/>
          </cell>
        </row>
        <row r="639">
          <cell r="F639" t="str">
            <v/>
          </cell>
        </row>
        <row r="640">
          <cell r="F640" t="str">
            <v/>
          </cell>
        </row>
        <row r="641">
          <cell r="F641" t="str">
            <v/>
          </cell>
        </row>
        <row r="642">
          <cell r="F642" t="str">
            <v/>
          </cell>
        </row>
        <row r="643">
          <cell r="F643" t="str">
            <v/>
          </cell>
        </row>
        <row r="644">
          <cell r="F644" t="str">
            <v/>
          </cell>
        </row>
        <row r="645">
          <cell r="F645" t="str">
            <v/>
          </cell>
        </row>
        <row r="646">
          <cell r="F646" t="str">
            <v/>
          </cell>
        </row>
        <row r="647">
          <cell r="F647" t="str">
            <v/>
          </cell>
        </row>
        <row r="648">
          <cell r="F648" t="str">
            <v/>
          </cell>
        </row>
        <row r="649">
          <cell r="F649" t="str">
            <v/>
          </cell>
        </row>
        <row r="650">
          <cell r="F650" t="str">
            <v/>
          </cell>
        </row>
        <row r="651">
          <cell r="F651" t="str">
            <v/>
          </cell>
        </row>
        <row r="652">
          <cell r="F652" t="str">
            <v/>
          </cell>
        </row>
        <row r="653">
          <cell r="F653" t="str">
            <v/>
          </cell>
        </row>
        <row r="654">
          <cell r="F654" t="str">
            <v/>
          </cell>
        </row>
        <row r="655">
          <cell r="F655" t="str">
            <v/>
          </cell>
        </row>
        <row r="656">
          <cell r="F656" t="str">
            <v/>
          </cell>
        </row>
        <row r="657">
          <cell r="F657" t="str">
            <v/>
          </cell>
        </row>
        <row r="658">
          <cell r="F658" t="str">
            <v/>
          </cell>
        </row>
        <row r="659">
          <cell r="F659" t="str">
            <v/>
          </cell>
        </row>
        <row r="660">
          <cell r="F660" t="str">
            <v/>
          </cell>
        </row>
        <row r="661">
          <cell r="F661" t="str">
            <v/>
          </cell>
        </row>
        <row r="662">
          <cell r="F662" t="str">
            <v/>
          </cell>
        </row>
        <row r="663">
          <cell r="F663" t="str">
            <v/>
          </cell>
        </row>
        <row r="664">
          <cell r="F664" t="str">
            <v/>
          </cell>
        </row>
        <row r="665">
          <cell r="F665" t="str">
            <v/>
          </cell>
        </row>
        <row r="666">
          <cell r="F666" t="str">
            <v/>
          </cell>
        </row>
        <row r="667">
          <cell r="F667" t="str">
            <v/>
          </cell>
        </row>
        <row r="668">
          <cell r="F668" t="str">
            <v/>
          </cell>
        </row>
        <row r="669">
          <cell r="F669" t="str">
            <v/>
          </cell>
        </row>
        <row r="670">
          <cell r="F670" t="str">
            <v/>
          </cell>
        </row>
        <row r="671">
          <cell r="F671" t="str">
            <v/>
          </cell>
        </row>
        <row r="672">
          <cell r="F672" t="str">
            <v/>
          </cell>
        </row>
        <row r="673">
          <cell r="F673" t="str">
            <v/>
          </cell>
        </row>
        <row r="674">
          <cell r="F674" t="str">
            <v/>
          </cell>
        </row>
        <row r="675">
          <cell r="F675" t="str">
            <v/>
          </cell>
        </row>
        <row r="676">
          <cell r="F676" t="str">
            <v/>
          </cell>
        </row>
        <row r="677">
          <cell r="F677" t="str">
            <v/>
          </cell>
        </row>
        <row r="678">
          <cell r="F678" t="str">
            <v/>
          </cell>
        </row>
        <row r="679">
          <cell r="F679" t="str">
            <v/>
          </cell>
        </row>
        <row r="680">
          <cell r="F680" t="str">
            <v/>
          </cell>
        </row>
        <row r="681">
          <cell r="F681" t="str">
            <v/>
          </cell>
        </row>
        <row r="682">
          <cell r="F682" t="str">
            <v/>
          </cell>
        </row>
        <row r="683">
          <cell r="F683" t="str">
            <v/>
          </cell>
        </row>
        <row r="684">
          <cell r="F684" t="str">
            <v/>
          </cell>
        </row>
        <row r="685">
          <cell r="F685" t="str">
            <v/>
          </cell>
        </row>
        <row r="686">
          <cell r="F686" t="str">
            <v/>
          </cell>
        </row>
        <row r="687">
          <cell r="F687" t="str">
            <v/>
          </cell>
        </row>
        <row r="688">
          <cell r="F688" t="str">
            <v/>
          </cell>
        </row>
        <row r="689">
          <cell r="F689" t="str">
            <v/>
          </cell>
        </row>
        <row r="690">
          <cell r="F690" t="str">
            <v/>
          </cell>
        </row>
        <row r="691">
          <cell r="F691" t="str">
            <v/>
          </cell>
        </row>
        <row r="692">
          <cell r="F692" t="str">
            <v/>
          </cell>
        </row>
        <row r="693">
          <cell r="F693" t="str">
            <v/>
          </cell>
        </row>
        <row r="694">
          <cell r="F694" t="str">
            <v/>
          </cell>
        </row>
        <row r="695">
          <cell r="F695" t="str">
            <v/>
          </cell>
        </row>
        <row r="696">
          <cell r="F696" t="str">
            <v/>
          </cell>
        </row>
        <row r="697">
          <cell r="F697" t="str">
            <v/>
          </cell>
        </row>
        <row r="698">
          <cell r="F698" t="str">
            <v/>
          </cell>
        </row>
        <row r="699">
          <cell r="F699" t="str">
            <v/>
          </cell>
        </row>
        <row r="700">
          <cell r="F700" t="str">
            <v/>
          </cell>
        </row>
        <row r="701">
          <cell r="F701" t="str">
            <v/>
          </cell>
        </row>
        <row r="702">
          <cell r="F702" t="str">
            <v/>
          </cell>
        </row>
        <row r="703">
          <cell r="F703" t="str">
            <v/>
          </cell>
        </row>
        <row r="704">
          <cell r="F704" t="str">
            <v/>
          </cell>
        </row>
        <row r="705">
          <cell r="F705" t="str">
            <v/>
          </cell>
        </row>
        <row r="706">
          <cell r="F706" t="str">
            <v/>
          </cell>
        </row>
        <row r="707">
          <cell r="F707" t="str">
            <v/>
          </cell>
        </row>
        <row r="708">
          <cell r="F708" t="str">
            <v/>
          </cell>
        </row>
        <row r="709">
          <cell r="F709" t="str">
            <v/>
          </cell>
        </row>
        <row r="710">
          <cell r="F710" t="str">
            <v/>
          </cell>
        </row>
        <row r="711">
          <cell r="F711" t="str">
            <v/>
          </cell>
        </row>
        <row r="712">
          <cell r="F712" t="str">
            <v/>
          </cell>
        </row>
        <row r="713">
          <cell r="F713" t="str">
            <v/>
          </cell>
        </row>
        <row r="714">
          <cell r="F714" t="str">
            <v/>
          </cell>
        </row>
        <row r="715">
          <cell r="F715" t="str">
            <v/>
          </cell>
        </row>
        <row r="716">
          <cell r="F716" t="str">
            <v/>
          </cell>
        </row>
        <row r="717">
          <cell r="F717" t="str">
            <v/>
          </cell>
        </row>
        <row r="718">
          <cell r="F718" t="str">
            <v/>
          </cell>
        </row>
        <row r="719">
          <cell r="F719" t="str">
            <v/>
          </cell>
        </row>
        <row r="720">
          <cell r="F720" t="str">
            <v/>
          </cell>
        </row>
        <row r="721">
          <cell r="F721" t="str">
            <v/>
          </cell>
        </row>
        <row r="722">
          <cell r="F722" t="str">
            <v/>
          </cell>
        </row>
        <row r="723">
          <cell r="F723" t="str">
            <v/>
          </cell>
        </row>
        <row r="724">
          <cell r="F724" t="str">
            <v/>
          </cell>
        </row>
        <row r="725">
          <cell r="F725" t="str">
            <v/>
          </cell>
        </row>
        <row r="726">
          <cell r="F726" t="str">
            <v/>
          </cell>
        </row>
        <row r="727">
          <cell r="F727" t="str">
            <v/>
          </cell>
        </row>
        <row r="728">
          <cell r="F728" t="str">
            <v/>
          </cell>
        </row>
        <row r="729">
          <cell r="F729" t="str">
            <v/>
          </cell>
        </row>
        <row r="730">
          <cell r="F730" t="str">
            <v/>
          </cell>
        </row>
        <row r="731">
          <cell r="F731" t="str">
            <v/>
          </cell>
        </row>
        <row r="732">
          <cell r="F732" t="str">
            <v/>
          </cell>
        </row>
        <row r="733">
          <cell r="F733" t="str">
            <v/>
          </cell>
        </row>
        <row r="734">
          <cell r="F734" t="str">
            <v/>
          </cell>
        </row>
        <row r="735">
          <cell r="F735" t="str">
            <v/>
          </cell>
        </row>
        <row r="736">
          <cell r="F736" t="str">
            <v/>
          </cell>
        </row>
        <row r="737">
          <cell r="F737" t="str">
            <v/>
          </cell>
        </row>
        <row r="738">
          <cell r="F738" t="str">
            <v/>
          </cell>
        </row>
        <row r="739">
          <cell r="F739" t="str">
            <v/>
          </cell>
        </row>
        <row r="740">
          <cell r="F740" t="str">
            <v/>
          </cell>
        </row>
        <row r="741">
          <cell r="F741" t="str">
            <v/>
          </cell>
        </row>
        <row r="742">
          <cell r="F742" t="str">
            <v/>
          </cell>
        </row>
        <row r="743">
          <cell r="F743" t="str">
            <v/>
          </cell>
        </row>
        <row r="744">
          <cell r="F744" t="str">
            <v/>
          </cell>
        </row>
        <row r="745">
          <cell r="F745" t="str">
            <v/>
          </cell>
        </row>
        <row r="746">
          <cell r="F746" t="str">
            <v/>
          </cell>
        </row>
        <row r="747">
          <cell r="F747" t="str">
            <v/>
          </cell>
        </row>
        <row r="748">
          <cell r="F748" t="str">
            <v/>
          </cell>
        </row>
        <row r="749">
          <cell r="F749" t="str">
            <v/>
          </cell>
        </row>
        <row r="750">
          <cell r="F750" t="str">
            <v/>
          </cell>
        </row>
        <row r="751">
          <cell r="F751" t="str">
            <v/>
          </cell>
        </row>
        <row r="752">
          <cell r="F752" t="str">
            <v/>
          </cell>
        </row>
        <row r="753">
          <cell r="F753" t="str">
            <v/>
          </cell>
        </row>
        <row r="754">
          <cell r="F754" t="str">
            <v/>
          </cell>
        </row>
        <row r="755">
          <cell r="F755" t="str">
            <v/>
          </cell>
        </row>
        <row r="756">
          <cell r="F756" t="str">
            <v/>
          </cell>
        </row>
        <row r="757">
          <cell r="F757" t="str">
            <v/>
          </cell>
        </row>
        <row r="758">
          <cell r="F758" t="str">
            <v/>
          </cell>
        </row>
        <row r="759">
          <cell r="F759" t="str">
            <v/>
          </cell>
        </row>
        <row r="760">
          <cell r="F760" t="str">
            <v/>
          </cell>
        </row>
        <row r="761">
          <cell r="F761" t="str">
            <v/>
          </cell>
        </row>
        <row r="762">
          <cell r="F762" t="str">
            <v/>
          </cell>
        </row>
        <row r="763">
          <cell r="F763" t="str">
            <v/>
          </cell>
        </row>
        <row r="764">
          <cell r="F764" t="str">
            <v/>
          </cell>
        </row>
        <row r="765">
          <cell r="F765" t="str">
            <v/>
          </cell>
        </row>
        <row r="766">
          <cell r="F766" t="str">
            <v/>
          </cell>
        </row>
        <row r="767">
          <cell r="F767" t="str">
            <v/>
          </cell>
        </row>
        <row r="768">
          <cell r="F768" t="str">
            <v/>
          </cell>
        </row>
        <row r="769">
          <cell r="F769" t="str">
            <v/>
          </cell>
        </row>
        <row r="770">
          <cell r="F770" t="str">
            <v/>
          </cell>
        </row>
        <row r="771">
          <cell r="F771" t="str">
            <v/>
          </cell>
        </row>
        <row r="772">
          <cell r="F772" t="str">
            <v/>
          </cell>
        </row>
        <row r="773">
          <cell r="F773" t="str">
            <v/>
          </cell>
        </row>
        <row r="774">
          <cell r="F774" t="str">
            <v/>
          </cell>
        </row>
        <row r="775">
          <cell r="F775" t="str">
            <v/>
          </cell>
        </row>
        <row r="776">
          <cell r="F776" t="str">
            <v/>
          </cell>
        </row>
        <row r="777">
          <cell r="F777" t="str">
            <v/>
          </cell>
        </row>
        <row r="778">
          <cell r="F778" t="str">
            <v/>
          </cell>
        </row>
        <row r="779">
          <cell r="F779" t="str">
            <v/>
          </cell>
        </row>
        <row r="780">
          <cell r="F780" t="str">
            <v/>
          </cell>
        </row>
        <row r="781">
          <cell r="F781" t="str">
            <v/>
          </cell>
        </row>
        <row r="782">
          <cell r="F782" t="str">
            <v/>
          </cell>
        </row>
        <row r="783">
          <cell r="F783" t="str">
            <v/>
          </cell>
        </row>
        <row r="784">
          <cell r="F784" t="str">
            <v/>
          </cell>
        </row>
        <row r="785">
          <cell r="F785" t="str">
            <v/>
          </cell>
        </row>
        <row r="786">
          <cell r="F786" t="str">
            <v/>
          </cell>
        </row>
        <row r="787">
          <cell r="F787" t="str">
            <v/>
          </cell>
        </row>
        <row r="788">
          <cell r="F788" t="str">
            <v/>
          </cell>
        </row>
        <row r="789">
          <cell r="F789" t="str">
            <v/>
          </cell>
        </row>
        <row r="790">
          <cell r="F790" t="str">
            <v/>
          </cell>
        </row>
        <row r="791">
          <cell r="F791" t="str">
            <v/>
          </cell>
        </row>
        <row r="792">
          <cell r="F792" t="str">
            <v/>
          </cell>
        </row>
        <row r="793">
          <cell r="F793" t="str">
            <v/>
          </cell>
        </row>
        <row r="794">
          <cell r="F794" t="str">
            <v/>
          </cell>
        </row>
        <row r="795">
          <cell r="F795" t="str">
            <v/>
          </cell>
        </row>
        <row r="796">
          <cell r="F796" t="str">
            <v/>
          </cell>
        </row>
        <row r="797">
          <cell r="F797" t="str">
            <v/>
          </cell>
        </row>
        <row r="798">
          <cell r="F798" t="str">
            <v/>
          </cell>
        </row>
        <row r="799">
          <cell r="F799" t="str">
            <v/>
          </cell>
        </row>
        <row r="800">
          <cell r="F800" t="str">
            <v/>
          </cell>
        </row>
        <row r="801">
          <cell r="F801" t="str">
            <v/>
          </cell>
        </row>
        <row r="802">
          <cell r="F802" t="str">
            <v/>
          </cell>
        </row>
        <row r="803">
          <cell r="F803" t="str">
            <v/>
          </cell>
        </row>
        <row r="804">
          <cell r="F804" t="str">
            <v/>
          </cell>
        </row>
        <row r="805">
          <cell r="F805" t="str">
            <v/>
          </cell>
        </row>
        <row r="806">
          <cell r="F806" t="str">
            <v/>
          </cell>
        </row>
        <row r="807">
          <cell r="F807" t="str">
            <v/>
          </cell>
        </row>
        <row r="808">
          <cell r="F808" t="str">
            <v/>
          </cell>
        </row>
        <row r="809">
          <cell r="F809" t="str">
            <v/>
          </cell>
        </row>
        <row r="810">
          <cell r="F810" t="str">
            <v/>
          </cell>
        </row>
        <row r="811">
          <cell r="F811" t="str">
            <v/>
          </cell>
        </row>
        <row r="812">
          <cell r="F812" t="str">
            <v/>
          </cell>
        </row>
        <row r="813">
          <cell r="F813" t="str">
            <v/>
          </cell>
        </row>
        <row r="814">
          <cell r="F814" t="str">
            <v/>
          </cell>
        </row>
        <row r="815">
          <cell r="F815" t="str">
            <v/>
          </cell>
        </row>
        <row r="816">
          <cell r="F816" t="str">
            <v/>
          </cell>
        </row>
        <row r="817">
          <cell r="F817" t="str">
            <v/>
          </cell>
        </row>
        <row r="818">
          <cell r="F818" t="str">
            <v/>
          </cell>
        </row>
        <row r="819">
          <cell r="F819" t="str">
            <v/>
          </cell>
        </row>
        <row r="820">
          <cell r="F820" t="str">
            <v/>
          </cell>
        </row>
        <row r="821">
          <cell r="F821" t="str">
            <v/>
          </cell>
        </row>
        <row r="822">
          <cell r="F822" t="str">
            <v/>
          </cell>
        </row>
        <row r="823">
          <cell r="F823" t="str">
            <v/>
          </cell>
        </row>
        <row r="824">
          <cell r="F824" t="str">
            <v/>
          </cell>
        </row>
        <row r="825">
          <cell r="F825" t="str">
            <v/>
          </cell>
        </row>
        <row r="826">
          <cell r="F826" t="str">
            <v/>
          </cell>
        </row>
        <row r="827">
          <cell r="F827" t="str">
            <v/>
          </cell>
        </row>
        <row r="828">
          <cell r="F828" t="str">
            <v/>
          </cell>
        </row>
        <row r="829">
          <cell r="F829" t="str">
            <v/>
          </cell>
        </row>
        <row r="830">
          <cell r="F830" t="str">
            <v/>
          </cell>
        </row>
        <row r="831">
          <cell r="F831" t="str">
            <v/>
          </cell>
        </row>
        <row r="832">
          <cell r="F832" t="str">
            <v/>
          </cell>
        </row>
        <row r="833">
          <cell r="F833" t="str">
            <v/>
          </cell>
        </row>
        <row r="834">
          <cell r="F834" t="str">
            <v/>
          </cell>
        </row>
        <row r="835">
          <cell r="F835" t="str">
            <v/>
          </cell>
        </row>
        <row r="836">
          <cell r="F836" t="str">
            <v/>
          </cell>
        </row>
        <row r="837">
          <cell r="F837" t="str">
            <v/>
          </cell>
        </row>
        <row r="838">
          <cell r="F838" t="str">
            <v/>
          </cell>
        </row>
        <row r="839">
          <cell r="F839" t="str">
            <v/>
          </cell>
        </row>
        <row r="840">
          <cell r="F840" t="str">
            <v/>
          </cell>
        </row>
        <row r="841">
          <cell r="F841" t="str">
            <v/>
          </cell>
        </row>
        <row r="842">
          <cell r="F842" t="str">
            <v/>
          </cell>
        </row>
        <row r="843">
          <cell r="F843" t="str">
            <v/>
          </cell>
        </row>
        <row r="844">
          <cell r="F844" t="str">
            <v/>
          </cell>
        </row>
        <row r="845">
          <cell r="F845" t="str">
            <v/>
          </cell>
        </row>
        <row r="846">
          <cell r="F846" t="str">
            <v/>
          </cell>
        </row>
        <row r="847">
          <cell r="F847" t="str">
            <v/>
          </cell>
        </row>
        <row r="848">
          <cell r="F848" t="str">
            <v/>
          </cell>
        </row>
        <row r="849">
          <cell r="F849" t="str">
            <v/>
          </cell>
        </row>
        <row r="850">
          <cell r="F850" t="str">
            <v/>
          </cell>
        </row>
        <row r="851">
          <cell r="F851" t="str">
            <v/>
          </cell>
        </row>
        <row r="852">
          <cell r="F852" t="str">
            <v/>
          </cell>
        </row>
        <row r="853">
          <cell r="F853" t="str">
            <v/>
          </cell>
        </row>
        <row r="854">
          <cell r="F854" t="str">
            <v/>
          </cell>
        </row>
        <row r="855">
          <cell r="F855" t="str">
            <v/>
          </cell>
        </row>
        <row r="856">
          <cell r="F856" t="str">
            <v/>
          </cell>
        </row>
        <row r="857">
          <cell r="F857" t="str">
            <v/>
          </cell>
        </row>
        <row r="858">
          <cell r="F858" t="str">
            <v/>
          </cell>
        </row>
        <row r="859">
          <cell r="F859" t="str">
            <v/>
          </cell>
        </row>
        <row r="860">
          <cell r="F860" t="str">
            <v/>
          </cell>
        </row>
        <row r="861">
          <cell r="F861" t="str">
            <v/>
          </cell>
        </row>
        <row r="862">
          <cell r="F862" t="str">
            <v/>
          </cell>
        </row>
        <row r="863">
          <cell r="F863" t="str">
            <v/>
          </cell>
        </row>
        <row r="864">
          <cell r="F864" t="str">
            <v/>
          </cell>
        </row>
        <row r="865">
          <cell r="F865" t="str">
            <v/>
          </cell>
        </row>
        <row r="866">
          <cell r="F866" t="str">
            <v/>
          </cell>
        </row>
        <row r="867">
          <cell r="F867" t="str">
            <v/>
          </cell>
        </row>
        <row r="868">
          <cell r="F868" t="str">
            <v/>
          </cell>
        </row>
        <row r="869">
          <cell r="F869" t="str">
            <v/>
          </cell>
        </row>
        <row r="870">
          <cell r="F870" t="str">
            <v/>
          </cell>
        </row>
        <row r="871">
          <cell r="F871" t="str">
            <v/>
          </cell>
        </row>
        <row r="872">
          <cell r="F872" t="str">
            <v/>
          </cell>
        </row>
        <row r="873">
          <cell r="F873" t="str">
            <v/>
          </cell>
        </row>
        <row r="874">
          <cell r="F874" t="str">
            <v/>
          </cell>
        </row>
        <row r="875">
          <cell r="F875" t="str">
            <v/>
          </cell>
        </row>
        <row r="876">
          <cell r="F876" t="str">
            <v/>
          </cell>
        </row>
        <row r="877">
          <cell r="F877" t="str">
            <v/>
          </cell>
        </row>
        <row r="878">
          <cell r="F878" t="str">
            <v/>
          </cell>
        </row>
        <row r="879">
          <cell r="F879" t="str">
            <v/>
          </cell>
        </row>
        <row r="880">
          <cell r="F880" t="str">
            <v/>
          </cell>
        </row>
        <row r="881">
          <cell r="F881" t="str">
            <v/>
          </cell>
        </row>
        <row r="882">
          <cell r="F882" t="str">
            <v/>
          </cell>
        </row>
        <row r="883">
          <cell r="F883" t="str">
            <v/>
          </cell>
        </row>
        <row r="884">
          <cell r="F884" t="str">
            <v/>
          </cell>
        </row>
        <row r="885">
          <cell r="F885" t="str">
            <v/>
          </cell>
        </row>
        <row r="886">
          <cell r="F886" t="str">
            <v/>
          </cell>
        </row>
        <row r="887">
          <cell r="F887" t="str">
            <v/>
          </cell>
        </row>
        <row r="888">
          <cell r="F888" t="str">
            <v/>
          </cell>
        </row>
        <row r="889">
          <cell r="F889" t="str">
            <v/>
          </cell>
        </row>
        <row r="890">
          <cell r="F890" t="str">
            <v/>
          </cell>
        </row>
        <row r="891">
          <cell r="F891" t="str">
            <v/>
          </cell>
        </row>
        <row r="892">
          <cell r="F892" t="str">
            <v/>
          </cell>
        </row>
        <row r="893">
          <cell r="F893" t="str">
            <v/>
          </cell>
        </row>
        <row r="894">
          <cell r="F894" t="str">
            <v/>
          </cell>
        </row>
        <row r="895">
          <cell r="F895" t="str">
            <v/>
          </cell>
        </row>
        <row r="896">
          <cell r="F896" t="str">
            <v/>
          </cell>
        </row>
        <row r="897">
          <cell r="F897" t="str">
            <v/>
          </cell>
        </row>
        <row r="898">
          <cell r="F898" t="str">
            <v/>
          </cell>
        </row>
        <row r="899">
          <cell r="F899" t="str">
            <v/>
          </cell>
        </row>
        <row r="900">
          <cell r="F900" t="str">
            <v/>
          </cell>
        </row>
        <row r="901">
          <cell r="F901" t="str">
            <v/>
          </cell>
        </row>
        <row r="902">
          <cell r="F902" t="str">
            <v/>
          </cell>
        </row>
        <row r="903">
          <cell r="F903" t="str">
            <v/>
          </cell>
        </row>
        <row r="904">
          <cell r="F904" t="str">
            <v/>
          </cell>
        </row>
        <row r="905">
          <cell r="F905" t="str">
            <v/>
          </cell>
        </row>
        <row r="906">
          <cell r="F906" t="str">
            <v/>
          </cell>
        </row>
        <row r="907">
          <cell r="F907" t="str">
            <v/>
          </cell>
        </row>
        <row r="908">
          <cell r="F908" t="str">
            <v/>
          </cell>
        </row>
        <row r="909">
          <cell r="F909" t="str">
            <v/>
          </cell>
        </row>
        <row r="910">
          <cell r="F910" t="str">
            <v/>
          </cell>
        </row>
        <row r="911">
          <cell r="F911" t="str">
            <v/>
          </cell>
        </row>
        <row r="912">
          <cell r="F912" t="str">
            <v/>
          </cell>
        </row>
        <row r="913">
          <cell r="F913" t="str">
            <v/>
          </cell>
        </row>
        <row r="914">
          <cell r="F914" t="str">
            <v/>
          </cell>
        </row>
        <row r="915">
          <cell r="F915" t="str">
            <v/>
          </cell>
        </row>
        <row r="916">
          <cell r="F916" t="str">
            <v/>
          </cell>
        </row>
        <row r="917">
          <cell r="F917" t="str">
            <v/>
          </cell>
        </row>
        <row r="918">
          <cell r="F918" t="str">
            <v/>
          </cell>
        </row>
        <row r="919">
          <cell r="F919" t="str">
            <v/>
          </cell>
        </row>
        <row r="920">
          <cell r="F920" t="str">
            <v/>
          </cell>
        </row>
        <row r="921">
          <cell r="F921" t="str">
            <v/>
          </cell>
        </row>
        <row r="922">
          <cell r="F922" t="str">
            <v/>
          </cell>
        </row>
        <row r="923">
          <cell r="F923" t="str">
            <v/>
          </cell>
        </row>
        <row r="924">
          <cell r="F924" t="str">
            <v/>
          </cell>
        </row>
        <row r="925">
          <cell r="F925" t="str">
            <v/>
          </cell>
        </row>
        <row r="926">
          <cell r="F926" t="str">
            <v/>
          </cell>
        </row>
        <row r="927">
          <cell r="F927" t="str">
            <v/>
          </cell>
        </row>
        <row r="928">
          <cell r="F928" t="str">
            <v/>
          </cell>
        </row>
        <row r="929">
          <cell r="F929" t="str">
            <v/>
          </cell>
        </row>
        <row r="930">
          <cell r="F930" t="str">
            <v/>
          </cell>
        </row>
        <row r="931">
          <cell r="F931" t="str">
            <v/>
          </cell>
        </row>
        <row r="932">
          <cell r="F932" t="str">
            <v/>
          </cell>
        </row>
        <row r="933">
          <cell r="F933" t="str">
            <v/>
          </cell>
        </row>
        <row r="934">
          <cell r="F934" t="str">
            <v/>
          </cell>
        </row>
        <row r="935">
          <cell r="F935" t="str">
            <v/>
          </cell>
        </row>
        <row r="936">
          <cell r="F936" t="str">
            <v/>
          </cell>
        </row>
        <row r="937">
          <cell r="F937" t="str">
            <v/>
          </cell>
        </row>
        <row r="938">
          <cell r="F938" t="str">
            <v/>
          </cell>
        </row>
        <row r="939">
          <cell r="F939" t="str">
            <v/>
          </cell>
        </row>
        <row r="940">
          <cell r="F940" t="str">
            <v/>
          </cell>
        </row>
        <row r="941">
          <cell r="F941" t="str">
            <v/>
          </cell>
        </row>
        <row r="942">
          <cell r="F942" t="str">
            <v/>
          </cell>
        </row>
        <row r="943">
          <cell r="F943" t="str">
            <v/>
          </cell>
        </row>
        <row r="944">
          <cell r="F944" t="str">
            <v/>
          </cell>
        </row>
        <row r="945">
          <cell r="F945" t="str">
            <v/>
          </cell>
        </row>
        <row r="946">
          <cell r="F946" t="str">
            <v/>
          </cell>
        </row>
        <row r="947">
          <cell r="F947" t="str">
            <v/>
          </cell>
        </row>
        <row r="948">
          <cell r="F948" t="str">
            <v/>
          </cell>
        </row>
        <row r="949">
          <cell r="F949" t="str">
            <v/>
          </cell>
        </row>
        <row r="950">
          <cell r="F950" t="str">
            <v/>
          </cell>
        </row>
        <row r="951">
          <cell r="F951" t="str">
            <v/>
          </cell>
        </row>
        <row r="952">
          <cell r="F952" t="str">
            <v/>
          </cell>
        </row>
        <row r="953">
          <cell r="F953" t="str">
            <v/>
          </cell>
        </row>
        <row r="954">
          <cell r="F954" t="str">
            <v/>
          </cell>
        </row>
        <row r="955">
          <cell r="F955" t="str">
            <v/>
          </cell>
        </row>
        <row r="956">
          <cell r="F956" t="str">
            <v/>
          </cell>
        </row>
        <row r="957">
          <cell r="F957" t="str">
            <v/>
          </cell>
        </row>
        <row r="958">
          <cell r="F958" t="str">
            <v/>
          </cell>
        </row>
        <row r="959">
          <cell r="F959" t="str">
            <v/>
          </cell>
        </row>
        <row r="960">
          <cell r="F960" t="str">
            <v/>
          </cell>
        </row>
        <row r="961">
          <cell r="F961" t="str">
            <v/>
          </cell>
        </row>
        <row r="962">
          <cell r="F962" t="str">
            <v/>
          </cell>
        </row>
        <row r="963">
          <cell r="F963" t="str">
            <v/>
          </cell>
        </row>
        <row r="964">
          <cell r="F964" t="str">
            <v/>
          </cell>
        </row>
        <row r="965">
          <cell r="F965" t="str">
            <v/>
          </cell>
        </row>
        <row r="966">
          <cell r="F966" t="str">
            <v/>
          </cell>
        </row>
        <row r="967">
          <cell r="F967" t="str">
            <v/>
          </cell>
        </row>
        <row r="968">
          <cell r="F968" t="str">
            <v/>
          </cell>
        </row>
        <row r="969">
          <cell r="F969" t="str">
            <v/>
          </cell>
        </row>
        <row r="970">
          <cell r="F970" t="str">
            <v/>
          </cell>
        </row>
        <row r="971">
          <cell r="F971" t="str">
            <v/>
          </cell>
        </row>
        <row r="972">
          <cell r="F972" t="str">
            <v/>
          </cell>
        </row>
        <row r="973">
          <cell r="F973" t="str">
            <v/>
          </cell>
        </row>
        <row r="974">
          <cell r="F974" t="str">
            <v/>
          </cell>
        </row>
        <row r="975">
          <cell r="F975" t="str">
            <v/>
          </cell>
        </row>
        <row r="976">
          <cell r="F976" t="str">
            <v/>
          </cell>
        </row>
        <row r="977">
          <cell r="F977" t="str">
            <v/>
          </cell>
        </row>
        <row r="978">
          <cell r="F978" t="str">
            <v/>
          </cell>
        </row>
        <row r="979">
          <cell r="F979" t="str">
            <v/>
          </cell>
        </row>
        <row r="980">
          <cell r="F980" t="str">
            <v/>
          </cell>
        </row>
        <row r="981">
          <cell r="F981" t="str">
            <v/>
          </cell>
        </row>
        <row r="982">
          <cell r="F982" t="str">
            <v/>
          </cell>
        </row>
        <row r="983">
          <cell r="F983" t="str">
            <v/>
          </cell>
        </row>
        <row r="984">
          <cell r="F984" t="str">
            <v/>
          </cell>
        </row>
        <row r="985">
          <cell r="F985" t="str">
            <v/>
          </cell>
        </row>
        <row r="986">
          <cell r="F986" t="str">
            <v/>
          </cell>
        </row>
        <row r="987">
          <cell r="F987" t="str">
            <v/>
          </cell>
        </row>
        <row r="988">
          <cell r="F988" t="str">
            <v/>
          </cell>
        </row>
        <row r="989">
          <cell r="F989" t="str">
            <v/>
          </cell>
        </row>
        <row r="990">
          <cell r="F990" t="str">
            <v/>
          </cell>
        </row>
        <row r="991">
          <cell r="F991" t="str">
            <v/>
          </cell>
        </row>
        <row r="992">
          <cell r="F992" t="str">
            <v/>
          </cell>
        </row>
        <row r="993">
          <cell r="F993" t="str">
            <v/>
          </cell>
        </row>
        <row r="994">
          <cell r="F994" t="str">
            <v/>
          </cell>
        </row>
        <row r="995">
          <cell r="F995" t="str">
            <v/>
          </cell>
        </row>
        <row r="996">
          <cell r="F996" t="str">
            <v/>
          </cell>
        </row>
        <row r="997">
          <cell r="F997" t="str">
            <v/>
          </cell>
        </row>
        <row r="998">
          <cell r="F998" t="str">
            <v/>
          </cell>
        </row>
      </sheetData>
      <sheetData sheetId="1" refreshError="1">
        <row r="1">
          <cell r="F1" t="str">
            <v>Approved Brokers List</v>
          </cell>
        </row>
        <row r="4">
          <cell r="I4">
            <v>39164</v>
          </cell>
        </row>
        <row r="5">
          <cell r="I5">
            <v>39308</v>
          </cell>
        </row>
        <row r="6">
          <cell r="I6">
            <v>39203</v>
          </cell>
        </row>
        <row r="7">
          <cell r="I7">
            <v>39118</v>
          </cell>
        </row>
        <row r="8">
          <cell r="I8">
            <v>39441</v>
          </cell>
        </row>
      </sheetData>
      <sheetData sheetId="2" refreshError="1">
        <row r="4">
          <cell r="H4" t="str">
            <v>AHSL</v>
          </cell>
        </row>
        <row r="5">
          <cell r="H5" t="str">
            <v>AICL</v>
          </cell>
        </row>
        <row r="6">
          <cell r="H6" t="str">
            <v>ANL</v>
          </cell>
        </row>
        <row r="7">
          <cell r="H7" t="str">
            <v>ATRL</v>
          </cell>
        </row>
        <row r="8">
          <cell r="H8" t="str">
            <v>BAFL</v>
          </cell>
        </row>
        <row r="9">
          <cell r="H9" t="str">
            <v>BAHL</v>
          </cell>
        </row>
        <row r="10">
          <cell r="H10" t="str">
            <v>BOP</v>
          </cell>
        </row>
        <row r="11">
          <cell r="H11" t="str">
            <v>DGKC</v>
          </cell>
        </row>
        <row r="12">
          <cell r="H12" t="str">
            <v>ENGRO</v>
          </cell>
        </row>
        <row r="13">
          <cell r="H13" t="str">
            <v>FABL</v>
          </cell>
        </row>
        <row r="14">
          <cell r="H14" t="str">
            <v>FCCL</v>
          </cell>
        </row>
        <row r="15">
          <cell r="H15" t="str">
            <v>FFBL</v>
          </cell>
        </row>
        <row r="16">
          <cell r="H16" t="str">
            <v>FFC</v>
          </cell>
        </row>
        <row r="17">
          <cell r="H17" t="str">
            <v>HUBC</v>
          </cell>
        </row>
        <row r="18">
          <cell r="H18" t="str">
            <v>KAPCO</v>
          </cell>
        </row>
        <row r="19">
          <cell r="H19" t="str">
            <v>LUCK</v>
          </cell>
        </row>
        <row r="20">
          <cell r="H20" t="str">
            <v>MCB</v>
          </cell>
        </row>
        <row r="21">
          <cell r="H21" t="str">
            <v>NBP</v>
          </cell>
        </row>
        <row r="22">
          <cell r="H22" t="str">
            <v>NML</v>
          </cell>
        </row>
        <row r="23">
          <cell r="H23" t="str">
            <v>OGDC</v>
          </cell>
        </row>
        <row r="24">
          <cell r="H24" t="str">
            <v>PICB</v>
          </cell>
        </row>
        <row r="25">
          <cell r="H25" t="str">
            <v>POL</v>
          </cell>
        </row>
        <row r="26">
          <cell r="H26" t="str">
            <v>PPL</v>
          </cell>
        </row>
        <row r="27">
          <cell r="H27" t="str">
            <v>PSO</v>
          </cell>
        </row>
        <row r="28">
          <cell r="H28" t="str">
            <v>PTC</v>
          </cell>
        </row>
        <row r="29">
          <cell r="H29" t="str">
            <v>SHEL</v>
          </cell>
        </row>
        <row r="30">
          <cell r="H30" t="str">
            <v>SNGP</v>
          </cell>
        </row>
        <row r="31">
          <cell r="H31" t="str">
            <v>SSGC</v>
          </cell>
        </row>
        <row r="32">
          <cell r="H32" t="str">
            <v>UBL</v>
          </cell>
        </row>
        <row r="33">
          <cell r="H33" t="str">
            <v/>
          </cell>
        </row>
        <row r="34">
          <cell r="H34" t="str">
            <v/>
          </cell>
        </row>
        <row r="35">
          <cell r="H35" t="str">
            <v/>
          </cell>
        </row>
        <row r="36">
          <cell r="H36" t="str">
            <v/>
          </cell>
        </row>
        <row r="37">
          <cell r="H37" t="str">
            <v/>
          </cell>
        </row>
        <row r="38">
          <cell r="H38" t="str">
            <v/>
          </cell>
        </row>
        <row r="39">
          <cell r="H39" t="str">
            <v/>
          </cell>
        </row>
        <row r="40">
          <cell r="H40" t="str">
            <v/>
          </cell>
        </row>
        <row r="41">
          <cell r="H41" t="str">
            <v/>
          </cell>
        </row>
        <row r="42">
          <cell r="H42" t="str">
            <v/>
          </cell>
        </row>
        <row r="43">
          <cell r="H43" t="str">
            <v/>
          </cell>
        </row>
        <row r="44">
          <cell r="H44" t="str">
            <v/>
          </cell>
        </row>
        <row r="45">
          <cell r="H45" t="str">
            <v/>
          </cell>
        </row>
        <row r="46">
          <cell r="H46" t="str">
            <v/>
          </cell>
        </row>
        <row r="47">
          <cell r="H47" t="str">
            <v/>
          </cell>
        </row>
        <row r="48">
          <cell r="H48" t="str">
            <v/>
          </cell>
        </row>
        <row r="49">
          <cell r="H49" t="str">
            <v/>
          </cell>
        </row>
        <row r="50">
          <cell r="H50" t="str">
            <v/>
          </cell>
        </row>
        <row r="51">
          <cell r="H51" t="str">
            <v/>
          </cell>
        </row>
        <row r="52">
          <cell r="H52" t="str">
            <v/>
          </cell>
        </row>
        <row r="53">
          <cell r="H53" t="str">
            <v/>
          </cell>
        </row>
        <row r="54">
          <cell r="H54" t="str">
            <v/>
          </cell>
        </row>
        <row r="55">
          <cell r="H55" t="str">
            <v/>
          </cell>
        </row>
        <row r="56">
          <cell r="H56" t="str">
            <v/>
          </cell>
        </row>
        <row r="57">
          <cell r="H57" t="str">
            <v/>
          </cell>
        </row>
        <row r="58">
          <cell r="H58" t="str">
            <v/>
          </cell>
        </row>
        <row r="59">
          <cell r="H59" t="str">
            <v/>
          </cell>
        </row>
        <row r="60">
          <cell r="H60" t="str">
            <v/>
          </cell>
        </row>
        <row r="61">
          <cell r="H61" t="str">
            <v/>
          </cell>
        </row>
        <row r="62">
          <cell r="H62" t="str">
            <v/>
          </cell>
        </row>
        <row r="63">
          <cell r="H63" t="str">
            <v/>
          </cell>
        </row>
        <row r="64">
          <cell r="H64" t="str">
            <v/>
          </cell>
        </row>
        <row r="65">
          <cell r="H65" t="str">
            <v/>
          </cell>
        </row>
        <row r="66">
          <cell r="H66" t="str">
            <v/>
          </cell>
        </row>
        <row r="67">
          <cell r="H67" t="str">
            <v/>
          </cell>
        </row>
        <row r="68">
          <cell r="H68" t="str">
            <v/>
          </cell>
        </row>
        <row r="69">
          <cell r="H69" t="str">
            <v/>
          </cell>
        </row>
        <row r="70">
          <cell r="H70" t="str">
            <v/>
          </cell>
        </row>
        <row r="71">
          <cell r="H71" t="str">
            <v/>
          </cell>
        </row>
        <row r="72">
          <cell r="H72" t="str">
            <v/>
          </cell>
        </row>
        <row r="73">
          <cell r="H73" t="str">
            <v/>
          </cell>
        </row>
        <row r="74">
          <cell r="H74" t="str">
            <v/>
          </cell>
        </row>
        <row r="75">
          <cell r="H75" t="str">
            <v/>
          </cell>
        </row>
        <row r="76">
          <cell r="H76" t="str">
            <v/>
          </cell>
        </row>
        <row r="77">
          <cell r="H77" t="str">
            <v/>
          </cell>
        </row>
        <row r="78">
          <cell r="H78" t="str">
            <v/>
          </cell>
        </row>
        <row r="79">
          <cell r="H79" t="str">
            <v/>
          </cell>
        </row>
        <row r="80">
          <cell r="H80" t="str">
            <v/>
          </cell>
        </row>
        <row r="81">
          <cell r="H81" t="str">
            <v/>
          </cell>
        </row>
        <row r="82">
          <cell r="H82" t="str">
            <v/>
          </cell>
        </row>
        <row r="83">
          <cell r="H83" t="str">
            <v/>
          </cell>
        </row>
        <row r="84">
          <cell r="H84" t="str">
            <v/>
          </cell>
        </row>
        <row r="85">
          <cell r="H85" t="str">
            <v/>
          </cell>
        </row>
        <row r="86">
          <cell r="H86" t="str">
            <v/>
          </cell>
        </row>
        <row r="87">
          <cell r="H87" t="str">
            <v/>
          </cell>
        </row>
        <row r="88">
          <cell r="H88" t="str">
            <v/>
          </cell>
        </row>
        <row r="89">
          <cell r="H89" t="str">
            <v/>
          </cell>
        </row>
        <row r="90">
          <cell r="H90" t="str">
            <v/>
          </cell>
        </row>
        <row r="91">
          <cell r="H91" t="str">
            <v/>
          </cell>
        </row>
        <row r="92">
          <cell r="H92" t="str">
            <v/>
          </cell>
        </row>
        <row r="93">
          <cell r="H93" t="str">
            <v/>
          </cell>
        </row>
        <row r="94">
          <cell r="H94" t="str">
            <v/>
          </cell>
        </row>
        <row r="95">
          <cell r="H95" t="str">
            <v/>
          </cell>
        </row>
        <row r="96">
          <cell r="H96" t="str">
            <v/>
          </cell>
        </row>
        <row r="97">
          <cell r="H97" t="str">
            <v/>
          </cell>
        </row>
        <row r="98">
          <cell r="H98" t="str">
            <v/>
          </cell>
        </row>
        <row r="99">
          <cell r="H99" t="str">
            <v/>
          </cell>
        </row>
        <row r="100">
          <cell r="H100" t="str">
            <v/>
          </cell>
        </row>
        <row r="101">
          <cell r="H101" t="str">
            <v/>
          </cell>
        </row>
        <row r="102">
          <cell r="H102" t="str">
            <v/>
          </cell>
        </row>
        <row r="103">
          <cell r="H103" t="str">
            <v/>
          </cell>
        </row>
        <row r="104">
          <cell r="H104" t="str">
            <v/>
          </cell>
        </row>
        <row r="105">
          <cell r="H105" t="str">
            <v/>
          </cell>
        </row>
        <row r="106">
          <cell r="H106" t="str">
            <v/>
          </cell>
        </row>
        <row r="107">
          <cell r="H107" t="str">
            <v/>
          </cell>
        </row>
        <row r="108">
          <cell r="H108" t="str">
            <v/>
          </cell>
        </row>
        <row r="109">
          <cell r="H109" t="str">
            <v/>
          </cell>
        </row>
        <row r="110">
          <cell r="H110" t="str">
            <v/>
          </cell>
        </row>
        <row r="111">
          <cell r="H111" t="str">
            <v/>
          </cell>
        </row>
        <row r="112">
          <cell r="H112" t="str">
            <v/>
          </cell>
        </row>
        <row r="113">
          <cell r="H113" t="str">
            <v/>
          </cell>
        </row>
        <row r="114">
          <cell r="H114" t="str">
            <v/>
          </cell>
        </row>
        <row r="115">
          <cell r="H115" t="str">
            <v/>
          </cell>
        </row>
        <row r="116">
          <cell r="H116" t="str">
            <v/>
          </cell>
        </row>
        <row r="117">
          <cell r="H117" t="str">
            <v/>
          </cell>
        </row>
        <row r="118">
          <cell r="H118" t="str">
            <v/>
          </cell>
        </row>
        <row r="119">
          <cell r="H119" t="str">
            <v/>
          </cell>
        </row>
        <row r="120">
          <cell r="H120" t="str">
            <v/>
          </cell>
        </row>
        <row r="121">
          <cell r="H121" t="str">
            <v/>
          </cell>
        </row>
        <row r="122">
          <cell r="H122" t="str">
            <v/>
          </cell>
        </row>
        <row r="123">
          <cell r="H123" t="str">
            <v/>
          </cell>
        </row>
        <row r="124">
          <cell r="H124" t="str">
            <v/>
          </cell>
        </row>
        <row r="125">
          <cell r="H125" t="str">
            <v/>
          </cell>
        </row>
        <row r="126">
          <cell r="H126" t="str">
            <v/>
          </cell>
        </row>
        <row r="127">
          <cell r="H127" t="str">
            <v/>
          </cell>
        </row>
        <row r="128">
          <cell r="H128" t="str">
            <v/>
          </cell>
        </row>
        <row r="129">
          <cell r="H129" t="str">
            <v/>
          </cell>
        </row>
        <row r="130">
          <cell r="H130" t="str">
            <v/>
          </cell>
        </row>
        <row r="131">
          <cell r="H131" t="str">
            <v/>
          </cell>
        </row>
        <row r="132">
          <cell r="H132" t="str">
            <v/>
          </cell>
        </row>
        <row r="133">
          <cell r="H133" t="str">
            <v/>
          </cell>
        </row>
        <row r="134">
          <cell r="H134" t="str">
            <v/>
          </cell>
        </row>
        <row r="135">
          <cell r="H135" t="str">
            <v/>
          </cell>
        </row>
        <row r="136">
          <cell r="H136" t="str">
            <v/>
          </cell>
        </row>
        <row r="137">
          <cell r="H137" t="str">
            <v/>
          </cell>
        </row>
        <row r="138">
          <cell r="H138" t="str">
            <v/>
          </cell>
        </row>
        <row r="139">
          <cell r="H139" t="str">
            <v/>
          </cell>
        </row>
        <row r="140">
          <cell r="H140" t="str">
            <v/>
          </cell>
        </row>
        <row r="141">
          <cell r="H141" t="str">
            <v/>
          </cell>
        </row>
        <row r="142">
          <cell r="H142" t="str">
            <v/>
          </cell>
        </row>
        <row r="143">
          <cell r="H143" t="str">
            <v/>
          </cell>
        </row>
        <row r="144">
          <cell r="H144" t="str">
            <v/>
          </cell>
        </row>
        <row r="145">
          <cell r="H145" t="str">
            <v/>
          </cell>
        </row>
        <row r="146">
          <cell r="H146" t="str">
            <v/>
          </cell>
        </row>
        <row r="147">
          <cell r="H147" t="str">
            <v/>
          </cell>
        </row>
        <row r="148">
          <cell r="H148" t="str">
            <v/>
          </cell>
        </row>
        <row r="149">
          <cell r="H149" t="str">
            <v/>
          </cell>
        </row>
        <row r="150">
          <cell r="H150" t="str">
            <v/>
          </cell>
        </row>
        <row r="151">
          <cell r="H151" t="str">
            <v/>
          </cell>
        </row>
        <row r="152">
          <cell r="H152" t="str">
            <v/>
          </cell>
        </row>
        <row r="153">
          <cell r="H153" t="str">
            <v/>
          </cell>
        </row>
        <row r="154">
          <cell r="H154" t="str">
            <v/>
          </cell>
        </row>
        <row r="155">
          <cell r="H155" t="str">
            <v/>
          </cell>
        </row>
        <row r="156">
          <cell r="H156" t="str">
            <v/>
          </cell>
        </row>
        <row r="157">
          <cell r="H157" t="str">
            <v/>
          </cell>
        </row>
        <row r="158">
          <cell r="H158" t="str">
            <v/>
          </cell>
        </row>
        <row r="159">
          <cell r="H159" t="str">
            <v/>
          </cell>
        </row>
        <row r="160">
          <cell r="H160" t="str">
            <v/>
          </cell>
        </row>
        <row r="161">
          <cell r="H161" t="str">
            <v/>
          </cell>
        </row>
        <row r="162">
          <cell r="H162" t="str">
            <v/>
          </cell>
        </row>
        <row r="163">
          <cell r="H163" t="str">
            <v/>
          </cell>
        </row>
        <row r="164">
          <cell r="H164" t="str">
            <v/>
          </cell>
        </row>
        <row r="165">
          <cell r="H165" t="str">
            <v/>
          </cell>
        </row>
        <row r="166">
          <cell r="H166" t="str">
            <v/>
          </cell>
        </row>
        <row r="167">
          <cell r="H167" t="str">
            <v/>
          </cell>
        </row>
        <row r="168">
          <cell r="H168" t="str">
            <v/>
          </cell>
        </row>
        <row r="169">
          <cell r="H169" t="str">
            <v/>
          </cell>
        </row>
        <row r="170">
          <cell r="H170" t="str">
            <v/>
          </cell>
        </row>
        <row r="171">
          <cell r="H171" t="str">
            <v/>
          </cell>
        </row>
        <row r="172">
          <cell r="H172" t="str">
            <v/>
          </cell>
        </row>
        <row r="173">
          <cell r="H173" t="str">
            <v/>
          </cell>
        </row>
        <row r="174">
          <cell r="H174" t="str">
            <v/>
          </cell>
        </row>
        <row r="175">
          <cell r="H175" t="str">
            <v/>
          </cell>
        </row>
        <row r="176">
          <cell r="H176" t="str">
            <v/>
          </cell>
        </row>
        <row r="177">
          <cell r="H177" t="str">
            <v/>
          </cell>
        </row>
        <row r="178">
          <cell r="H178" t="str">
            <v/>
          </cell>
        </row>
        <row r="179">
          <cell r="H179" t="str">
            <v/>
          </cell>
        </row>
        <row r="180">
          <cell r="H180" t="str">
            <v/>
          </cell>
        </row>
        <row r="181">
          <cell r="H181" t="str">
            <v/>
          </cell>
        </row>
        <row r="182">
          <cell r="H182" t="str">
            <v/>
          </cell>
        </row>
        <row r="183">
          <cell r="H183" t="str">
            <v/>
          </cell>
        </row>
        <row r="184">
          <cell r="H184" t="str">
            <v/>
          </cell>
        </row>
        <row r="185">
          <cell r="H185" t="str">
            <v/>
          </cell>
        </row>
        <row r="186">
          <cell r="H186" t="str">
            <v/>
          </cell>
        </row>
        <row r="187">
          <cell r="H187" t="str">
            <v/>
          </cell>
        </row>
        <row r="188">
          <cell r="H188" t="str">
            <v/>
          </cell>
        </row>
        <row r="189">
          <cell r="H189" t="str">
            <v/>
          </cell>
        </row>
        <row r="190">
          <cell r="H190" t="str">
            <v/>
          </cell>
        </row>
        <row r="191">
          <cell r="H191" t="str">
            <v/>
          </cell>
        </row>
        <row r="192">
          <cell r="H192" t="str">
            <v/>
          </cell>
        </row>
        <row r="193">
          <cell r="H193" t="str">
            <v/>
          </cell>
        </row>
        <row r="194">
          <cell r="H194" t="str">
            <v/>
          </cell>
        </row>
        <row r="195">
          <cell r="H195" t="str">
            <v/>
          </cell>
        </row>
        <row r="196">
          <cell r="H196" t="str">
            <v/>
          </cell>
        </row>
        <row r="197">
          <cell r="H197" t="str">
            <v/>
          </cell>
        </row>
        <row r="198">
          <cell r="H198" t="str">
            <v/>
          </cell>
        </row>
        <row r="199">
          <cell r="H199" t="str">
            <v/>
          </cell>
        </row>
        <row r="200">
          <cell r="H200" t="str">
            <v/>
          </cell>
        </row>
        <row r="201">
          <cell r="H201" t="str">
            <v/>
          </cell>
        </row>
        <row r="202">
          <cell r="H202" t="str">
            <v/>
          </cell>
        </row>
        <row r="203">
          <cell r="H203" t="str">
            <v/>
          </cell>
        </row>
        <row r="204">
          <cell r="H204" t="str">
            <v/>
          </cell>
        </row>
        <row r="205">
          <cell r="H205" t="str">
            <v/>
          </cell>
        </row>
        <row r="206">
          <cell r="H206" t="str">
            <v/>
          </cell>
        </row>
        <row r="207">
          <cell r="H207" t="str">
            <v/>
          </cell>
        </row>
        <row r="208">
          <cell r="H208" t="str">
            <v/>
          </cell>
        </row>
        <row r="209">
          <cell r="H209" t="str">
            <v/>
          </cell>
        </row>
        <row r="210">
          <cell r="H210" t="str">
            <v/>
          </cell>
        </row>
        <row r="211">
          <cell r="H211" t="str">
            <v/>
          </cell>
        </row>
        <row r="212">
          <cell r="H212" t="str">
            <v/>
          </cell>
        </row>
        <row r="213">
          <cell r="H213" t="str">
            <v/>
          </cell>
        </row>
        <row r="214">
          <cell r="H214" t="str">
            <v/>
          </cell>
        </row>
        <row r="215">
          <cell r="H215" t="str">
            <v/>
          </cell>
        </row>
        <row r="216">
          <cell r="H216" t="str">
            <v/>
          </cell>
        </row>
        <row r="217">
          <cell r="H217" t="str">
            <v/>
          </cell>
        </row>
        <row r="218">
          <cell r="H218" t="str">
            <v/>
          </cell>
        </row>
        <row r="219">
          <cell r="H219" t="str">
            <v/>
          </cell>
        </row>
        <row r="220">
          <cell r="H220" t="str">
            <v/>
          </cell>
        </row>
        <row r="221">
          <cell r="H221" t="str">
            <v/>
          </cell>
        </row>
        <row r="222">
          <cell r="H222" t="str">
            <v/>
          </cell>
        </row>
        <row r="223">
          <cell r="H223" t="str">
            <v/>
          </cell>
        </row>
        <row r="224">
          <cell r="H224" t="str">
            <v/>
          </cell>
        </row>
        <row r="225">
          <cell r="H225" t="str">
            <v/>
          </cell>
        </row>
        <row r="226">
          <cell r="H226" t="str">
            <v/>
          </cell>
        </row>
        <row r="227">
          <cell r="H227" t="str">
            <v/>
          </cell>
        </row>
        <row r="228">
          <cell r="H228" t="str">
            <v/>
          </cell>
        </row>
        <row r="229">
          <cell r="H229" t="str">
            <v/>
          </cell>
        </row>
        <row r="230">
          <cell r="H230" t="str">
            <v/>
          </cell>
        </row>
        <row r="231">
          <cell r="H231" t="str">
            <v/>
          </cell>
        </row>
        <row r="232">
          <cell r="H232" t="str">
            <v/>
          </cell>
        </row>
        <row r="233">
          <cell r="H233" t="str">
            <v/>
          </cell>
        </row>
        <row r="234">
          <cell r="H234" t="str">
            <v/>
          </cell>
        </row>
        <row r="235">
          <cell r="H235" t="str">
            <v/>
          </cell>
        </row>
        <row r="236">
          <cell r="H236" t="str">
            <v/>
          </cell>
        </row>
        <row r="237">
          <cell r="H237" t="str">
            <v/>
          </cell>
        </row>
        <row r="238">
          <cell r="H238" t="str">
            <v/>
          </cell>
        </row>
        <row r="239">
          <cell r="H239" t="str">
            <v/>
          </cell>
        </row>
        <row r="240">
          <cell r="H240" t="str">
            <v/>
          </cell>
        </row>
        <row r="241">
          <cell r="H241" t="str">
            <v/>
          </cell>
        </row>
        <row r="242">
          <cell r="H242" t="str">
            <v/>
          </cell>
        </row>
        <row r="243">
          <cell r="H243" t="str">
            <v/>
          </cell>
        </row>
        <row r="244">
          <cell r="H244" t="str">
            <v/>
          </cell>
        </row>
        <row r="245">
          <cell r="H245" t="str">
            <v/>
          </cell>
        </row>
        <row r="246">
          <cell r="H246" t="str">
            <v/>
          </cell>
        </row>
        <row r="247">
          <cell r="H247" t="str">
            <v/>
          </cell>
        </row>
        <row r="248">
          <cell r="H248" t="str">
            <v/>
          </cell>
        </row>
        <row r="249">
          <cell r="H249" t="str">
            <v/>
          </cell>
        </row>
        <row r="250">
          <cell r="H250" t="str">
            <v/>
          </cell>
        </row>
        <row r="251">
          <cell r="H251" t="str">
            <v/>
          </cell>
        </row>
        <row r="252">
          <cell r="H252" t="str">
            <v/>
          </cell>
        </row>
        <row r="253">
          <cell r="H253" t="str">
            <v/>
          </cell>
        </row>
        <row r="254">
          <cell r="H254" t="str">
            <v/>
          </cell>
        </row>
        <row r="255">
          <cell r="H255" t="str">
            <v/>
          </cell>
        </row>
        <row r="256">
          <cell r="H256" t="str">
            <v/>
          </cell>
        </row>
        <row r="257">
          <cell r="H257" t="str">
            <v/>
          </cell>
        </row>
        <row r="258">
          <cell r="H258" t="str">
            <v/>
          </cell>
        </row>
        <row r="259">
          <cell r="H259" t="str">
            <v/>
          </cell>
        </row>
        <row r="260">
          <cell r="H260" t="str">
            <v/>
          </cell>
        </row>
        <row r="261">
          <cell r="H261" t="str">
            <v/>
          </cell>
        </row>
        <row r="262">
          <cell r="H262" t="str">
            <v/>
          </cell>
        </row>
        <row r="263">
          <cell r="H263" t="str">
            <v/>
          </cell>
        </row>
        <row r="264">
          <cell r="H264" t="str">
            <v/>
          </cell>
        </row>
        <row r="265">
          <cell r="H265" t="str">
            <v/>
          </cell>
        </row>
        <row r="266">
          <cell r="H266" t="str">
            <v/>
          </cell>
        </row>
        <row r="267">
          <cell r="H267" t="str">
            <v/>
          </cell>
        </row>
        <row r="268">
          <cell r="H268" t="str">
            <v/>
          </cell>
        </row>
        <row r="269">
          <cell r="H269" t="str">
            <v/>
          </cell>
        </row>
        <row r="270">
          <cell r="H270" t="str">
            <v/>
          </cell>
        </row>
        <row r="271">
          <cell r="H271" t="str">
            <v/>
          </cell>
        </row>
        <row r="272">
          <cell r="H272" t="str">
            <v/>
          </cell>
        </row>
        <row r="273">
          <cell r="H273" t="str">
            <v/>
          </cell>
        </row>
        <row r="274">
          <cell r="H274" t="str">
            <v/>
          </cell>
        </row>
        <row r="275">
          <cell r="H275" t="str">
            <v/>
          </cell>
        </row>
        <row r="276">
          <cell r="H276" t="str">
            <v/>
          </cell>
        </row>
        <row r="277">
          <cell r="H277" t="str">
            <v/>
          </cell>
        </row>
        <row r="278">
          <cell r="H278" t="str">
            <v/>
          </cell>
        </row>
        <row r="279">
          <cell r="H279" t="str">
            <v/>
          </cell>
        </row>
        <row r="280">
          <cell r="H280" t="str">
            <v/>
          </cell>
        </row>
        <row r="281">
          <cell r="H281" t="str">
            <v/>
          </cell>
        </row>
        <row r="282">
          <cell r="H282" t="str">
            <v/>
          </cell>
        </row>
        <row r="283">
          <cell r="H283" t="str">
            <v/>
          </cell>
        </row>
        <row r="284">
          <cell r="H284" t="str">
            <v/>
          </cell>
        </row>
        <row r="285">
          <cell r="H285" t="str">
            <v/>
          </cell>
        </row>
        <row r="286">
          <cell r="H286" t="str">
            <v/>
          </cell>
        </row>
        <row r="287">
          <cell r="H287" t="str">
            <v/>
          </cell>
        </row>
        <row r="288">
          <cell r="H288" t="str">
            <v/>
          </cell>
        </row>
        <row r="289">
          <cell r="H289" t="str">
            <v/>
          </cell>
        </row>
        <row r="290">
          <cell r="H290" t="str">
            <v/>
          </cell>
        </row>
        <row r="291">
          <cell r="H291" t="str">
            <v/>
          </cell>
        </row>
        <row r="292">
          <cell r="H292" t="str">
            <v/>
          </cell>
        </row>
        <row r="293">
          <cell r="H293" t="str">
            <v/>
          </cell>
        </row>
        <row r="294">
          <cell r="H294" t="str">
            <v/>
          </cell>
        </row>
        <row r="295">
          <cell r="H295" t="str">
            <v/>
          </cell>
        </row>
        <row r="296">
          <cell r="H296" t="str">
            <v/>
          </cell>
        </row>
        <row r="297">
          <cell r="H297" t="str">
            <v/>
          </cell>
        </row>
        <row r="298">
          <cell r="H298" t="str">
            <v/>
          </cell>
        </row>
        <row r="299">
          <cell r="H299" t="str">
            <v/>
          </cell>
        </row>
        <row r="300">
          <cell r="H300" t="str">
            <v/>
          </cell>
        </row>
        <row r="301">
          <cell r="H301" t="str">
            <v/>
          </cell>
        </row>
        <row r="302">
          <cell r="H302" t="str">
            <v/>
          </cell>
        </row>
        <row r="303">
          <cell r="H303" t="str">
            <v/>
          </cell>
        </row>
        <row r="304">
          <cell r="H304" t="str">
            <v/>
          </cell>
        </row>
        <row r="305">
          <cell r="H305" t="str">
            <v/>
          </cell>
        </row>
        <row r="306">
          <cell r="H306" t="str">
            <v/>
          </cell>
        </row>
        <row r="307">
          <cell r="H307" t="str">
            <v/>
          </cell>
        </row>
        <row r="308">
          <cell r="H308" t="str">
            <v/>
          </cell>
        </row>
        <row r="309">
          <cell r="H309" t="str">
            <v/>
          </cell>
        </row>
        <row r="310">
          <cell r="H310" t="str">
            <v/>
          </cell>
        </row>
        <row r="311">
          <cell r="H311" t="str">
            <v/>
          </cell>
        </row>
        <row r="312">
          <cell r="H312" t="str">
            <v/>
          </cell>
        </row>
        <row r="313">
          <cell r="H313" t="str">
            <v/>
          </cell>
        </row>
        <row r="314">
          <cell r="H314" t="str">
            <v/>
          </cell>
        </row>
        <row r="315">
          <cell r="H315" t="str">
            <v/>
          </cell>
        </row>
        <row r="316">
          <cell r="H316" t="str">
            <v/>
          </cell>
        </row>
        <row r="317">
          <cell r="H317" t="str">
            <v/>
          </cell>
        </row>
        <row r="318">
          <cell r="H318" t="str">
            <v/>
          </cell>
        </row>
        <row r="319">
          <cell r="H319" t="str">
            <v/>
          </cell>
        </row>
        <row r="320">
          <cell r="H320" t="str">
            <v/>
          </cell>
        </row>
        <row r="321">
          <cell r="H321" t="str">
            <v/>
          </cell>
        </row>
        <row r="322">
          <cell r="H322" t="str">
            <v/>
          </cell>
        </row>
        <row r="323">
          <cell r="H323" t="str">
            <v/>
          </cell>
        </row>
        <row r="324">
          <cell r="H324" t="str">
            <v/>
          </cell>
        </row>
        <row r="325">
          <cell r="H325" t="str">
            <v/>
          </cell>
        </row>
        <row r="326">
          <cell r="H326" t="str">
            <v/>
          </cell>
        </row>
        <row r="327">
          <cell r="H327" t="str">
            <v/>
          </cell>
        </row>
        <row r="328">
          <cell r="H328" t="str">
            <v/>
          </cell>
        </row>
        <row r="329">
          <cell r="H329" t="str">
            <v/>
          </cell>
        </row>
        <row r="330">
          <cell r="H330" t="str">
            <v/>
          </cell>
        </row>
        <row r="331">
          <cell r="H331" t="str">
            <v/>
          </cell>
        </row>
        <row r="332">
          <cell r="H332" t="str">
            <v/>
          </cell>
        </row>
        <row r="333">
          <cell r="H333" t="str">
            <v/>
          </cell>
        </row>
        <row r="334">
          <cell r="H334" t="str">
            <v/>
          </cell>
        </row>
        <row r="335">
          <cell r="H335" t="str">
            <v/>
          </cell>
        </row>
        <row r="336">
          <cell r="H336" t="str">
            <v/>
          </cell>
        </row>
        <row r="337">
          <cell r="H337" t="str">
            <v/>
          </cell>
        </row>
        <row r="338">
          <cell r="H338" t="str">
            <v/>
          </cell>
        </row>
        <row r="339">
          <cell r="H339" t="str">
            <v/>
          </cell>
        </row>
        <row r="340">
          <cell r="H340" t="str">
            <v/>
          </cell>
        </row>
        <row r="341">
          <cell r="H341" t="str">
            <v/>
          </cell>
        </row>
        <row r="342">
          <cell r="H342" t="str">
            <v/>
          </cell>
        </row>
        <row r="343">
          <cell r="H343" t="str">
            <v/>
          </cell>
        </row>
        <row r="344">
          <cell r="H344" t="str">
            <v/>
          </cell>
        </row>
        <row r="345">
          <cell r="H345" t="str">
            <v/>
          </cell>
        </row>
        <row r="346">
          <cell r="H346" t="str">
            <v/>
          </cell>
        </row>
        <row r="347">
          <cell r="H347" t="str">
            <v/>
          </cell>
        </row>
        <row r="348">
          <cell r="H348" t="str">
            <v/>
          </cell>
        </row>
        <row r="349">
          <cell r="H349" t="str">
            <v/>
          </cell>
        </row>
        <row r="350">
          <cell r="H350" t="str">
            <v/>
          </cell>
        </row>
        <row r="351">
          <cell r="H351" t="str">
            <v/>
          </cell>
        </row>
        <row r="352">
          <cell r="H352" t="str">
            <v/>
          </cell>
        </row>
        <row r="353">
          <cell r="H353" t="str">
            <v/>
          </cell>
        </row>
        <row r="354">
          <cell r="H354" t="str">
            <v/>
          </cell>
        </row>
        <row r="355">
          <cell r="H355" t="str">
            <v/>
          </cell>
        </row>
        <row r="356">
          <cell r="H356" t="str">
            <v/>
          </cell>
        </row>
        <row r="357">
          <cell r="H357" t="str">
            <v/>
          </cell>
        </row>
        <row r="358">
          <cell r="H358" t="str">
            <v/>
          </cell>
        </row>
        <row r="359">
          <cell r="H359" t="str">
            <v/>
          </cell>
        </row>
        <row r="360">
          <cell r="H360" t="str">
            <v/>
          </cell>
        </row>
        <row r="361">
          <cell r="H361" t="str">
            <v/>
          </cell>
        </row>
        <row r="362">
          <cell r="H362" t="str">
            <v/>
          </cell>
        </row>
        <row r="363">
          <cell r="H363" t="str">
            <v/>
          </cell>
        </row>
        <row r="364">
          <cell r="H364" t="str">
            <v/>
          </cell>
        </row>
        <row r="365">
          <cell r="H365" t="str">
            <v/>
          </cell>
        </row>
        <row r="366">
          <cell r="H366" t="str">
            <v/>
          </cell>
        </row>
        <row r="367">
          <cell r="H367" t="str">
            <v/>
          </cell>
        </row>
        <row r="368">
          <cell r="H368" t="str">
            <v/>
          </cell>
        </row>
        <row r="369">
          <cell r="H369" t="str">
            <v/>
          </cell>
        </row>
        <row r="370">
          <cell r="H370" t="str">
            <v/>
          </cell>
        </row>
        <row r="371">
          <cell r="H371" t="str">
            <v/>
          </cell>
        </row>
        <row r="372">
          <cell r="H372" t="str">
            <v/>
          </cell>
        </row>
        <row r="373">
          <cell r="H373" t="str">
            <v/>
          </cell>
        </row>
        <row r="374">
          <cell r="H374" t="str">
            <v/>
          </cell>
        </row>
        <row r="375">
          <cell r="H375" t="str">
            <v/>
          </cell>
        </row>
        <row r="376">
          <cell r="H376" t="str">
            <v/>
          </cell>
        </row>
        <row r="377">
          <cell r="H377" t="str">
            <v/>
          </cell>
        </row>
        <row r="378">
          <cell r="H378" t="str">
            <v/>
          </cell>
        </row>
        <row r="379">
          <cell r="H379" t="str">
            <v/>
          </cell>
        </row>
        <row r="380">
          <cell r="H380" t="str">
            <v/>
          </cell>
        </row>
        <row r="381">
          <cell r="H381" t="str">
            <v/>
          </cell>
        </row>
        <row r="382">
          <cell r="H382" t="str">
            <v/>
          </cell>
        </row>
        <row r="383">
          <cell r="H383" t="str">
            <v/>
          </cell>
        </row>
        <row r="384">
          <cell r="H384" t="str">
            <v/>
          </cell>
        </row>
        <row r="385">
          <cell r="H385" t="str">
            <v/>
          </cell>
        </row>
        <row r="386">
          <cell r="H386" t="str">
            <v/>
          </cell>
        </row>
        <row r="387">
          <cell r="H387" t="str">
            <v/>
          </cell>
        </row>
        <row r="388">
          <cell r="H388" t="str">
            <v/>
          </cell>
        </row>
        <row r="389">
          <cell r="H389" t="str">
            <v/>
          </cell>
        </row>
        <row r="390">
          <cell r="H390" t="str">
            <v/>
          </cell>
        </row>
        <row r="391">
          <cell r="H391" t="str">
            <v/>
          </cell>
        </row>
        <row r="392">
          <cell r="H392" t="str">
            <v/>
          </cell>
        </row>
        <row r="393">
          <cell r="H393" t="str">
            <v/>
          </cell>
        </row>
        <row r="394">
          <cell r="H394" t="str">
            <v/>
          </cell>
        </row>
        <row r="395">
          <cell r="H395" t="str">
            <v/>
          </cell>
        </row>
        <row r="396">
          <cell r="H396" t="str">
            <v/>
          </cell>
        </row>
        <row r="397">
          <cell r="H397" t="str">
            <v/>
          </cell>
        </row>
        <row r="398">
          <cell r="H398" t="str">
            <v/>
          </cell>
        </row>
        <row r="399">
          <cell r="H399" t="str">
            <v/>
          </cell>
        </row>
        <row r="400">
          <cell r="H400" t="str">
            <v/>
          </cell>
        </row>
        <row r="401">
          <cell r="H401" t="str">
            <v/>
          </cell>
        </row>
        <row r="402">
          <cell r="H402" t="str">
            <v/>
          </cell>
        </row>
        <row r="403">
          <cell r="H403" t="str">
            <v/>
          </cell>
        </row>
        <row r="404">
          <cell r="H404" t="str">
            <v/>
          </cell>
        </row>
        <row r="405">
          <cell r="H405" t="str">
            <v/>
          </cell>
        </row>
        <row r="406">
          <cell r="H406" t="str">
            <v/>
          </cell>
        </row>
        <row r="407">
          <cell r="H407" t="str">
            <v/>
          </cell>
        </row>
        <row r="408">
          <cell r="H408" t="str">
            <v/>
          </cell>
        </row>
        <row r="409">
          <cell r="H409" t="str">
            <v/>
          </cell>
        </row>
        <row r="410">
          <cell r="H410" t="str">
            <v/>
          </cell>
        </row>
        <row r="411">
          <cell r="H411" t="str">
            <v/>
          </cell>
        </row>
        <row r="412">
          <cell r="H412" t="str">
            <v/>
          </cell>
        </row>
        <row r="413">
          <cell r="H413" t="str">
            <v/>
          </cell>
        </row>
        <row r="414">
          <cell r="H414" t="str">
            <v/>
          </cell>
        </row>
        <row r="415">
          <cell r="H415" t="str">
            <v/>
          </cell>
        </row>
        <row r="416">
          <cell r="H416" t="str">
            <v/>
          </cell>
        </row>
        <row r="417">
          <cell r="H417" t="str">
            <v/>
          </cell>
        </row>
        <row r="418">
          <cell r="H418" t="str">
            <v/>
          </cell>
        </row>
        <row r="419">
          <cell r="H419" t="str">
            <v/>
          </cell>
        </row>
        <row r="420">
          <cell r="H420" t="str">
            <v/>
          </cell>
        </row>
        <row r="421">
          <cell r="H421" t="str">
            <v/>
          </cell>
        </row>
        <row r="422">
          <cell r="H422" t="str">
            <v/>
          </cell>
        </row>
        <row r="423">
          <cell r="H423" t="str">
            <v/>
          </cell>
        </row>
        <row r="424">
          <cell r="H424" t="str">
            <v/>
          </cell>
        </row>
        <row r="425">
          <cell r="H425" t="str">
            <v/>
          </cell>
        </row>
        <row r="426">
          <cell r="H426" t="str">
            <v/>
          </cell>
        </row>
        <row r="427">
          <cell r="H427" t="str">
            <v/>
          </cell>
        </row>
        <row r="428">
          <cell r="H428" t="str">
            <v/>
          </cell>
        </row>
        <row r="429">
          <cell r="H429" t="str">
            <v/>
          </cell>
        </row>
        <row r="430">
          <cell r="H430" t="str">
            <v/>
          </cell>
        </row>
        <row r="431">
          <cell r="H431" t="str">
            <v/>
          </cell>
        </row>
        <row r="432">
          <cell r="H432" t="str">
            <v/>
          </cell>
        </row>
        <row r="433">
          <cell r="H433" t="str">
            <v/>
          </cell>
        </row>
        <row r="434">
          <cell r="H434" t="str">
            <v/>
          </cell>
        </row>
        <row r="435">
          <cell r="H435" t="str">
            <v/>
          </cell>
        </row>
        <row r="436">
          <cell r="H436" t="str">
            <v/>
          </cell>
        </row>
        <row r="437">
          <cell r="H437" t="str">
            <v/>
          </cell>
        </row>
        <row r="438">
          <cell r="H438" t="str">
            <v/>
          </cell>
        </row>
        <row r="439">
          <cell r="H439" t="str">
            <v/>
          </cell>
        </row>
        <row r="440">
          <cell r="H440" t="str">
            <v/>
          </cell>
        </row>
        <row r="441">
          <cell r="H441" t="str">
            <v/>
          </cell>
        </row>
        <row r="442">
          <cell r="H442" t="str">
            <v/>
          </cell>
        </row>
        <row r="443">
          <cell r="H443" t="str">
            <v/>
          </cell>
        </row>
        <row r="444">
          <cell r="H444" t="str">
            <v/>
          </cell>
        </row>
        <row r="445">
          <cell r="H445" t="str">
            <v/>
          </cell>
        </row>
        <row r="446">
          <cell r="H446" t="str">
            <v/>
          </cell>
        </row>
        <row r="447">
          <cell r="H447" t="str">
            <v/>
          </cell>
        </row>
        <row r="448">
          <cell r="H448" t="str">
            <v/>
          </cell>
        </row>
        <row r="449">
          <cell r="H449" t="str">
            <v/>
          </cell>
        </row>
        <row r="450">
          <cell r="H450" t="str">
            <v/>
          </cell>
        </row>
        <row r="451">
          <cell r="H451" t="str">
            <v/>
          </cell>
        </row>
        <row r="452">
          <cell r="H452" t="str">
            <v/>
          </cell>
        </row>
        <row r="453">
          <cell r="H453" t="str">
            <v/>
          </cell>
        </row>
        <row r="454">
          <cell r="H454" t="str">
            <v/>
          </cell>
        </row>
        <row r="455">
          <cell r="H455" t="str">
            <v/>
          </cell>
        </row>
        <row r="456">
          <cell r="H456" t="str">
            <v/>
          </cell>
        </row>
        <row r="457">
          <cell r="H457" t="str">
            <v/>
          </cell>
        </row>
        <row r="458">
          <cell r="H458" t="str">
            <v/>
          </cell>
        </row>
        <row r="459">
          <cell r="H459" t="str">
            <v/>
          </cell>
        </row>
        <row r="460">
          <cell r="H460" t="str">
            <v/>
          </cell>
        </row>
        <row r="461">
          <cell r="H461" t="str">
            <v/>
          </cell>
        </row>
        <row r="462">
          <cell r="H462" t="str">
            <v/>
          </cell>
        </row>
        <row r="463">
          <cell r="H463" t="str">
            <v/>
          </cell>
        </row>
        <row r="464">
          <cell r="H464" t="str">
            <v/>
          </cell>
        </row>
        <row r="465">
          <cell r="H465" t="str">
            <v/>
          </cell>
        </row>
        <row r="466">
          <cell r="H466" t="str">
            <v/>
          </cell>
        </row>
        <row r="467">
          <cell r="H467" t="str">
            <v/>
          </cell>
        </row>
        <row r="468">
          <cell r="H468" t="str">
            <v/>
          </cell>
        </row>
        <row r="469">
          <cell r="H469" t="str">
            <v/>
          </cell>
        </row>
        <row r="470">
          <cell r="H470" t="str">
            <v/>
          </cell>
        </row>
        <row r="471">
          <cell r="H471" t="str">
            <v/>
          </cell>
        </row>
        <row r="472">
          <cell r="H472" t="str">
            <v/>
          </cell>
        </row>
        <row r="473">
          <cell r="H473" t="str">
            <v/>
          </cell>
        </row>
        <row r="474">
          <cell r="H474" t="str">
            <v/>
          </cell>
        </row>
        <row r="475">
          <cell r="H475" t="str">
            <v/>
          </cell>
        </row>
        <row r="476">
          <cell r="H476" t="str">
            <v/>
          </cell>
        </row>
        <row r="477">
          <cell r="H477" t="str">
            <v/>
          </cell>
        </row>
        <row r="478">
          <cell r="H478" t="str">
            <v/>
          </cell>
        </row>
        <row r="479">
          <cell r="H479" t="str">
            <v/>
          </cell>
        </row>
        <row r="480">
          <cell r="H480" t="str">
            <v/>
          </cell>
        </row>
        <row r="481">
          <cell r="H481" t="str">
            <v/>
          </cell>
        </row>
        <row r="482">
          <cell r="H482" t="str">
            <v/>
          </cell>
        </row>
        <row r="483">
          <cell r="H483" t="str">
            <v/>
          </cell>
        </row>
        <row r="484">
          <cell r="H484" t="str">
            <v/>
          </cell>
        </row>
        <row r="485">
          <cell r="H485" t="str">
            <v/>
          </cell>
        </row>
        <row r="486">
          <cell r="H486" t="str">
            <v/>
          </cell>
        </row>
        <row r="487">
          <cell r="H487" t="str">
            <v/>
          </cell>
        </row>
        <row r="488">
          <cell r="H488" t="str">
            <v/>
          </cell>
        </row>
        <row r="489">
          <cell r="H489" t="str">
            <v/>
          </cell>
        </row>
        <row r="490">
          <cell r="H490" t="str">
            <v/>
          </cell>
        </row>
        <row r="491">
          <cell r="H491" t="str">
            <v/>
          </cell>
        </row>
        <row r="492">
          <cell r="H492" t="str">
            <v/>
          </cell>
        </row>
        <row r="493">
          <cell r="H493" t="str">
            <v/>
          </cell>
        </row>
        <row r="494">
          <cell r="H494" t="str">
            <v/>
          </cell>
        </row>
        <row r="495">
          <cell r="H495" t="str">
            <v/>
          </cell>
        </row>
        <row r="496">
          <cell r="H496" t="str">
            <v/>
          </cell>
        </row>
        <row r="497">
          <cell r="H497" t="str">
            <v/>
          </cell>
        </row>
        <row r="498">
          <cell r="H498" t="str">
            <v/>
          </cell>
        </row>
        <row r="499">
          <cell r="H499" t="str">
            <v/>
          </cell>
        </row>
        <row r="500">
          <cell r="H500" t="str">
            <v/>
          </cell>
        </row>
      </sheetData>
      <sheetData sheetId="3" refreshError="1"/>
      <sheetData sheetId="4" refreshError="1">
        <row r="1">
          <cell r="A1" t="str">
            <v>PURCHASE (PLACEMENT)</v>
          </cell>
        </row>
        <row r="2">
          <cell r="A2" t="str">
            <v>Purchase ID</v>
          </cell>
          <cell r="C2" t="str">
            <v>Symbols</v>
          </cell>
          <cell r="D2" t="str">
            <v>Status</v>
          </cell>
          <cell r="E2" t="str">
            <v>Trade Date</v>
          </cell>
          <cell r="F2" t="str">
            <v>Trade Settlement Date</v>
          </cell>
          <cell r="G2" t="str">
            <v>Quantity</v>
          </cell>
          <cell r="H2" t="str">
            <v>Rate</v>
          </cell>
          <cell r="I2" t="str">
            <v>Broker</v>
          </cell>
          <cell r="J2" t="str">
            <v>Amount</v>
          </cell>
          <cell r="K2" t="str">
            <v>CFS Rate</v>
          </cell>
          <cell r="L2" t="str">
            <v>Un-Released Quantity</v>
          </cell>
          <cell r="M2" t="str">
            <v>Per Day Rate</v>
          </cell>
          <cell r="N2" t="str">
            <v>Per Day Rate</v>
          </cell>
          <cell r="O2" t="str">
            <v>Days</v>
          </cell>
          <cell r="S2" t="str">
            <v>Unreleased Scrip</v>
          </cell>
          <cell r="T2" t="str">
            <v>Unreleased Broker</v>
          </cell>
        </row>
        <row r="3">
          <cell r="N3">
            <v>0.03</v>
          </cell>
        </row>
        <row r="4">
          <cell r="A4" t="str">
            <v>Pur-OGDC-1000</v>
          </cell>
          <cell r="B4">
            <v>1000</v>
          </cell>
          <cell r="C4" t="str">
            <v>OGDC</v>
          </cell>
          <cell r="D4" t="str">
            <v>O/S</v>
          </cell>
          <cell r="E4">
            <v>39589</v>
          </cell>
          <cell r="F4">
            <v>39591</v>
          </cell>
          <cell r="G4">
            <v>375000</v>
          </cell>
          <cell r="H4">
            <v>132.25</v>
          </cell>
          <cell r="I4" t="str">
            <v>Invest &amp; Finance Securities</v>
          </cell>
          <cell r="J4">
            <v>49593750</v>
          </cell>
          <cell r="K4">
            <v>0.14760000000000001</v>
          </cell>
          <cell r="L4">
            <v>375000</v>
          </cell>
          <cell r="M4">
            <v>5.3499999999999999E-2</v>
          </cell>
          <cell r="N4">
            <v>1.6000000000000001E-3</v>
          </cell>
          <cell r="O4">
            <v>-1</v>
          </cell>
          <cell r="S4" t="str">
            <v/>
          </cell>
          <cell r="T4" t="str">
            <v/>
          </cell>
        </row>
        <row r="5">
          <cell r="A5" t="str">
            <v>Pur-PPL-1001</v>
          </cell>
          <cell r="B5">
            <v>1001</v>
          </cell>
          <cell r="C5" t="str">
            <v>PPL</v>
          </cell>
          <cell r="D5" t="str">
            <v>O/S</v>
          </cell>
          <cell r="E5">
            <v>39589</v>
          </cell>
          <cell r="F5">
            <v>39591</v>
          </cell>
          <cell r="G5">
            <v>180000</v>
          </cell>
          <cell r="H5">
            <v>270.5</v>
          </cell>
          <cell r="I5" t="str">
            <v>Invest &amp; Finance Securities</v>
          </cell>
          <cell r="J5">
            <v>48690000</v>
          </cell>
          <cell r="K5">
            <v>0.14369999999999999</v>
          </cell>
          <cell r="L5">
            <v>180000</v>
          </cell>
          <cell r="M5">
            <v>0.1065</v>
          </cell>
          <cell r="N5">
            <v>3.2000000000000002E-3</v>
          </cell>
          <cell r="O5">
            <v>-1</v>
          </cell>
          <cell r="S5" t="str">
            <v/>
          </cell>
          <cell r="T5" t="str">
            <v/>
          </cell>
        </row>
        <row r="6">
          <cell r="A6" t="str">
            <v/>
          </cell>
          <cell r="B6">
            <v>1002</v>
          </cell>
          <cell r="D6" t="str">
            <v/>
          </cell>
          <cell r="F6" t="str">
            <v/>
          </cell>
          <cell r="J6">
            <v>0</v>
          </cell>
          <cell r="L6">
            <v>0</v>
          </cell>
          <cell r="M6">
            <v>0</v>
          </cell>
          <cell r="N6">
            <v>0</v>
          </cell>
          <cell r="O6" t="str">
            <v/>
          </cell>
          <cell r="S6" t="str">
            <v/>
          </cell>
          <cell r="T6" t="str">
            <v/>
          </cell>
        </row>
        <row r="7">
          <cell r="A7" t="str">
            <v/>
          </cell>
          <cell r="B7">
            <v>1003</v>
          </cell>
          <cell r="D7" t="str">
            <v/>
          </cell>
          <cell r="F7" t="str">
            <v/>
          </cell>
          <cell r="J7">
            <v>0</v>
          </cell>
          <cell r="L7">
            <v>0</v>
          </cell>
          <cell r="M7">
            <v>0</v>
          </cell>
          <cell r="N7">
            <v>0</v>
          </cell>
          <cell r="O7" t="str">
            <v/>
          </cell>
          <cell r="S7" t="str">
            <v/>
          </cell>
          <cell r="T7" t="str">
            <v/>
          </cell>
        </row>
        <row r="8">
          <cell r="A8" t="str">
            <v/>
          </cell>
          <cell r="B8">
            <v>1004</v>
          </cell>
          <cell r="D8" t="str">
            <v/>
          </cell>
          <cell r="F8" t="str">
            <v/>
          </cell>
          <cell r="J8">
            <v>0</v>
          </cell>
          <cell r="L8">
            <v>0</v>
          </cell>
          <cell r="M8">
            <v>0</v>
          </cell>
          <cell r="N8">
            <v>0</v>
          </cell>
          <cell r="O8" t="str">
            <v/>
          </cell>
          <cell r="S8" t="str">
            <v/>
          </cell>
          <cell r="T8" t="str">
            <v/>
          </cell>
        </row>
        <row r="9">
          <cell r="A9" t="str">
            <v/>
          </cell>
          <cell r="B9">
            <v>1005</v>
          </cell>
          <cell r="D9" t="str">
            <v/>
          </cell>
          <cell r="F9" t="str">
            <v/>
          </cell>
          <cell r="J9">
            <v>0</v>
          </cell>
          <cell r="L9">
            <v>0</v>
          </cell>
          <cell r="M9">
            <v>0</v>
          </cell>
          <cell r="N9">
            <v>0</v>
          </cell>
          <cell r="O9" t="str">
            <v/>
          </cell>
          <cell r="S9" t="str">
            <v/>
          </cell>
          <cell r="T9" t="str">
            <v/>
          </cell>
        </row>
        <row r="10">
          <cell r="A10" t="str">
            <v/>
          </cell>
          <cell r="B10">
            <v>1006</v>
          </cell>
          <cell r="D10" t="str">
            <v/>
          </cell>
          <cell r="F10" t="str">
            <v/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/>
          </cell>
          <cell r="S10" t="str">
            <v/>
          </cell>
          <cell r="T10" t="str">
            <v/>
          </cell>
        </row>
        <row r="11">
          <cell r="A11" t="str">
            <v/>
          </cell>
          <cell r="B11">
            <v>1007</v>
          </cell>
          <cell r="D11" t="str">
            <v/>
          </cell>
          <cell r="F11" t="str">
            <v/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 t="str">
            <v/>
          </cell>
          <cell r="S11" t="str">
            <v/>
          </cell>
          <cell r="T11" t="str">
            <v/>
          </cell>
        </row>
        <row r="12">
          <cell r="A12" t="str">
            <v/>
          </cell>
          <cell r="B12">
            <v>1008</v>
          </cell>
          <cell r="D12" t="str">
            <v/>
          </cell>
          <cell r="F12" t="str">
            <v/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/>
          </cell>
          <cell r="S12" t="str">
            <v/>
          </cell>
          <cell r="T12" t="str">
            <v/>
          </cell>
        </row>
        <row r="13">
          <cell r="A13" t="str">
            <v/>
          </cell>
          <cell r="B13">
            <v>1009</v>
          </cell>
          <cell r="D13" t="str">
            <v/>
          </cell>
          <cell r="F13" t="str">
            <v/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/>
          </cell>
          <cell r="S13" t="str">
            <v/>
          </cell>
          <cell r="T13" t="str">
            <v/>
          </cell>
        </row>
        <row r="14">
          <cell r="A14" t="str">
            <v/>
          </cell>
          <cell r="B14">
            <v>1010</v>
          </cell>
          <cell r="D14" t="str">
            <v/>
          </cell>
          <cell r="F14" t="str">
            <v/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/>
          </cell>
          <cell r="S14" t="str">
            <v/>
          </cell>
          <cell r="T14" t="str">
            <v/>
          </cell>
        </row>
        <row r="15">
          <cell r="A15" t="str">
            <v/>
          </cell>
          <cell r="B15">
            <v>1011</v>
          </cell>
          <cell r="D15" t="str">
            <v/>
          </cell>
          <cell r="F15" t="str">
            <v/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/>
          </cell>
          <cell r="S15" t="str">
            <v/>
          </cell>
          <cell r="T15" t="str">
            <v/>
          </cell>
        </row>
        <row r="16">
          <cell r="A16" t="str">
            <v/>
          </cell>
          <cell r="B16">
            <v>1012</v>
          </cell>
          <cell r="D16" t="str">
            <v/>
          </cell>
          <cell r="F16" t="str">
            <v/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/>
          </cell>
          <cell r="S16" t="str">
            <v/>
          </cell>
          <cell r="T16" t="str">
            <v/>
          </cell>
        </row>
        <row r="17">
          <cell r="A17" t="str">
            <v/>
          </cell>
          <cell r="B17">
            <v>1013</v>
          </cell>
          <cell r="D17" t="str">
            <v/>
          </cell>
          <cell r="F17" t="str">
            <v/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/>
          </cell>
          <cell r="S17" t="str">
            <v/>
          </cell>
          <cell r="T17" t="str">
            <v/>
          </cell>
        </row>
        <row r="18">
          <cell r="A18" t="str">
            <v/>
          </cell>
          <cell r="B18">
            <v>1014</v>
          </cell>
          <cell r="D18" t="str">
            <v/>
          </cell>
          <cell r="F18" t="str">
            <v/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/>
          </cell>
          <cell r="S18" t="str">
            <v/>
          </cell>
          <cell r="T18" t="str">
            <v/>
          </cell>
        </row>
        <row r="19">
          <cell r="A19" t="str">
            <v/>
          </cell>
          <cell r="B19">
            <v>1015</v>
          </cell>
          <cell r="D19" t="str">
            <v/>
          </cell>
          <cell r="F19" t="str">
            <v/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/>
          </cell>
          <cell r="S19" t="str">
            <v/>
          </cell>
          <cell r="T19" t="str">
            <v/>
          </cell>
        </row>
        <row r="20">
          <cell r="A20" t="str">
            <v/>
          </cell>
          <cell r="B20">
            <v>1016</v>
          </cell>
          <cell r="D20" t="str">
            <v/>
          </cell>
          <cell r="F20" t="str">
            <v/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/>
          </cell>
          <cell r="S20" t="str">
            <v/>
          </cell>
          <cell r="T20" t="str">
            <v/>
          </cell>
        </row>
        <row r="21">
          <cell r="A21" t="str">
            <v/>
          </cell>
          <cell r="B21">
            <v>1017</v>
          </cell>
          <cell r="D21" t="str">
            <v/>
          </cell>
          <cell r="F21" t="str">
            <v/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/>
          </cell>
          <cell r="S21" t="str">
            <v/>
          </cell>
          <cell r="T21" t="str">
            <v/>
          </cell>
        </row>
        <row r="22">
          <cell r="A22" t="str">
            <v/>
          </cell>
          <cell r="B22">
            <v>1018</v>
          </cell>
          <cell r="D22" t="str">
            <v/>
          </cell>
          <cell r="F22" t="str">
            <v/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/>
          </cell>
          <cell r="S22" t="str">
            <v/>
          </cell>
          <cell r="T22" t="str">
            <v/>
          </cell>
        </row>
        <row r="23">
          <cell r="A23" t="str">
            <v/>
          </cell>
          <cell r="B23">
            <v>1019</v>
          </cell>
          <cell r="D23" t="str">
            <v/>
          </cell>
          <cell r="F23" t="str">
            <v/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/>
          </cell>
          <cell r="S23" t="str">
            <v/>
          </cell>
          <cell r="T23" t="str">
            <v/>
          </cell>
        </row>
        <row r="24">
          <cell r="A24" t="str">
            <v/>
          </cell>
          <cell r="B24">
            <v>1020</v>
          </cell>
          <cell r="D24" t="str">
            <v/>
          </cell>
          <cell r="F24" t="str">
            <v/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/>
          </cell>
          <cell r="S24" t="str">
            <v/>
          </cell>
          <cell r="T24" t="str">
            <v/>
          </cell>
        </row>
        <row r="25">
          <cell r="A25" t="str">
            <v/>
          </cell>
          <cell r="B25">
            <v>1021</v>
          </cell>
          <cell r="D25" t="str">
            <v/>
          </cell>
          <cell r="F25" t="str">
            <v/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/>
          </cell>
          <cell r="S25" t="str">
            <v/>
          </cell>
          <cell r="T25" t="str">
            <v/>
          </cell>
        </row>
        <row r="26">
          <cell r="A26" t="str">
            <v/>
          </cell>
          <cell r="B26">
            <v>1022</v>
          </cell>
          <cell r="D26" t="str">
            <v/>
          </cell>
          <cell r="F26" t="str">
            <v/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/>
          </cell>
          <cell r="S26" t="str">
            <v/>
          </cell>
          <cell r="T26" t="str">
            <v/>
          </cell>
        </row>
        <row r="27">
          <cell r="A27" t="str">
            <v/>
          </cell>
          <cell r="B27">
            <v>1023</v>
          </cell>
          <cell r="D27" t="str">
            <v/>
          </cell>
          <cell r="F27" t="str">
            <v/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/>
          </cell>
          <cell r="S27" t="str">
            <v/>
          </cell>
          <cell r="T27" t="str">
            <v/>
          </cell>
        </row>
        <row r="28">
          <cell r="A28" t="str">
            <v/>
          </cell>
          <cell r="B28">
            <v>1024</v>
          </cell>
          <cell r="D28" t="str">
            <v/>
          </cell>
          <cell r="F28" t="str">
            <v/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/>
          </cell>
          <cell r="S28" t="str">
            <v/>
          </cell>
          <cell r="T28" t="str">
            <v/>
          </cell>
        </row>
        <row r="29">
          <cell r="A29" t="str">
            <v/>
          </cell>
          <cell r="B29">
            <v>1025</v>
          </cell>
          <cell r="D29" t="str">
            <v/>
          </cell>
          <cell r="F29" t="str">
            <v/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/>
          </cell>
          <cell r="S29" t="str">
            <v/>
          </cell>
          <cell r="T29" t="str">
            <v/>
          </cell>
        </row>
        <row r="30">
          <cell r="A30" t="str">
            <v/>
          </cell>
          <cell r="B30">
            <v>1026</v>
          </cell>
          <cell r="D30" t="str">
            <v/>
          </cell>
          <cell r="F30" t="str">
            <v/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/>
          </cell>
          <cell r="S30" t="str">
            <v/>
          </cell>
          <cell r="T30" t="str">
            <v/>
          </cell>
        </row>
        <row r="31">
          <cell r="A31" t="str">
            <v/>
          </cell>
          <cell r="B31">
            <v>1027</v>
          </cell>
          <cell r="D31" t="str">
            <v/>
          </cell>
          <cell r="F31" t="str">
            <v/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/>
          </cell>
          <cell r="S31" t="str">
            <v/>
          </cell>
          <cell r="T31" t="str">
            <v/>
          </cell>
        </row>
        <row r="32">
          <cell r="A32" t="str">
            <v/>
          </cell>
          <cell r="B32">
            <v>1028</v>
          </cell>
          <cell r="D32" t="str">
            <v/>
          </cell>
          <cell r="F32" t="str">
            <v/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/>
          </cell>
          <cell r="S32" t="str">
            <v/>
          </cell>
          <cell r="T32" t="str">
            <v/>
          </cell>
        </row>
        <row r="33">
          <cell r="A33" t="str">
            <v/>
          </cell>
          <cell r="B33">
            <v>1029</v>
          </cell>
          <cell r="D33" t="str">
            <v/>
          </cell>
          <cell r="F33" t="str">
            <v/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/>
          </cell>
          <cell r="S33" t="str">
            <v/>
          </cell>
          <cell r="T33" t="str">
            <v/>
          </cell>
        </row>
        <row r="34">
          <cell r="A34" t="str">
            <v/>
          </cell>
          <cell r="B34">
            <v>1030</v>
          </cell>
          <cell r="D34" t="str">
            <v/>
          </cell>
          <cell r="F34" t="str">
            <v/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/>
          </cell>
          <cell r="S34" t="str">
            <v/>
          </cell>
          <cell r="T34" t="str">
            <v/>
          </cell>
        </row>
        <row r="35">
          <cell r="A35" t="str">
            <v/>
          </cell>
          <cell r="B35">
            <v>1031</v>
          </cell>
          <cell r="D35" t="str">
            <v/>
          </cell>
          <cell r="F35" t="str">
            <v/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/>
          </cell>
          <cell r="S35" t="str">
            <v/>
          </cell>
          <cell r="T35" t="str">
            <v/>
          </cell>
        </row>
        <row r="36">
          <cell r="A36" t="str">
            <v/>
          </cell>
          <cell r="B36">
            <v>1032</v>
          </cell>
          <cell r="D36" t="str">
            <v/>
          </cell>
          <cell r="F36" t="str">
            <v/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/>
          </cell>
          <cell r="S36" t="str">
            <v/>
          </cell>
          <cell r="T36" t="str">
            <v/>
          </cell>
        </row>
        <row r="37">
          <cell r="A37" t="str">
            <v/>
          </cell>
          <cell r="B37">
            <v>1033</v>
          </cell>
          <cell r="D37" t="str">
            <v/>
          </cell>
          <cell r="F37" t="str">
            <v/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/>
          </cell>
          <cell r="S37" t="str">
            <v/>
          </cell>
          <cell r="T37" t="str">
            <v/>
          </cell>
        </row>
        <row r="38">
          <cell r="A38" t="str">
            <v/>
          </cell>
          <cell r="B38">
            <v>1034</v>
          </cell>
          <cell r="D38" t="str">
            <v/>
          </cell>
          <cell r="F38" t="str">
            <v/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/>
          </cell>
          <cell r="S38" t="str">
            <v/>
          </cell>
          <cell r="T38" t="str">
            <v/>
          </cell>
        </row>
        <row r="39">
          <cell r="A39" t="str">
            <v/>
          </cell>
          <cell r="B39">
            <v>1035</v>
          </cell>
          <cell r="D39" t="str">
            <v/>
          </cell>
          <cell r="F39" t="str">
            <v/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/>
          </cell>
          <cell r="S39" t="str">
            <v/>
          </cell>
          <cell r="T39" t="str">
            <v/>
          </cell>
        </row>
        <row r="40">
          <cell r="A40" t="str">
            <v/>
          </cell>
          <cell r="B40">
            <v>1036</v>
          </cell>
          <cell r="D40" t="str">
            <v/>
          </cell>
          <cell r="F40" t="str">
            <v/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 t="str">
            <v/>
          </cell>
          <cell r="S40" t="str">
            <v/>
          </cell>
          <cell r="T40" t="str">
            <v/>
          </cell>
        </row>
        <row r="41">
          <cell r="A41" t="str">
            <v/>
          </cell>
          <cell r="B41">
            <v>1037</v>
          </cell>
          <cell r="D41" t="str">
            <v/>
          </cell>
          <cell r="F41" t="str">
            <v/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/>
          </cell>
          <cell r="S41" t="str">
            <v/>
          </cell>
          <cell r="T41" t="str">
            <v/>
          </cell>
        </row>
        <row r="42">
          <cell r="A42" t="str">
            <v/>
          </cell>
          <cell r="B42">
            <v>1038</v>
          </cell>
          <cell r="D42" t="str">
            <v/>
          </cell>
          <cell r="F42" t="str">
            <v/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/>
          </cell>
          <cell r="S42" t="str">
            <v/>
          </cell>
          <cell r="T42" t="str">
            <v/>
          </cell>
        </row>
        <row r="43">
          <cell r="A43" t="str">
            <v/>
          </cell>
          <cell r="B43">
            <v>1039</v>
          </cell>
          <cell r="D43" t="str">
            <v/>
          </cell>
          <cell r="F43" t="str">
            <v/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/>
          </cell>
          <cell r="S43" t="str">
            <v/>
          </cell>
          <cell r="T43" t="str">
            <v/>
          </cell>
        </row>
        <row r="44">
          <cell r="A44" t="str">
            <v/>
          </cell>
          <cell r="B44">
            <v>1040</v>
          </cell>
          <cell r="D44" t="str">
            <v/>
          </cell>
          <cell r="F44" t="str">
            <v/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/>
          </cell>
          <cell r="S44" t="str">
            <v/>
          </cell>
          <cell r="T44" t="str">
            <v/>
          </cell>
        </row>
        <row r="45">
          <cell r="A45" t="str">
            <v/>
          </cell>
          <cell r="B45">
            <v>1041</v>
          </cell>
          <cell r="D45" t="str">
            <v/>
          </cell>
          <cell r="F45" t="str">
            <v/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/>
          </cell>
          <cell r="S45" t="str">
            <v/>
          </cell>
          <cell r="T45" t="str">
            <v/>
          </cell>
        </row>
        <row r="46">
          <cell r="A46" t="str">
            <v/>
          </cell>
          <cell r="B46">
            <v>1042</v>
          </cell>
          <cell r="D46" t="str">
            <v/>
          </cell>
          <cell r="F46" t="str">
            <v/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/>
          </cell>
          <cell r="S46" t="str">
            <v/>
          </cell>
          <cell r="T46" t="str">
            <v/>
          </cell>
        </row>
        <row r="47">
          <cell r="A47" t="str">
            <v/>
          </cell>
          <cell r="B47">
            <v>1043</v>
          </cell>
          <cell r="D47" t="str">
            <v/>
          </cell>
          <cell r="F47" t="str">
            <v/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/>
          </cell>
          <cell r="S47" t="str">
            <v/>
          </cell>
          <cell r="T47" t="str">
            <v/>
          </cell>
        </row>
        <row r="48">
          <cell r="A48" t="str">
            <v/>
          </cell>
          <cell r="B48">
            <v>1044</v>
          </cell>
          <cell r="D48" t="str">
            <v/>
          </cell>
          <cell r="F48" t="str">
            <v/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/>
          </cell>
          <cell r="S48" t="str">
            <v/>
          </cell>
          <cell r="T48" t="str">
            <v/>
          </cell>
        </row>
        <row r="49">
          <cell r="A49" t="str">
            <v/>
          </cell>
          <cell r="B49">
            <v>1045</v>
          </cell>
          <cell r="D49" t="str">
            <v/>
          </cell>
          <cell r="F49" t="str">
            <v/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/>
          </cell>
          <cell r="S49" t="str">
            <v/>
          </cell>
          <cell r="T49" t="str">
            <v/>
          </cell>
        </row>
        <row r="50">
          <cell r="A50" t="str">
            <v/>
          </cell>
          <cell r="B50">
            <v>1046</v>
          </cell>
          <cell r="D50" t="str">
            <v/>
          </cell>
          <cell r="F50" t="str">
            <v/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/>
          </cell>
          <cell r="S50" t="str">
            <v/>
          </cell>
          <cell r="T50" t="str">
            <v/>
          </cell>
        </row>
        <row r="51">
          <cell r="A51" t="str">
            <v/>
          </cell>
          <cell r="B51">
            <v>1047</v>
          </cell>
          <cell r="D51" t="str">
            <v/>
          </cell>
          <cell r="F51" t="str">
            <v/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/>
          </cell>
          <cell r="S51" t="str">
            <v/>
          </cell>
          <cell r="T51" t="str">
            <v/>
          </cell>
        </row>
        <row r="52">
          <cell r="A52" t="str">
            <v/>
          </cell>
          <cell r="B52">
            <v>1048</v>
          </cell>
          <cell r="D52" t="str">
            <v/>
          </cell>
          <cell r="F52" t="str">
            <v/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 t="str">
            <v/>
          </cell>
          <cell r="S52" t="str">
            <v/>
          </cell>
          <cell r="T52" t="str">
            <v/>
          </cell>
        </row>
        <row r="53">
          <cell r="A53" t="str">
            <v/>
          </cell>
          <cell r="B53">
            <v>1049</v>
          </cell>
          <cell r="D53" t="str">
            <v/>
          </cell>
          <cell r="F53" t="str">
            <v/>
          </cell>
          <cell r="J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/>
          </cell>
          <cell r="S53" t="str">
            <v/>
          </cell>
          <cell r="T53" t="str">
            <v/>
          </cell>
        </row>
        <row r="54">
          <cell r="A54" t="str">
            <v/>
          </cell>
          <cell r="B54">
            <v>1050</v>
          </cell>
          <cell r="D54" t="str">
            <v/>
          </cell>
          <cell r="F54" t="str">
            <v/>
          </cell>
          <cell r="J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/>
          </cell>
          <cell r="S54" t="str">
            <v/>
          </cell>
          <cell r="T54" t="str">
            <v/>
          </cell>
        </row>
        <row r="55">
          <cell r="A55" t="str">
            <v/>
          </cell>
          <cell r="B55">
            <v>1051</v>
          </cell>
          <cell r="D55" t="str">
            <v/>
          </cell>
          <cell r="F55" t="str">
            <v/>
          </cell>
          <cell r="J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/>
          </cell>
          <cell r="S55" t="str">
            <v/>
          </cell>
          <cell r="T55" t="str">
            <v/>
          </cell>
        </row>
        <row r="56">
          <cell r="A56" t="str">
            <v/>
          </cell>
          <cell r="B56">
            <v>1052</v>
          </cell>
          <cell r="D56" t="str">
            <v/>
          </cell>
          <cell r="F56" t="str">
            <v/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/>
          </cell>
          <cell r="S56" t="str">
            <v/>
          </cell>
          <cell r="T56" t="str">
            <v/>
          </cell>
        </row>
        <row r="57">
          <cell r="A57" t="str">
            <v/>
          </cell>
          <cell r="B57">
            <v>1053</v>
          </cell>
          <cell r="D57" t="str">
            <v/>
          </cell>
          <cell r="F57" t="str">
            <v/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/>
          </cell>
          <cell r="S57" t="str">
            <v/>
          </cell>
          <cell r="T57" t="str">
            <v/>
          </cell>
        </row>
        <row r="58">
          <cell r="A58" t="str">
            <v/>
          </cell>
          <cell r="B58">
            <v>1054</v>
          </cell>
          <cell r="D58" t="str">
            <v/>
          </cell>
          <cell r="F58" t="str">
            <v/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/>
          </cell>
          <cell r="S58" t="str">
            <v/>
          </cell>
          <cell r="T58" t="str">
            <v/>
          </cell>
        </row>
        <row r="59">
          <cell r="A59" t="str">
            <v/>
          </cell>
          <cell r="B59">
            <v>1055</v>
          </cell>
          <cell r="D59" t="str">
            <v/>
          </cell>
          <cell r="F59" t="str">
            <v/>
          </cell>
          <cell r="J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/>
          </cell>
          <cell r="S59" t="str">
            <v/>
          </cell>
          <cell r="T59" t="str">
            <v/>
          </cell>
        </row>
        <row r="60">
          <cell r="A60" t="str">
            <v/>
          </cell>
          <cell r="B60">
            <v>1056</v>
          </cell>
          <cell r="D60" t="str">
            <v/>
          </cell>
          <cell r="F60" t="str">
            <v/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/>
          </cell>
          <cell r="S60" t="str">
            <v/>
          </cell>
          <cell r="T60" t="str">
            <v/>
          </cell>
        </row>
        <row r="61">
          <cell r="A61" t="str">
            <v/>
          </cell>
          <cell r="B61">
            <v>1057</v>
          </cell>
          <cell r="D61" t="str">
            <v/>
          </cell>
          <cell r="F61" t="str">
            <v/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/>
          </cell>
          <cell r="S61" t="str">
            <v/>
          </cell>
          <cell r="T61" t="str">
            <v/>
          </cell>
        </row>
        <row r="62">
          <cell r="A62" t="str">
            <v/>
          </cell>
          <cell r="B62">
            <v>1058</v>
          </cell>
          <cell r="D62" t="str">
            <v/>
          </cell>
          <cell r="F62" t="str">
            <v/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S62" t="str">
            <v/>
          </cell>
          <cell r="T62" t="str">
            <v/>
          </cell>
        </row>
        <row r="63">
          <cell r="A63" t="str">
            <v/>
          </cell>
          <cell r="B63">
            <v>1059</v>
          </cell>
          <cell r="D63" t="str">
            <v/>
          </cell>
          <cell r="F63" t="str">
            <v/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S63" t="str">
            <v/>
          </cell>
          <cell r="T63" t="str">
            <v/>
          </cell>
        </row>
        <row r="64">
          <cell r="A64" t="str">
            <v/>
          </cell>
          <cell r="B64">
            <v>1060</v>
          </cell>
          <cell r="D64" t="str">
            <v/>
          </cell>
          <cell r="F64" t="str">
            <v/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S64" t="str">
            <v/>
          </cell>
          <cell r="T64" t="str">
            <v/>
          </cell>
        </row>
        <row r="65">
          <cell r="A65" t="str">
            <v/>
          </cell>
          <cell r="B65">
            <v>1061</v>
          </cell>
          <cell r="D65" t="str">
            <v/>
          </cell>
          <cell r="F65" t="str">
            <v/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S65" t="str">
            <v/>
          </cell>
          <cell r="T65" t="str">
            <v/>
          </cell>
        </row>
        <row r="66">
          <cell r="A66" t="str">
            <v/>
          </cell>
          <cell r="B66">
            <v>1062</v>
          </cell>
          <cell r="D66" t="str">
            <v/>
          </cell>
          <cell r="F66" t="str">
            <v/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S66" t="str">
            <v/>
          </cell>
          <cell r="T66" t="str">
            <v/>
          </cell>
        </row>
        <row r="67">
          <cell r="A67" t="str">
            <v/>
          </cell>
          <cell r="B67">
            <v>1063</v>
          </cell>
          <cell r="D67" t="str">
            <v/>
          </cell>
          <cell r="F67" t="str">
            <v/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S67" t="str">
            <v/>
          </cell>
          <cell r="T67" t="str">
            <v/>
          </cell>
        </row>
        <row r="68">
          <cell r="A68" t="str">
            <v/>
          </cell>
          <cell r="B68">
            <v>1064</v>
          </cell>
          <cell r="D68" t="str">
            <v/>
          </cell>
          <cell r="F68" t="str">
            <v/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S68" t="str">
            <v/>
          </cell>
          <cell r="T68" t="str">
            <v/>
          </cell>
        </row>
        <row r="69">
          <cell r="A69" t="str">
            <v/>
          </cell>
          <cell r="B69">
            <v>1065</v>
          </cell>
          <cell r="D69" t="str">
            <v/>
          </cell>
          <cell r="F69" t="str">
            <v/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S69" t="str">
            <v/>
          </cell>
          <cell r="T69" t="str">
            <v/>
          </cell>
        </row>
        <row r="70">
          <cell r="A70" t="str">
            <v/>
          </cell>
          <cell r="B70">
            <v>1066</v>
          </cell>
          <cell r="D70" t="str">
            <v/>
          </cell>
          <cell r="F70" t="str">
            <v/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S70" t="str">
            <v/>
          </cell>
          <cell r="T70" t="str">
            <v/>
          </cell>
        </row>
        <row r="71">
          <cell r="A71" t="str">
            <v/>
          </cell>
          <cell r="B71">
            <v>1067</v>
          </cell>
          <cell r="D71" t="str">
            <v/>
          </cell>
          <cell r="F71" t="str">
            <v/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S71" t="str">
            <v/>
          </cell>
          <cell r="T71" t="str">
            <v/>
          </cell>
        </row>
        <row r="72">
          <cell r="A72" t="str">
            <v/>
          </cell>
          <cell r="B72">
            <v>1068</v>
          </cell>
          <cell r="D72" t="str">
            <v/>
          </cell>
          <cell r="F72" t="str">
            <v/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S72" t="str">
            <v/>
          </cell>
          <cell r="T72" t="str">
            <v/>
          </cell>
        </row>
        <row r="73">
          <cell r="A73" t="str">
            <v/>
          </cell>
          <cell r="B73">
            <v>1069</v>
          </cell>
          <cell r="D73" t="str">
            <v/>
          </cell>
          <cell r="F73" t="str">
            <v/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S73" t="str">
            <v/>
          </cell>
          <cell r="T73" t="str">
            <v/>
          </cell>
        </row>
        <row r="74">
          <cell r="A74" t="str">
            <v/>
          </cell>
          <cell r="B74">
            <v>1070</v>
          </cell>
          <cell r="D74" t="str">
            <v/>
          </cell>
          <cell r="F74" t="str">
            <v/>
          </cell>
          <cell r="J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S74" t="str">
            <v/>
          </cell>
          <cell r="T74" t="str">
            <v/>
          </cell>
        </row>
        <row r="75">
          <cell r="A75" t="str">
            <v/>
          </cell>
          <cell r="B75">
            <v>1071</v>
          </cell>
          <cell r="D75" t="str">
            <v/>
          </cell>
          <cell r="F75" t="str">
            <v/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S75" t="str">
            <v/>
          </cell>
          <cell r="T75" t="str">
            <v/>
          </cell>
        </row>
        <row r="76">
          <cell r="A76" t="str">
            <v/>
          </cell>
          <cell r="B76">
            <v>1072</v>
          </cell>
          <cell r="D76" t="str">
            <v/>
          </cell>
          <cell r="F76" t="str">
            <v/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S76" t="str">
            <v/>
          </cell>
          <cell r="T76" t="str">
            <v/>
          </cell>
        </row>
        <row r="77">
          <cell r="A77" t="str">
            <v/>
          </cell>
          <cell r="B77">
            <v>1073</v>
          </cell>
          <cell r="D77" t="str">
            <v/>
          </cell>
          <cell r="F77" t="str">
            <v/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S77" t="str">
            <v/>
          </cell>
          <cell r="T77" t="str">
            <v/>
          </cell>
        </row>
        <row r="78">
          <cell r="A78" t="str">
            <v/>
          </cell>
          <cell r="B78">
            <v>1074</v>
          </cell>
          <cell r="D78" t="str">
            <v/>
          </cell>
          <cell r="F78" t="str">
            <v/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S78" t="str">
            <v/>
          </cell>
          <cell r="T78" t="str">
            <v/>
          </cell>
        </row>
        <row r="79">
          <cell r="A79" t="str">
            <v/>
          </cell>
          <cell r="B79">
            <v>1075</v>
          </cell>
          <cell r="D79" t="str">
            <v/>
          </cell>
          <cell r="F79" t="str">
            <v/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S79" t="str">
            <v/>
          </cell>
          <cell r="T79" t="str">
            <v/>
          </cell>
        </row>
        <row r="80">
          <cell r="A80" t="str">
            <v/>
          </cell>
          <cell r="B80">
            <v>1076</v>
          </cell>
          <cell r="D80" t="str">
            <v/>
          </cell>
          <cell r="F80" t="str">
            <v/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S80" t="str">
            <v/>
          </cell>
          <cell r="T80" t="str">
            <v/>
          </cell>
        </row>
        <row r="81">
          <cell r="A81" t="str">
            <v/>
          </cell>
          <cell r="B81">
            <v>1077</v>
          </cell>
          <cell r="D81" t="str">
            <v/>
          </cell>
          <cell r="F81" t="str">
            <v/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S81" t="str">
            <v/>
          </cell>
          <cell r="T81" t="str">
            <v/>
          </cell>
        </row>
        <row r="82">
          <cell r="A82" t="str">
            <v/>
          </cell>
          <cell r="B82">
            <v>1078</v>
          </cell>
          <cell r="D82" t="str">
            <v/>
          </cell>
          <cell r="F82" t="str">
            <v/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S82" t="str">
            <v/>
          </cell>
          <cell r="T82" t="str">
            <v/>
          </cell>
        </row>
        <row r="83">
          <cell r="A83" t="str">
            <v/>
          </cell>
          <cell r="B83">
            <v>1079</v>
          </cell>
          <cell r="D83" t="str">
            <v/>
          </cell>
          <cell r="F83" t="str">
            <v/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S83" t="str">
            <v/>
          </cell>
          <cell r="T83" t="str">
            <v/>
          </cell>
        </row>
        <row r="84">
          <cell r="A84" t="str">
            <v/>
          </cell>
          <cell r="B84">
            <v>1080</v>
          </cell>
          <cell r="D84" t="str">
            <v/>
          </cell>
          <cell r="F84" t="str">
            <v/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S84" t="str">
            <v/>
          </cell>
          <cell r="T84" t="str">
            <v/>
          </cell>
        </row>
        <row r="85">
          <cell r="A85" t="str">
            <v/>
          </cell>
          <cell r="B85">
            <v>1081</v>
          </cell>
          <cell r="D85" t="str">
            <v/>
          </cell>
          <cell r="F85" t="str">
            <v/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S85" t="str">
            <v/>
          </cell>
          <cell r="T85" t="str">
            <v/>
          </cell>
        </row>
        <row r="86">
          <cell r="A86" t="str">
            <v/>
          </cell>
          <cell r="B86">
            <v>1082</v>
          </cell>
          <cell r="D86" t="str">
            <v/>
          </cell>
          <cell r="F86" t="str">
            <v/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S86" t="str">
            <v/>
          </cell>
          <cell r="T86" t="str">
            <v/>
          </cell>
        </row>
        <row r="87">
          <cell r="A87" t="str">
            <v/>
          </cell>
          <cell r="B87">
            <v>1083</v>
          </cell>
          <cell r="D87" t="str">
            <v/>
          </cell>
          <cell r="F87" t="str">
            <v/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S87" t="str">
            <v/>
          </cell>
          <cell r="T87" t="str">
            <v/>
          </cell>
        </row>
        <row r="88">
          <cell r="A88" t="str">
            <v/>
          </cell>
          <cell r="B88">
            <v>1084</v>
          </cell>
          <cell r="D88" t="str">
            <v/>
          </cell>
          <cell r="F88" t="str">
            <v/>
          </cell>
          <cell r="J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S88" t="str">
            <v/>
          </cell>
          <cell r="T88" t="str">
            <v/>
          </cell>
        </row>
        <row r="89">
          <cell r="A89" t="str">
            <v/>
          </cell>
          <cell r="B89">
            <v>1085</v>
          </cell>
          <cell r="D89" t="str">
            <v/>
          </cell>
          <cell r="F89" t="str">
            <v/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S89" t="str">
            <v/>
          </cell>
          <cell r="T89" t="str">
            <v/>
          </cell>
        </row>
        <row r="90">
          <cell r="A90" t="str">
            <v/>
          </cell>
          <cell r="B90">
            <v>1086</v>
          </cell>
          <cell r="D90" t="str">
            <v/>
          </cell>
          <cell r="F90" t="str">
            <v/>
          </cell>
          <cell r="J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S90" t="str">
            <v/>
          </cell>
          <cell r="T90" t="str">
            <v/>
          </cell>
        </row>
        <row r="91">
          <cell r="A91" t="str">
            <v/>
          </cell>
          <cell r="B91">
            <v>1087</v>
          </cell>
          <cell r="D91" t="str">
            <v/>
          </cell>
          <cell r="F91" t="str">
            <v/>
          </cell>
          <cell r="J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S91" t="str">
            <v/>
          </cell>
          <cell r="T91" t="str">
            <v/>
          </cell>
        </row>
        <row r="92">
          <cell r="A92" t="str">
            <v/>
          </cell>
          <cell r="B92">
            <v>1088</v>
          </cell>
          <cell r="D92" t="str">
            <v/>
          </cell>
          <cell r="F92" t="str">
            <v/>
          </cell>
          <cell r="J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S92" t="str">
            <v/>
          </cell>
          <cell r="T92" t="str">
            <v/>
          </cell>
        </row>
        <row r="93">
          <cell r="A93" t="str">
            <v/>
          </cell>
          <cell r="B93">
            <v>1089</v>
          </cell>
          <cell r="D93" t="str">
            <v/>
          </cell>
          <cell r="F93" t="str">
            <v/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S93" t="str">
            <v/>
          </cell>
          <cell r="T93" t="str">
            <v/>
          </cell>
        </row>
        <row r="94">
          <cell r="A94" t="str">
            <v/>
          </cell>
          <cell r="B94">
            <v>1090</v>
          </cell>
          <cell r="D94" t="str">
            <v/>
          </cell>
          <cell r="F94" t="str">
            <v/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S94" t="str">
            <v/>
          </cell>
          <cell r="T94" t="str">
            <v/>
          </cell>
        </row>
        <row r="95">
          <cell r="A95" t="str">
            <v/>
          </cell>
          <cell r="B95">
            <v>1091</v>
          </cell>
          <cell r="D95" t="str">
            <v/>
          </cell>
          <cell r="F95" t="str">
            <v/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S95" t="str">
            <v/>
          </cell>
          <cell r="T95" t="str">
            <v/>
          </cell>
        </row>
        <row r="96">
          <cell r="A96" t="str">
            <v/>
          </cell>
          <cell r="B96">
            <v>1092</v>
          </cell>
          <cell r="D96" t="str">
            <v/>
          </cell>
          <cell r="F96" t="str">
            <v/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S96" t="str">
            <v/>
          </cell>
          <cell r="T96" t="str">
            <v/>
          </cell>
        </row>
        <row r="97">
          <cell r="A97" t="str">
            <v/>
          </cell>
          <cell r="B97">
            <v>1093</v>
          </cell>
          <cell r="D97" t="str">
            <v/>
          </cell>
          <cell r="F97" t="str">
            <v/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S97" t="str">
            <v/>
          </cell>
          <cell r="T97" t="str">
            <v/>
          </cell>
        </row>
        <row r="98">
          <cell r="A98" t="str">
            <v/>
          </cell>
          <cell r="B98">
            <v>1094</v>
          </cell>
          <cell r="D98" t="str">
            <v/>
          </cell>
          <cell r="F98" t="str">
            <v/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S98" t="str">
            <v/>
          </cell>
          <cell r="T98" t="str">
            <v/>
          </cell>
        </row>
        <row r="99">
          <cell r="A99" t="str">
            <v/>
          </cell>
          <cell r="B99">
            <v>1095</v>
          </cell>
          <cell r="D99" t="str">
            <v/>
          </cell>
          <cell r="F99" t="str">
            <v/>
          </cell>
          <cell r="J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S99" t="str">
            <v/>
          </cell>
          <cell r="T99" t="str">
            <v/>
          </cell>
        </row>
        <row r="100">
          <cell r="A100" t="str">
            <v/>
          </cell>
          <cell r="B100">
            <v>1096</v>
          </cell>
          <cell r="D100" t="str">
            <v/>
          </cell>
          <cell r="F100" t="str">
            <v/>
          </cell>
          <cell r="J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S100" t="str">
            <v/>
          </cell>
          <cell r="T100" t="str">
            <v/>
          </cell>
        </row>
        <row r="101">
          <cell r="A101" t="str">
            <v/>
          </cell>
          <cell r="B101">
            <v>1097</v>
          </cell>
          <cell r="D101" t="str">
            <v/>
          </cell>
          <cell r="F101" t="str">
            <v/>
          </cell>
          <cell r="J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S101" t="str">
            <v/>
          </cell>
          <cell r="T101" t="str">
            <v/>
          </cell>
        </row>
        <row r="102">
          <cell r="A102" t="str">
            <v/>
          </cell>
          <cell r="B102">
            <v>1098</v>
          </cell>
          <cell r="D102" t="str">
            <v/>
          </cell>
          <cell r="F102" t="str">
            <v/>
          </cell>
          <cell r="J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S102" t="str">
            <v/>
          </cell>
          <cell r="T102" t="str">
            <v/>
          </cell>
        </row>
        <row r="103">
          <cell r="A103" t="str">
            <v/>
          </cell>
          <cell r="B103">
            <v>1099</v>
          </cell>
          <cell r="D103" t="str">
            <v/>
          </cell>
          <cell r="F103" t="str">
            <v/>
          </cell>
          <cell r="J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S103" t="str">
            <v/>
          </cell>
          <cell r="T103" t="str">
            <v/>
          </cell>
        </row>
        <row r="104">
          <cell r="A104" t="str">
            <v/>
          </cell>
          <cell r="B104">
            <v>1100</v>
          </cell>
          <cell r="D104" t="str">
            <v/>
          </cell>
          <cell r="F104" t="str">
            <v/>
          </cell>
          <cell r="J104">
            <v>0</v>
          </cell>
          <cell r="L104">
            <v>0</v>
          </cell>
          <cell r="M104">
            <v>0</v>
          </cell>
          <cell r="N104">
            <v>0</v>
          </cell>
          <cell r="O104" t="str">
            <v/>
          </cell>
          <cell r="S104" t="str">
            <v/>
          </cell>
          <cell r="T104" t="str">
            <v/>
          </cell>
        </row>
        <row r="105">
          <cell r="A105" t="str">
            <v/>
          </cell>
          <cell r="B105">
            <v>1101</v>
          </cell>
          <cell r="D105" t="str">
            <v/>
          </cell>
          <cell r="F105" t="str">
            <v/>
          </cell>
          <cell r="J105">
            <v>0</v>
          </cell>
          <cell r="L105">
            <v>0</v>
          </cell>
          <cell r="M105">
            <v>0</v>
          </cell>
          <cell r="N105">
            <v>0</v>
          </cell>
          <cell r="O105" t="str">
            <v/>
          </cell>
          <cell r="S105" t="str">
            <v/>
          </cell>
          <cell r="T105" t="str">
            <v/>
          </cell>
        </row>
        <row r="106">
          <cell r="A106" t="str">
            <v/>
          </cell>
          <cell r="B106">
            <v>1102</v>
          </cell>
          <cell r="D106" t="str">
            <v/>
          </cell>
          <cell r="F106" t="str">
            <v/>
          </cell>
          <cell r="J106">
            <v>0</v>
          </cell>
          <cell r="L106">
            <v>0</v>
          </cell>
          <cell r="M106">
            <v>0</v>
          </cell>
          <cell r="N106">
            <v>0</v>
          </cell>
          <cell r="O106" t="str">
            <v/>
          </cell>
          <cell r="S106" t="str">
            <v/>
          </cell>
          <cell r="T106" t="str">
            <v/>
          </cell>
        </row>
        <row r="107">
          <cell r="A107" t="str">
            <v/>
          </cell>
          <cell r="B107">
            <v>1103</v>
          </cell>
          <cell r="D107" t="str">
            <v/>
          </cell>
          <cell r="F107" t="str">
            <v/>
          </cell>
          <cell r="J107">
            <v>0</v>
          </cell>
          <cell r="L107">
            <v>0</v>
          </cell>
          <cell r="M107">
            <v>0</v>
          </cell>
          <cell r="N107">
            <v>0</v>
          </cell>
          <cell r="O107" t="str">
            <v/>
          </cell>
          <cell r="S107" t="str">
            <v/>
          </cell>
          <cell r="T107" t="str">
            <v/>
          </cell>
        </row>
        <row r="108">
          <cell r="A108" t="str">
            <v/>
          </cell>
          <cell r="B108">
            <v>1104</v>
          </cell>
          <cell r="D108" t="str">
            <v/>
          </cell>
          <cell r="F108" t="str">
            <v/>
          </cell>
          <cell r="J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/>
          </cell>
          <cell r="S108" t="str">
            <v/>
          </cell>
          <cell r="T108" t="str">
            <v/>
          </cell>
        </row>
        <row r="109">
          <cell r="A109" t="str">
            <v/>
          </cell>
          <cell r="B109">
            <v>1105</v>
          </cell>
          <cell r="D109" t="str">
            <v/>
          </cell>
          <cell r="F109" t="str">
            <v/>
          </cell>
          <cell r="J109">
            <v>0</v>
          </cell>
          <cell r="L109">
            <v>0</v>
          </cell>
          <cell r="M109">
            <v>0</v>
          </cell>
          <cell r="N109">
            <v>0</v>
          </cell>
          <cell r="O109" t="str">
            <v/>
          </cell>
          <cell r="S109" t="str">
            <v/>
          </cell>
          <cell r="T109" t="str">
            <v/>
          </cell>
        </row>
        <row r="110">
          <cell r="A110" t="str">
            <v/>
          </cell>
          <cell r="B110">
            <v>1106</v>
          </cell>
          <cell r="D110" t="str">
            <v/>
          </cell>
          <cell r="F110" t="str">
            <v/>
          </cell>
          <cell r="J110">
            <v>0</v>
          </cell>
          <cell r="L110">
            <v>0</v>
          </cell>
          <cell r="M110">
            <v>0</v>
          </cell>
          <cell r="N110">
            <v>0</v>
          </cell>
          <cell r="O110" t="str">
            <v/>
          </cell>
          <cell r="S110" t="str">
            <v/>
          </cell>
          <cell r="T110" t="str">
            <v/>
          </cell>
        </row>
        <row r="111">
          <cell r="A111" t="str">
            <v/>
          </cell>
          <cell r="B111">
            <v>1107</v>
          </cell>
          <cell r="D111" t="str">
            <v/>
          </cell>
          <cell r="F111" t="str">
            <v/>
          </cell>
          <cell r="J111">
            <v>0</v>
          </cell>
          <cell r="L111">
            <v>0</v>
          </cell>
          <cell r="M111">
            <v>0</v>
          </cell>
          <cell r="N111">
            <v>0</v>
          </cell>
          <cell r="O111" t="str">
            <v/>
          </cell>
          <cell r="S111" t="str">
            <v/>
          </cell>
          <cell r="T111" t="str">
            <v/>
          </cell>
        </row>
        <row r="112">
          <cell r="A112" t="str">
            <v/>
          </cell>
          <cell r="B112">
            <v>1108</v>
          </cell>
          <cell r="D112" t="str">
            <v/>
          </cell>
          <cell r="F112" t="str">
            <v/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/>
          </cell>
          <cell r="S112" t="str">
            <v/>
          </cell>
          <cell r="T112" t="str">
            <v/>
          </cell>
        </row>
        <row r="113">
          <cell r="A113" t="str">
            <v/>
          </cell>
          <cell r="B113">
            <v>1109</v>
          </cell>
          <cell r="D113" t="str">
            <v/>
          </cell>
          <cell r="F113" t="str">
            <v/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  <cell r="O113" t="str">
            <v/>
          </cell>
          <cell r="S113" t="str">
            <v/>
          </cell>
          <cell r="T113" t="str">
            <v/>
          </cell>
        </row>
        <row r="114">
          <cell r="A114" t="str">
            <v/>
          </cell>
          <cell r="B114">
            <v>1110</v>
          </cell>
          <cell r="D114" t="str">
            <v/>
          </cell>
          <cell r="F114" t="str">
            <v/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O114" t="str">
            <v/>
          </cell>
          <cell r="S114" t="str">
            <v/>
          </cell>
          <cell r="T114" t="str">
            <v/>
          </cell>
        </row>
        <row r="115">
          <cell r="A115" t="str">
            <v/>
          </cell>
          <cell r="B115">
            <v>1111</v>
          </cell>
          <cell r="D115" t="str">
            <v/>
          </cell>
          <cell r="F115" t="str">
            <v/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O115" t="str">
            <v/>
          </cell>
          <cell r="S115" t="str">
            <v/>
          </cell>
          <cell r="T115" t="str">
            <v/>
          </cell>
        </row>
        <row r="116">
          <cell r="A116" t="str">
            <v/>
          </cell>
          <cell r="B116">
            <v>1112</v>
          </cell>
          <cell r="D116" t="str">
            <v/>
          </cell>
          <cell r="F116" t="str">
            <v/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  <cell r="O116" t="str">
            <v/>
          </cell>
          <cell r="S116" t="str">
            <v/>
          </cell>
          <cell r="T116" t="str">
            <v/>
          </cell>
        </row>
        <row r="117">
          <cell r="A117" t="str">
            <v/>
          </cell>
          <cell r="B117">
            <v>1113</v>
          </cell>
          <cell r="D117" t="str">
            <v/>
          </cell>
          <cell r="F117" t="str">
            <v/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  <cell r="O117" t="str">
            <v/>
          </cell>
          <cell r="S117" t="str">
            <v/>
          </cell>
          <cell r="T117" t="str">
            <v/>
          </cell>
        </row>
        <row r="118">
          <cell r="A118" t="str">
            <v/>
          </cell>
          <cell r="B118">
            <v>1114</v>
          </cell>
          <cell r="D118" t="str">
            <v/>
          </cell>
          <cell r="F118" t="str">
            <v/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/>
          </cell>
          <cell r="S118" t="str">
            <v/>
          </cell>
          <cell r="T118" t="str">
            <v/>
          </cell>
        </row>
        <row r="119">
          <cell r="A119" t="str">
            <v/>
          </cell>
          <cell r="B119">
            <v>1115</v>
          </cell>
          <cell r="D119" t="str">
            <v/>
          </cell>
          <cell r="F119" t="str">
            <v/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  <cell r="O119" t="str">
            <v/>
          </cell>
          <cell r="S119" t="str">
            <v/>
          </cell>
          <cell r="T119" t="str">
            <v/>
          </cell>
        </row>
        <row r="120">
          <cell r="A120" t="str">
            <v/>
          </cell>
          <cell r="B120">
            <v>1116</v>
          </cell>
          <cell r="D120" t="str">
            <v/>
          </cell>
          <cell r="F120" t="str">
            <v/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O120" t="str">
            <v/>
          </cell>
          <cell r="S120" t="str">
            <v/>
          </cell>
          <cell r="T120" t="str">
            <v/>
          </cell>
        </row>
        <row r="121">
          <cell r="A121" t="str">
            <v/>
          </cell>
          <cell r="B121">
            <v>1117</v>
          </cell>
          <cell r="D121" t="str">
            <v/>
          </cell>
          <cell r="F121" t="str">
            <v/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  <cell r="O121" t="str">
            <v/>
          </cell>
          <cell r="S121" t="str">
            <v/>
          </cell>
          <cell r="T121" t="str">
            <v/>
          </cell>
        </row>
        <row r="122">
          <cell r="A122" t="str">
            <v/>
          </cell>
          <cell r="B122">
            <v>1118</v>
          </cell>
          <cell r="D122" t="str">
            <v/>
          </cell>
          <cell r="F122" t="str">
            <v/>
          </cell>
          <cell r="J122">
            <v>0</v>
          </cell>
          <cell r="L122">
            <v>0</v>
          </cell>
          <cell r="M122">
            <v>0</v>
          </cell>
          <cell r="N122">
            <v>0</v>
          </cell>
          <cell r="O122" t="str">
            <v/>
          </cell>
          <cell r="S122" t="str">
            <v/>
          </cell>
          <cell r="T122" t="str">
            <v/>
          </cell>
        </row>
        <row r="123">
          <cell r="A123" t="str">
            <v/>
          </cell>
          <cell r="B123">
            <v>1119</v>
          </cell>
          <cell r="D123" t="str">
            <v/>
          </cell>
          <cell r="F123" t="str">
            <v/>
          </cell>
          <cell r="J123">
            <v>0</v>
          </cell>
          <cell r="L123">
            <v>0</v>
          </cell>
          <cell r="M123">
            <v>0</v>
          </cell>
          <cell r="N123">
            <v>0</v>
          </cell>
          <cell r="O123" t="str">
            <v/>
          </cell>
          <cell r="S123" t="str">
            <v/>
          </cell>
          <cell r="T123" t="str">
            <v/>
          </cell>
        </row>
        <row r="124">
          <cell r="A124" t="str">
            <v/>
          </cell>
          <cell r="B124">
            <v>1120</v>
          </cell>
          <cell r="D124" t="str">
            <v/>
          </cell>
          <cell r="F124" t="str">
            <v/>
          </cell>
          <cell r="J124">
            <v>0</v>
          </cell>
          <cell r="L124">
            <v>0</v>
          </cell>
          <cell r="M124">
            <v>0</v>
          </cell>
          <cell r="N124">
            <v>0</v>
          </cell>
          <cell r="O124" t="str">
            <v/>
          </cell>
          <cell r="S124" t="str">
            <v/>
          </cell>
          <cell r="T124" t="str">
            <v/>
          </cell>
        </row>
        <row r="125">
          <cell r="A125" t="str">
            <v/>
          </cell>
          <cell r="B125">
            <v>1121</v>
          </cell>
          <cell r="D125" t="str">
            <v/>
          </cell>
          <cell r="F125" t="str">
            <v/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O125" t="str">
            <v/>
          </cell>
          <cell r="S125" t="str">
            <v/>
          </cell>
          <cell r="T125" t="str">
            <v/>
          </cell>
        </row>
        <row r="126">
          <cell r="A126" t="str">
            <v/>
          </cell>
          <cell r="B126">
            <v>1122</v>
          </cell>
          <cell r="D126" t="str">
            <v/>
          </cell>
          <cell r="F126" t="str">
            <v/>
          </cell>
          <cell r="J126">
            <v>0</v>
          </cell>
          <cell r="L126">
            <v>0</v>
          </cell>
          <cell r="M126">
            <v>0</v>
          </cell>
          <cell r="N126">
            <v>0</v>
          </cell>
          <cell r="O126" t="str">
            <v/>
          </cell>
          <cell r="S126" t="str">
            <v/>
          </cell>
          <cell r="T126" t="str">
            <v/>
          </cell>
        </row>
        <row r="127">
          <cell r="A127" t="str">
            <v/>
          </cell>
          <cell r="B127">
            <v>1123</v>
          </cell>
          <cell r="D127" t="str">
            <v/>
          </cell>
          <cell r="F127" t="str">
            <v/>
          </cell>
          <cell r="J127">
            <v>0</v>
          </cell>
          <cell r="L127">
            <v>0</v>
          </cell>
          <cell r="M127">
            <v>0</v>
          </cell>
          <cell r="N127">
            <v>0</v>
          </cell>
          <cell r="O127" t="str">
            <v/>
          </cell>
          <cell r="S127" t="str">
            <v/>
          </cell>
          <cell r="T127" t="str">
            <v/>
          </cell>
        </row>
        <row r="128">
          <cell r="A128" t="str">
            <v/>
          </cell>
          <cell r="B128">
            <v>1124</v>
          </cell>
          <cell r="D128" t="str">
            <v/>
          </cell>
          <cell r="F128" t="str">
            <v/>
          </cell>
          <cell r="J128">
            <v>0</v>
          </cell>
          <cell r="L128">
            <v>0</v>
          </cell>
          <cell r="M128">
            <v>0</v>
          </cell>
          <cell r="N128">
            <v>0</v>
          </cell>
          <cell r="O128" t="str">
            <v/>
          </cell>
          <cell r="S128" t="str">
            <v/>
          </cell>
          <cell r="T128" t="str">
            <v/>
          </cell>
        </row>
        <row r="129">
          <cell r="A129" t="str">
            <v/>
          </cell>
          <cell r="B129">
            <v>1125</v>
          </cell>
          <cell r="D129" t="str">
            <v/>
          </cell>
          <cell r="F129" t="str">
            <v/>
          </cell>
          <cell r="J129">
            <v>0</v>
          </cell>
          <cell r="L129">
            <v>0</v>
          </cell>
          <cell r="M129">
            <v>0</v>
          </cell>
          <cell r="N129">
            <v>0</v>
          </cell>
          <cell r="O129" t="str">
            <v/>
          </cell>
          <cell r="S129" t="str">
            <v/>
          </cell>
          <cell r="T129" t="str">
            <v/>
          </cell>
        </row>
        <row r="130">
          <cell r="A130" t="str">
            <v/>
          </cell>
          <cell r="B130">
            <v>1126</v>
          </cell>
          <cell r="D130" t="str">
            <v/>
          </cell>
          <cell r="F130" t="str">
            <v/>
          </cell>
          <cell r="J130">
            <v>0</v>
          </cell>
          <cell r="L130">
            <v>0</v>
          </cell>
          <cell r="M130">
            <v>0</v>
          </cell>
          <cell r="N130">
            <v>0</v>
          </cell>
          <cell r="O130" t="str">
            <v/>
          </cell>
          <cell r="S130" t="str">
            <v/>
          </cell>
          <cell r="T130" t="str">
            <v/>
          </cell>
        </row>
        <row r="131">
          <cell r="A131" t="str">
            <v/>
          </cell>
          <cell r="B131">
            <v>1127</v>
          </cell>
          <cell r="D131" t="str">
            <v/>
          </cell>
          <cell r="F131" t="str">
            <v/>
          </cell>
          <cell r="J131">
            <v>0</v>
          </cell>
          <cell r="L131">
            <v>0</v>
          </cell>
          <cell r="M131">
            <v>0</v>
          </cell>
          <cell r="N131">
            <v>0</v>
          </cell>
          <cell r="O131" t="str">
            <v/>
          </cell>
          <cell r="S131" t="str">
            <v/>
          </cell>
          <cell r="T131" t="str">
            <v/>
          </cell>
        </row>
        <row r="132">
          <cell r="A132" t="str">
            <v/>
          </cell>
          <cell r="B132">
            <v>1128</v>
          </cell>
          <cell r="D132" t="str">
            <v/>
          </cell>
          <cell r="F132" t="str">
            <v/>
          </cell>
          <cell r="J132">
            <v>0</v>
          </cell>
          <cell r="L132">
            <v>0</v>
          </cell>
          <cell r="M132">
            <v>0</v>
          </cell>
          <cell r="N132">
            <v>0</v>
          </cell>
          <cell r="O132" t="str">
            <v/>
          </cell>
          <cell r="S132" t="str">
            <v/>
          </cell>
          <cell r="T132" t="str">
            <v/>
          </cell>
        </row>
        <row r="133">
          <cell r="A133" t="str">
            <v/>
          </cell>
          <cell r="B133">
            <v>1129</v>
          </cell>
          <cell r="D133" t="str">
            <v/>
          </cell>
          <cell r="F133" t="str">
            <v/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 t="str">
            <v/>
          </cell>
          <cell r="S133" t="str">
            <v/>
          </cell>
          <cell r="T133" t="str">
            <v/>
          </cell>
        </row>
        <row r="134">
          <cell r="A134" t="str">
            <v/>
          </cell>
          <cell r="B134">
            <v>1130</v>
          </cell>
          <cell r="D134" t="str">
            <v/>
          </cell>
          <cell r="F134" t="str">
            <v/>
          </cell>
          <cell r="J134">
            <v>0</v>
          </cell>
          <cell r="L134">
            <v>0</v>
          </cell>
          <cell r="M134">
            <v>0</v>
          </cell>
          <cell r="N134">
            <v>0</v>
          </cell>
          <cell r="O134" t="str">
            <v/>
          </cell>
          <cell r="S134" t="str">
            <v/>
          </cell>
          <cell r="T134" t="str">
            <v/>
          </cell>
        </row>
        <row r="135">
          <cell r="A135" t="str">
            <v/>
          </cell>
          <cell r="B135">
            <v>1131</v>
          </cell>
          <cell r="D135" t="str">
            <v/>
          </cell>
          <cell r="F135" t="str">
            <v/>
          </cell>
          <cell r="J135">
            <v>0</v>
          </cell>
          <cell r="L135">
            <v>0</v>
          </cell>
          <cell r="M135">
            <v>0</v>
          </cell>
          <cell r="N135">
            <v>0</v>
          </cell>
          <cell r="O135" t="str">
            <v/>
          </cell>
          <cell r="S135" t="str">
            <v/>
          </cell>
          <cell r="T135" t="str">
            <v/>
          </cell>
        </row>
        <row r="136">
          <cell r="A136" t="str">
            <v/>
          </cell>
          <cell r="B136">
            <v>1132</v>
          </cell>
          <cell r="D136" t="str">
            <v/>
          </cell>
          <cell r="F136" t="str">
            <v/>
          </cell>
          <cell r="J136">
            <v>0</v>
          </cell>
          <cell r="L136">
            <v>0</v>
          </cell>
          <cell r="M136">
            <v>0</v>
          </cell>
          <cell r="N136">
            <v>0</v>
          </cell>
          <cell r="O136" t="str">
            <v/>
          </cell>
          <cell r="S136" t="str">
            <v/>
          </cell>
          <cell r="T136" t="str">
            <v/>
          </cell>
        </row>
        <row r="137">
          <cell r="A137" t="str">
            <v/>
          </cell>
          <cell r="B137">
            <v>1133</v>
          </cell>
          <cell r="D137" t="str">
            <v/>
          </cell>
          <cell r="F137" t="str">
            <v/>
          </cell>
          <cell r="J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/>
          </cell>
          <cell r="S137" t="str">
            <v/>
          </cell>
          <cell r="T137" t="str">
            <v/>
          </cell>
        </row>
        <row r="138">
          <cell r="A138" t="str">
            <v/>
          </cell>
          <cell r="B138">
            <v>1134</v>
          </cell>
          <cell r="D138" t="str">
            <v/>
          </cell>
          <cell r="F138" t="str">
            <v/>
          </cell>
          <cell r="J138">
            <v>0</v>
          </cell>
          <cell r="L138">
            <v>0</v>
          </cell>
          <cell r="M138">
            <v>0</v>
          </cell>
          <cell r="N138">
            <v>0</v>
          </cell>
          <cell r="O138" t="str">
            <v/>
          </cell>
          <cell r="S138" t="str">
            <v/>
          </cell>
          <cell r="T138" t="str">
            <v/>
          </cell>
        </row>
        <row r="139">
          <cell r="A139" t="str">
            <v/>
          </cell>
          <cell r="B139">
            <v>1135</v>
          </cell>
          <cell r="D139" t="str">
            <v/>
          </cell>
          <cell r="F139" t="str">
            <v/>
          </cell>
          <cell r="J139">
            <v>0</v>
          </cell>
          <cell r="L139">
            <v>0</v>
          </cell>
          <cell r="M139">
            <v>0</v>
          </cell>
          <cell r="N139">
            <v>0</v>
          </cell>
          <cell r="O139" t="str">
            <v/>
          </cell>
          <cell r="S139" t="str">
            <v/>
          </cell>
          <cell r="T139" t="str">
            <v/>
          </cell>
        </row>
        <row r="140">
          <cell r="A140" t="str">
            <v/>
          </cell>
          <cell r="B140">
            <v>1136</v>
          </cell>
          <cell r="D140" t="str">
            <v/>
          </cell>
          <cell r="F140" t="str">
            <v/>
          </cell>
          <cell r="J140">
            <v>0</v>
          </cell>
          <cell r="L140">
            <v>0</v>
          </cell>
          <cell r="M140">
            <v>0</v>
          </cell>
          <cell r="N140">
            <v>0</v>
          </cell>
          <cell r="O140" t="str">
            <v/>
          </cell>
          <cell r="S140" t="str">
            <v/>
          </cell>
          <cell r="T140" t="str">
            <v/>
          </cell>
        </row>
        <row r="141">
          <cell r="A141" t="str">
            <v/>
          </cell>
          <cell r="B141">
            <v>1137</v>
          </cell>
          <cell r="D141" t="str">
            <v/>
          </cell>
          <cell r="F141" t="str">
            <v/>
          </cell>
          <cell r="J141">
            <v>0</v>
          </cell>
          <cell r="L141">
            <v>0</v>
          </cell>
          <cell r="M141">
            <v>0</v>
          </cell>
          <cell r="N141">
            <v>0</v>
          </cell>
          <cell r="O141" t="str">
            <v/>
          </cell>
          <cell r="S141" t="str">
            <v/>
          </cell>
          <cell r="T141" t="str">
            <v/>
          </cell>
        </row>
        <row r="142">
          <cell r="A142" t="str">
            <v/>
          </cell>
          <cell r="B142">
            <v>1138</v>
          </cell>
          <cell r="D142" t="str">
            <v/>
          </cell>
          <cell r="F142" t="str">
            <v/>
          </cell>
          <cell r="J142">
            <v>0</v>
          </cell>
          <cell r="L142">
            <v>0</v>
          </cell>
          <cell r="M142">
            <v>0</v>
          </cell>
          <cell r="N142">
            <v>0</v>
          </cell>
          <cell r="O142" t="str">
            <v/>
          </cell>
          <cell r="S142" t="str">
            <v/>
          </cell>
          <cell r="T142" t="str">
            <v/>
          </cell>
        </row>
        <row r="143">
          <cell r="A143" t="str">
            <v/>
          </cell>
          <cell r="B143">
            <v>1139</v>
          </cell>
          <cell r="D143" t="str">
            <v/>
          </cell>
          <cell r="F143" t="str">
            <v/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 t="str">
            <v/>
          </cell>
          <cell r="S143" t="str">
            <v/>
          </cell>
          <cell r="T143" t="str">
            <v/>
          </cell>
        </row>
        <row r="144">
          <cell r="A144" t="str">
            <v/>
          </cell>
          <cell r="B144">
            <v>1140</v>
          </cell>
          <cell r="D144" t="str">
            <v/>
          </cell>
          <cell r="F144" t="str">
            <v/>
          </cell>
          <cell r="J144">
            <v>0</v>
          </cell>
          <cell r="L144">
            <v>0</v>
          </cell>
          <cell r="M144">
            <v>0</v>
          </cell>
          <cell r="N144">
            <v>0</v>
          </cell>
          <cell r="O144" t="str">
            <v/>
          </cell>
          <cell r="S144" t="str">
            <v/>
          </cell>
          <cell r="T144" t="str">
            <v/>
          </cell>
        </row>
        <row r="145">
          <cell r="A145" t="str">
            <v/>
          </cell>
          <cell r="B145">
            <v>1141</v>
          </cell>
          <cell r="D145" t="str">
            <v/>
          </cell>
          <cell r="F145" t="str">
            <v/>
          </cell>
          <cell r="J145">
            <v>0</v>
          </cell>
          <cell r="L145">
            <v>0</v>
          </cell>
          <cell r="M145">
            <v>0</v>
          </cell>
          <cell r="N145">
            <v>0</v>
          </cell>
          <cell r="O145" t="str">
            <v/>
          </cell>
          <cell r="S145" t="str">
            <v/>
          </cell>
          <cell r="T145" t="str">
            <v/>
          </cell>
        </row>
        <row r="146">
          <cell r="A146" t="str">
            <v/>
          </cell>
          <cell r="B146">
            <v>1142</v>
          </cell>
          <cell r="D146" t="str">
            <v/>
          </cell>
          <cell r="F146" t="str">
            <v/>
          </cell>
          <cell r="J146">
            <v>0</v>
          </cell>
          <cell r="L146">
            <v>0</v>
          </cell>
          <cell r="M146">
            <v>0</v>
          </cell>
          <cell r="N146">
            <v>0</v>
          </cell>
          <cell r="O146" t="str">
            <v/>
          </cell>
          <cell r="S146" t="str">
            <v/>
          </cell>
          <cell r="T146" t="str">
            <v/>
          </cell>
        </row>
        <row r="147">
          <cell r="A147" t="str">
            <v/>
          </cell>
          <cell r="B147">
            <v>1143</v>
          </cell>
          <cell r="D147" t="str">
            <v/>
          </cell>
          <cell r="F147" t="str">
            <v/>
          </cell>
          <cell r="J147">
            <v>0</v>
          </cell>
          <cell r="L147">
            <v>0</v>
          </cell>
          <cell r="M147">
            <v>0</v>
          </cell>
          <cell r="N147">
            <v>0</v>
          </cell>
          <cell r="O147" t="str">
            <v/>
          </cell>
          <cell r="S147" t="str">
            <v/>
          </cell>
          <cell r="T147" t="str">
            <v/>
          </cell>
        </row>
        <row r="148">
          <cell r="A148" t="str">
            <v/>
          </cell>
          <cell r="B148">
            <v>1144</v>
          </cell>
          <cell r="D148" t="str">
            <v/>
          </cell>
          <cell r="F148" t="str">
            <v/>
          </cell>
          <cell r="J148">
            <v>0</v>
          </cell>
          <cell r="L148">
            <v>0</v>
          </cell>
          <cell r="M148">
            <v>0</v>
          </cell>
          <cell r="N148">
            <v>0</v>
          </cell>
          <cell r="O148" t="str">
            <v/>
          </cell>
          <cell r="S148" t="str">
            <v/>
          </cell>
          <cell r="T148" t="str">
            <v/>
          </cell>
        </row>
        <row r="149">
          <cell r="A149" t="str">
            <v/>
          </cell>
          <cell r="B149">
            <v>1145</v>
          </cell>
          <cell r="D149" t="str">
            <v/>
          </cell>
          <cell r="F149" t="str">
            <v/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O149" t="str">
            <v/>
          </cell>
          <cell r="S149" t="str">
            <v/>
          </cell>
          <cell r="T149" t="str">
            <v/>
          </cell>
        </row>
        <row r="150">
          <cell r="A150" t="str">
            <v/>
          </cell>
          <cell r="B150">
            <v>1146</v>
          </cell>
          <cell r="D150" t="str">
            <v/>
          </cell>
          <cell r="F150" t="str">
            <v/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O150" t="str">
            <v/>
          </cell>
          <cell r="S150" t="str">
            <v/>
          </cell>
          <cell r="T150" t="str">
            <v/>
          </cell>
        </row>
        <row r="151">
          <cell r="A151" t="str">
            <v/>
          </cell>
          <cell r="B151">
            <v>1147</v>
          </cell>
          <cell r="D151" t="str">
            <v/>
          </cell>
          <cell r="F151" t="str">
            <v/>
          </cell>
          <cell r="J151">
            <v>0</v>
          </cell>
          <cell r="L151">
            <v>0</v>
          </cell>
          <cell r="M151">
            <v>0</v>
          </cell>
          <cell r="N151">
            <v>0</v>
          </cell>
          <cell r="O151" t="str">
            <v/>
          </cell>
          <cell r="S151" t="str">
            <v/>
          </cell>
          <cell r="T151" t="str">
            <v/>
          </cell>
        </row>
        <row r="152">
          <cell r="A152" t="str">
            <v/>
          </cell>
          <cell r="B152">
            <v>1148</v>
          </cell>
          <cell r="D152" t="str">
            <v/>
          </cell>
          <cell r="F152" t="str">
            <v/>
          </cell>
          <cell r="J152">
            <v>0</v>
          </cell>
          <cell r="L152">
            <v>0</v>
          </cell>
          <cell r="M152">
            <v>0</v>
          </cell>
          <cell r="N152">
            <v>0</v>
          </cell>
          <cell r="O152" t="str">
            <v/>
          </cell>
          <cell r="S152" t="str">
            <v/>
          </cell>
          <cell r="T152" t="str">
            <v/>
          </cell>
        </row>
        <row r="153">
          <cell r="A153" t="str">
            <v/>
          </cell>
          <cell r="B153">
            <v>1149</v>
          </cell>
          <cell r="D153" t="str">
            <v/>
          </cell>
          <cell r="F153" t="str">
            <v/>
          </cell>
          <cell r="J153">
            <v>0</v>
          </cell>
          <cell r="L153">
            <v>0</v>
          </cell>
          <cell r="M153">
            <v>0</v>
          </cell>
          <cell r="N153">
            <v>0</v>
          </cell>
          <cell r="O153" t="str">
            <v/>
          </cell>
          <cell r="S153" t="str">
            <v/>
          </cell>
          <cell r="T153" t="str">
            <v/>
          </cell>
        </row>
        <row r="154">
          <cell r="A154" t="str">
            <v/>
          </cell>
          <cell r="B154">
            <v>1150</v>
          </cell>
          <cell r="D154" t="str">
            <v/>
          </cell>
          <cell r="F154" t="str">
            <v/>
          </cell>
          <cell r="J154">
            <v>0</v>
          </cell>
          <cell r="L154">
            <v>0</v>
          </cell>
          <cell r="M154">
            <v>0</v>
          </cell>
          <cell r="N154">
            <v>0</v>
          </cell>
          <cell r="O154" t="str">
            <v/>
          </cell>
          <cell r="S154" t="str">
            <v/>
          </cell>
          <cell r="T154" t="str">
            <v/>
          </cell>
        </row>
        <row r="155">
          <cell r="A155" t="str">
            <v/>
          </cell>
          <cell r="B155">
            <v>1151</v>
          </cell>
          <cell r="D155" t="str">
            <v/>
          </cell>
          <cell r="F155" t="str">
            <v/>
          </cell>
          <cell r="J155">
            <v>0</v>
          </cell>
          <cell r="L155">
            <v>0</v>
          </cell>
          <cell r="M155">
            <v>0</v>
          </cell>
          <cell r="N155">
            <v>0</v>
          </cell>
          <cell r="O155" t="str">
            <v/>
          </cell>
          <cell r="S155" t="str">
            <v/>
          </cell>
          <cell r="T155" t="str">
            <v/>
          </cell>
        </row>
        <row r="156">
          <cell r="A156" t="str">
            <v/>
          </cell>
          <cell r="B156">
            <v>1152</v>
          </cell>
          <cell r="D156" t="str">
            <v/>
          </cell>
          <cell r="F156" t="str">
            <v/>
          </cell>
          <cell r="J156">
            <v>0</v>
          </cell>
          <cell r="L156">
            <v>0</v>
          </cell>
          <cell r="M156">
            <v>0</v>
          </cell>
          <cell r="N156">
            <v>0</v>
          </cell>
          <cell r="O156" t="str">
            <v/>
          </cell>
          <cell r="S156" t="str">
            <v/>
          </cell>
          <cell r="T156" t="str">
            <v/>
          </cell>
        </row>
        <row r="157">
          <cell r="A157" t="str">
            <v/>
          </cell>
          <cell r="B157">
            <v>1153</v>
          </cell>
          <cell r="D157" t="str">
            <v/>
          </cell>
          <cell r="F157" t="str">
            <v/>
          </cell>
          <cell r="J157">
            <v>0</v>
          </cell>
          <cell r="L157">
            <v>0</v>
          </cell>
          <cell r="M157">
            <v>0</v>
          </cell>
          <cell r="N157">
            <v>0</v>
          </cell>
          <cell r="O157" t="str">
            <v/>
          </cell>
          <cell r="S157" t="str">
            <v/>
          </cell>
          <cell r="T157" t="str">
            <v/>
          </cell>
        </row>
        <row r="158">
          <cell r="A158" t="str">
            <v/>
          </cell>
          <cell r="B158">
            <v>1154</v>
          </cell>
          <cell r="D158" t="str">
            <v/>
          </cell>
          <cell r="F158" t="str">
            <v/>
          </cell>
          <cell r="J158">
            <v>0</v>
          </cell>
          <cell r="L158">
            <v>0</v>
          </cell>
          <cell r="M158">
            <v>0</v>
          </cell>
          <cell r="N158">
            <v>0</v>
          </cell>
          <cell r="O158" t="str">
            <v/>
          </cell>
          <cell r="S158" t="str">
            <v/>
          </cell>
          <cell r="T158" t="str">
            <v/>
          </cell>
        </row>
        <row r="159">
          <cell r="A159" t="str">
            <v/>
          </cell>
          <cell r="B159">
            <v>1155</v>
          </cell>
          <cell r="D159" t="str">
            <v/>
          </cell>
          <cell r="F159" t="str">
            <v/>
          </cell>
          <cell r="J159">
            <v>0</v>
          </cell>
          <cell r="L159">
            <v>0</v>
          </cell>
          <cell r="M159">
            <v>0</v>
          </cell>
          <cell r="N159">
            <v>0</v>
          </cell>
          <cell r="O159" t="str">
            <v/>
          </cell>
          <cell r="S159" t="str">
            <v/>
          </cell>
          <cell r="T159" t="str">
            <v/>
          </cell>
        </row>
        <row r="160">
          <cell r="A160" t="str">
            <v/>
          </cell>
          <cell r="B160">
            <v>1156</v>
          </cell>
          <cell r="D160" t="str">
            <v/>
          </cell>
          <cell r="F160" t="str">
            <v/>
          </cell>
          <cell r="J160">
            <v>0</v>
          </cell>
          <cell r="L160">
            <v>0</v>
          </cell>
          <cell r="M160">
            <v>0</v>
          </cell>
          <cell r="N160">
            <v>0</v>
          </cell>
          <cell r="O160" t="str">
            <v/>
          </cell>
          <cell r="S160" t="str">
            <v/>
          </cell>
          <cell r="T160" t="str">
            <v/>
          </cell>
        </row>
        <row r="161">
          <cell r="A161" t="str">
            <v/>
          </cell>
          <cell r="B161">
            <v>1157</v>
          </cell>
          <cell r="D161" t="str">
            <v/>
          </cell>
          <cell r="F161" t="str">
            <v/>
          </cell>
          <cell r="J161">
            <v>0</v>
          </cell>
          <cell r="L161">
            <v>0</v>
          </cell>
          <cell r="M161">
            <v>0</v>
          </cell>
          <cell r="N161">
            <v>0</v>
          </cell>
          <cell r="O161" t="str">
            <v/>
          </cell>
          <cell r="S161" t="str">
            <v/>
          </cell>
          <cell r="T161" t="str">
            <v/>
          </cell>
        </row>
        <row r="162">
          <cell r="A162" t="str">
            <v/>
          </cell>
          <cell r="B162">
            <v>1158</v>
          </cell>
          <cell r="D162" t="str">
            <v/>
          </cell>
          <cell r="F162" t="str">
            <v/>
          </cell>
          <cell r="J162">
            <v>0</v>
          </cell>
          <cell r="L162">
            <v>0</v>
          </cell>
          <cell r="M162">
            <v>0</v>
          </cell>
          <cell r="N162">
            <v>0</v>
          </cell>
          <cell r="O162" t="str">
            <v/>
          </cell>
          <cell r="S162" t="str">
            <v/>
          </cell>
          <cell r="T162" t="str">
            <v/>
          </cell>
        </row>
        <row r="163">
          <cell r="A163" t="str">
            <v/>
          </cell>
          <cell r="B163">
            <v>1159</v>
          </cell>
          <cell r="D163" t="str">
            <v/>
          </cell>
          <cell r="F163" t="str">
            <v/>
          </cell>
          <cell r="J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/>
          </cell>
          <cell r="S163" t="str">
            <v/>
          </cell>
          <cell r="T163" t="str">
            <v/>
          </cell>
        </row>
        <row r="164">
          <cell r="A164" t="str">
            <v/>
          </cell>
          <cell r="B164">
            <v>1160</v>
          </cell>
          <cell r="D164" t="str">
            <v/>
          </cell>
          <cell r="F164" t="str">
            <v/>
          </cell>
          <cell r="J164">
            <v>0</v>
          </cell>
          <cell r="L164">
            <v>0</v>
          </cell>
          <cell r="M164">
            <v>0</v>
          </cell>
          <cell r="N164">
            <v>0</v>
          </cell>
          <cell r="O164" t="str">
            <v/>
          </cell>
          <cell r="S164" t="str">
            <v/>
          </cell>
          <cell r="T164" t="str">
            <v/>
          </cell>
        </row>
        <row r="165">
          <cell r="A165" t="str">
            <v/>
          </cell>
          <cell r="B165">
            <v>1161</v>
          </cell>
          <cell r="D165" t="str">
            <v/>
          </cell>
          <cell r="F165" t="str">
            <v/>
          </cell>
          <cell r="J165">
            <v>0</v>
          </cell>
          <cell r="L165">
            <v>0</v>
          </cell>
          <cell r="M165">
            <v>0</v>
          </cell>
          <cell r="N165">
            <v>0</v>
          </cell>
          <cell r="O165" t="str">
            <v/>
          </cell>
          <cell r="S165" t="str">
            <v/>
          </cell>
          <cell r="T165" t="str">
            <v/>
          </cell>
        </row>
        <row r="166">
          <cell r="A166" t="str">
            <v/>
          </cell>
          <cell r="B166">
            <v>1162</v>
          </cell>
          <cell r="D166" t="str">
            <v/>
          </cell>
          <cell r="F166" t="str">
            <v/>
          </cell>
          <cell r="J166">
            <v>0</v>
          </cell>
          <cell r="L166">
            <v>0</v>
          </cell>
          <cell r="M166">
            <v>0</v>
          </cell>
          <cell r="N166">
            <v>0</v>
          </cell>
          <cell r="O166" t="str">
            <v/>
          </cell>
          <cell r="S166" t="str">
            <v/>
          </cell>
          <cell r="T166" t="str">
            <v/>
          </cell>
        </row>
        <row r="167">
          <cell r="A167" t="str">
            <v/>
          </cell>
          <cell r="B167">
            <v>1163</v>
          </cell>
          <cell r="D167" t="str">
            <v/>
          </cell>
          <cell r="F167" t="str">
            <v/>
          </cell>
          <cell r="J167">
            <v>0</v>
          </cell>
          <cell r="L167">
            <v>0</v>
          </cell>
          <cell r="M167">
            <v>0</v>
          </cell>
          <cell r="N167">
            <v>0</v>
          </cell>
          <cell r="O167" t="str">
            <v/>
          </cell>
          <cell r="S167" t="str">
            <v/>
          </cell>
          <cell r="T167" t="str">
            <v/>
          </cell>
        </row>
        <row r="168">
          <cell r="A168" t="str">
            <v/>
          </cell>
          <cell r="B168">
            <v>1164</v>
          </cell>
          <cell r="D168" t="str">
            <v/>
          </cell>
          <cell r="F168" t="str">
            <v/>
          </cell>
          <cell r="J168">
            <v>0</v>
          </cell>
          <cell r="L168">
            <v>0</v>
          </cell>
          <cell r="M168">
            <v>0</v>
          </cell>
          <cell r="N168">
            <v>0</v>
          </cell>
          <cell r="O168" t="str">
            <v/>
          </cell>
          <cell r="S168" t="str">
            <v/>
          </cell>
          <cell r="T168" t="str">
            <v/>
          </cell>
        </row>
        <row r="169">
          <cell r="A169" t="str">
            <v/>
          </cell>
          <cell r="B169">
            <v>1165</v>
          </cell>
          <cell r="D169" t="str">
            <v/>
          </cell>
          <cell r="F169" t="str">
            <v/>
          </cell>
          <cell r="J169">
            <v>0</v>
          </cell>
          <cell r="L169">
            <v>0</v>
          </cell>
          <cell r="M169">
            <v>0</v>
          </cell>
          <cell r="N169">
            <v>0</v>
          </cell>
          <cell r="O169" t="str">
            <v/>
          </cell>
          <cell r="S169" t="str">
            <v/>
          </cell>
          <cell r="T169" t="str">
            <v/>
          </cell>
        </row>
        <row r="170">
          <cell r="A170" t="str">
            <v/>
          </cell>
          <cell r="B170">
            <v>1166</v>
          </cell>
          <cell r="D170" t="str">
            <v/>
          </cell>
          <cell r="F170" t="str">
            <v/>
          </cell>
          <cell r="J170">
            <v>0</v>
          </cell>
          <cell r="L170">
            <v>0</v>
          </cell>
          <cell r="M170">
            <v>0</v>
          </cell>
          <cell r="N170">
            <v>0</v>
          </cell>
          <cell r="O170" t="str">
            <v/>
          </cell>
          <cell r="S170" t="str">
            <v/>
          </cell>
          <cell r="T170" t="str">
            <v/>
          </cell>
        </row>
        <row r="171">
          <cell r="A171" t="str">
            <v/>
          </cell>
          <cell r="B171">
            <v>1167</v>
          </cell>
          <cell r="D171" t="str">
            <v/>
          </cell>
          <cell r="F171" t="str">
            <v/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O171" t="str">
            <v/>
          </cell>
          <cell r="S171" t="str">
            <v/>
          </cell>
          <cell r="T171" t="str">
            <v/>
          </cell>
        </row>
        <row r="172">
          <cell r="A172" t="str">
            <v/>
          </cell>
          <cell r="B172">
            <v>1168</v>
          </cell>
          <cell r="D172" t="str">
            <v/>
          </cell>
          <cell r="F172" t="str">
            <v/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O172" t="str">
            <v/>
          </cell>
          <cell r="S172" t="str">
            <v/>
          </cell>
          <cell r="T172" t="str">
            <v/>
          </cell>
        </row>
        <row r="173">
          <cell r="A173" t="str">
            <v/>
          </cell>
          <cell r="B173">
            <v>1169</v>
          </cell>
          <cell r="D173" t="str">
            <v/>
          </cell>
          <cell r="F173" t="str">
            <v/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O173" t="str">
            <v/>
          </cell>
          <cell r="S173" t="str">
            <v/>
          </cell>
          <cell r="T173" t="str">
            <v/>
          </cell>
        </row>
        <row r="174">
          <cell r="A174" t="str">
            <v/>
          </cell>
          <cell r="B174">
            <v>1170</v>
          </cell>
          <cell r="D174" t="str">
            <v/>
          </cell>
          <cell r="F174" t="str">
            <v/>
          </cell>
          <cell r="J174">
            <v>0</v>
          </cell>
          <cell r="L174">
            <v>0</v>
          </cell>
          <cell r="M174">
            <v>0</v>
          </cell>
          <cell r="N174">
            <v>0</v>
          </cell>
          <cell r="O174" t="str">
            <v/>
          </cell>
          <cell r="S174" t="str">
            <v/>
          </cell>
          <cell r="T174" t="str">
            <v/>
          </cell>
        </row>
        <row r="175">
          <cell r="A175" t="str">
            <v/>
          </cell>
          <cell r="B175">
            <v>1171</v>
          </cell>
          <cell r="D175" t="str">
            <v/>
          </cell>
          <cell r="F175" t="str">
            <v/>
          </cell>
          <cell r="J175">
            <v>0</v>
          </cell>
          <cell r="L175">
            <v>0</v>
          </cell>
          <cell r="M175">
            <v>0</v>
          </cell>
          <cell r="N175">
            <v>0</v>
          </cell>
          <cell r="O175" t="str">
            <v/>
          </cell>
          <cell r="S175" t="str">
            <v/>
          </cell>
          <cell r="T175" t="str">
            <v/>
          </cell>
        </row>
        <row r="176">
          <cell r="A176" t="str">
            <v/>
          </cell>
          <cell r="B176">
            <v>1172</v>
          </cell>
          <cell r="D176" t="str">
            <v/>
          </cell>
          <cell r="F176" t="str">
            <v/>
          </cell>
          <cell r="J176">
            <v>0</v>
          </cell>
          <cell r="L176">
            <v>0</v>
          </cell>
          <cell r="M176">
            <v>0</v>
          </cell>
          <cell r="N176">
            <v>0</v>
          </cell>
          <cell r="O176" t="str">
            <v/>
          </cell>
          <cell r="S176" t="str">
            <v/>
          </cell>
          <cell r="T176" t="str">
            <v/>
          </cell>
        </row>
        <row r="177">
          <cell r="A177" t="str">
            <v/>
          </cell>
          <cell r="B177">
            <v>1173</v>
          </cell>
          <cell r="D177" t="str">
            <v/>
          </cell>
          <cell r="F177" t="str">
            <v/>
          </cell>
          <cell r="J177">
            <v>0</v>
          </cell>
          <cell r="L177">
            <v>0</v>
          </cell>
          <cell r="M177">
            <v>0</v>
          </cell>
          <cell r="N177">
            <v>0</v>
          </cell>
          <cell r="O177" t="str">
            <v/>
          </cell>
          <cell r="S177" t="str">
            <v/>
          </cell>
          <cell r="T177" t="str">
            <v/>
          </cell>
        </row>
        <row r="178">
          <cell r="A178" t="str">
            <v/>
          </cell>
          <cell r="B178">
            <v>1174</v>
          </cell>
          <cell r="D178" t="str">
            <v/>
          </cell>
          <cell r="F178" t="str">
            <v/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O178" t="str">
            <v/>
          </cell>
          <cell r="S178" t="str">
            <v/>
          </cell>
          <cell r="T178" t="str">
            <v/>
          </cell>
        </row>
        <row r="179">
          <cell r="A179" t="str">
            <v/>
          </cell>
          <cell r="B179">
            <v>1175</v>
          </cell>
          <cell r="D179" t="str">
            <v/>
          </cell>
          <cell r="F179" t="str">
            <v/>
          </cell>
          <cell r="J179">
            <v>0</v>
          </cell>
          <cell r="L179">
            <v>0</v>
          </cell>
          <cell r="M179">
            <v>0</v>
          </cell>
          <cell r="N179">
            <v>0</v>
          </cell>
          <cell r="O179" t="str">
            <v/>
          </cell>
          <cell r="S179" t="str">
            <v/>
          </cell>
          <cell r="T179" t="str">
            <v/>
          </cell>
        </row>
        <row r="180">
          <cell r="A180" t="str">
            <v/>
          </cell>
          <cell r="B180">
            <v>1176</v>
          </cell>
          <cell r="D180" t="str">
            <v/>
          </cell>
          <cell r="F180" t="str">
            <v/>
          </cell>
          <cell r="J180">
            <v>0</v>
          </cell>
          <cell r="L180">
            <v>0</v>
          </cell>
          <cell r="M180">
            <v>0</v>
          </cell>
          <cell r="N180">
            <v>0</v>
          </cell>
          <cell r="O180" t="str">
            <v/>
          </cell>
          <cell r="S180" t="str">
            <v/>
          </cell>
          <cell r="T180" t="str">
            <v/>
          </cell>
        </row>
        <row r="181">
          <cell r="A181" t="str">
            <v/>
          </cell>
          <cell r="B181">
            <v>1177</v>
          </cell>
          <cell r="D181" t="str">
            <v/>
          </cell>
          <cell r="F181" t="str">
            <v/>
          </cell>
          <cell r="J181">
            <v>0</v>
          </cell>
          <cell r="L181">
            <v>0</v>
          </cell>
          <cell r="M181">
            <v>0</v>
          </cell>
          <cell r="N181">
            <v>0</v>
          </cell>
          <cell r="O181" t="str">
            <v/>
          </cell>
          <cell r="S181" t="str">
            <v/>
          </cell>
          <cell r="T181" t="str">
            <v/>
          </cell>
        </row>
        <row r="182">
          <cell r="A182" t="str">
            <v/>
          </cell>
          <cell r="B182">
            <v>1178</v>
          </cell>
          <cell r="D182" t="str">
            <v/>
          </cell>
          <cell r="F182" t="str">
            <v/>
          </cell>
          <cell r="J182">
            <v>0</v>
          </cell>
          <cell r="L182">
            <v>0</v>
          </cell>
          <cell r="M182">
            <v>0</v>
          </cell>
          <cell r="N182">
            <v>0</v>
          </cell>
          <cell r="O182" t="str">
            <v/>
          </cell>
          <cell r="S182" t="str">
            <v/>
          </cell>
          <cell r="T182" t="str">
            <v/>
          </cell>
        </row>
        <row r="183">
          <cell r="A183" t="str">
            <v/>
          </cell>
          <cell r="B183">
            <v>1179</v>
          </cell>
          <cell r="D183" t="str">
            <v/>
          </cell>
          <cell r="F183" t="str">
            <v/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O183" t="str">
            <v/>
          </cell>
          <cell r="S183" t="str">
            <v/>
          </cell>
          <cell r="T183" t="str">
            <v/>
          </cell>
        </row>
        <row r="184">
          <cell r="A184" t="str">
            <v/>
          </cell>
          <cell r="B184">
            <v>1180</v>
          </cell>
          <cell r="D184" t="str">
            <v/>
          </cell>
          <cell r="F184" t="str">
            <v/>
          </cell>
          <cell r="J184">
            <v>0</v>
          </cell>
          <cell r="L184">
            <v>0</v>
          </cell>
          <cell r="M184">
            <v>0</v>
          </cell>
          <cell r="N184">
            <v>0</v>
          </cell>
          <cell r="O184" t="str">
            <v/>
          </cell>
          <cell r="S184" t="str">
            <v/>
          </cell>
          <cell r="T184" t="str">
            <v/>
          </cell>
        </row>
        <row r="185">
          <cell r="A185" t="str">
            <v/>
          </cell>
          <cell r="B185">
            <v>1181</v>
          </cell>
          <cell r="D185" t="str">
            <v/>
          </cell>
          <cell r="F185" t="str">
            <v/>
          </cell>
          <cell r="J185">
            <v>0</v>
          </cell>
          <cell r="L185">
            <v>0</v>
          </cell>
          <cell r="M185">
            <v>0</v>
          </cell>
          <cell r="N185">
            <v>0</v>
          </cell>
          <cell r="O185" t="str">
            <v/>
          </cell>
          <cell r="S185" t="str">
            <v/>
          </cell>
          <cell r="T185" t="str">
            <v/>
          </cell>
        </row>
        <row r="186">
          <cell r="A186" t="str">
            <v/>
          </cell>
          <cell r="B186">
            <v>1182</v>
          </cell>
          <cell r="D186" t="str">
            <v/>
          </cell>
          <cell r="F186" t="str">
            <v/>
          </cell>
          <cell r="J186">
            <v>0</v>
          </cell>
          <cell r="L186">
            <v>0</v>
          </cell>
          <cell r="M186">
            <v>0</v>
          </cell>
          <cell r="N186">
            <v>0</v>
          </cell>
          <cell r="O186" t="str">
            <v/>
          </cell>
          <cell r="S186" t="str">
            <v/>
          </cell>
          <cell r="T186" t="str">
            <v/>
          </cell>
        </row>
        <row r="187">
          <cell r="A187" t="str">
            <v/>
          </cell>
          <cell r="B187">
            <v>1183</v>
          </cell>
          <cell r="D187" t="str">
            <v/>
          </cell>
          <cell r="F187" t="str">
            <v/>
          </cell>
          <cell r="J187">
            <v>0</v>
          </cell>
          <cell r="L187">
            <v>0</v>
          </cell>
          <cell r="M187">
            <v>0</v>
          </cell>
          <cell r="N187">
            <v>0</v>
          </cell>
          <cell r="O187" t="str">
            <v/>
          </cell>
          <cell r="S187" t="str">
            <v/>
          </cell>
          <cell r="T187" t="str">
            <v/>
          </cell>
        </row>
        <row r="188">
          <cell r="A188" t="str">
            <v/>
          </cell>
          <cell r="B188">
            <v>1184</v>
          </cell>
          <cell r="D188" t="str">
            <v/>
          </cell>
          <cell r="F188" t="str">
            <v/>
          </cell>
          <cell r="J188">
            <v>0</v>
          </cell>
          <cell r="L188">
            <v>0</v>
          </cell>
          <cell r="M188">
            <v>0</v>
          </cell>
          <cell r="N188">
            <v>0</v>
          </cell>
          <cell r="O188" t="str">
            <v/>
          </cell>
          <cell r="S188" t="str">
            <v/>
          </cell>
          <cell r="T188" t="str">
            <v/>
          </cell>
        </row>
        <row r="189">
          <cell r="A189" t="str">
            <v/>
          </cell>
          <cell r="B189">
            <v>1185</v>
          </cell>
          <cell r="D189" t="str">
            <v/>
          </cell>
          <cell r="F189" t="str">
            <v/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 t="str">
            <v/>
          </cell>
          <cell r="S189" t="str">
            <v/>
          </cell>
          <cell r="T189" t="str">
            <v/>
          </cell>
        </row>
        <row r="190">
          <cell r="A190" t="str">
            <v/>
          </cell>
          <cell r="B190">
            <v>1186</v>
          </cell>
          <cell r="D190" t="str">
            <v/>
          </cell>
          <cell r="F190" t="str">
            <v/>
          </cell>
          <cell r="J190">
            <v>0</v>
          </cell>
          <cell r="L190">
            <v>0</v>
          </cell>
          <cell r="M190">
            <v>0</v>
          </cell>
          <cell r="N190">
            <v>0</v>
          </cell>
          <cell r="O190" t="str">
            <v/>
          </cell>
          <cell r="S190" t="str">
            <v/>
          </cell>
          <cell r="T190" t="str">
            <v/>
          </cell>
        </row>
        <row r="191">
          <cell r="A191" t="str">
            <v/>
          </cell>
          <cell r="B191">
            <v>1187</v>
          </cell>
          <cell r="D191" t="str">
            <v/>
          </cell>
          <cell r="F191" t="str">
            <v/>
          </cell>
          <cell r="J191">
            <v>0</v>
          </cell>
          <cell r="L191">
            <v>0</v>
          </cell>
          <cell r="M191">
            <v>0</v>
          </cell>
          <cell r="N191">
            <v>0</v>
          </cell>
          <cell r="O191" t="str">
            <v/>
          </cell>
          <cell r="S191" t="str">
            <v/>
          </cell>
          <cell r="T191" t="str">
            <v/>
          </cell>
        </row>
        <row r="192">
          <cell r="A192" t="str">
            <v/>
          </cell>
          <cell r="B192">
            <v>1188</v>
          </cell>
          <cell r="D192" t="str">
            <v/>
          </cell>
          <cell r="F192" t="str">
            <v/>
          </cell>
          <cell r="J192">
            <v>0</v>
          </cell>
          <cell r="L192">
            <v>0</v>
          </cell>
          <cell r="M192">
            <v>0</v>
          </cell>
          <cell r="N192">
            <v>0</v>
          </cell>
          <cell r="O192" t="str">
            <v/>
          </cell>
          <cell r="S192" t="str">
            <v/>
          </cell>
          <cell r="T192" t="str">
            <v/>
          </cell>
        </row>
        <row r="193">
          <cell r="A193" t="str">
            <v/>
          </cell>
          <cell r="B193">
            <v>1189</v>
          </cell>
          <cell r="D193" t="str">
            <v/>
          </cell>
          <cell r="F193" t="str">
            <v/>
          </cell>
          <cell r="J193">
            <v>0</v>
          </cell>
          <cell r="L193">
            <v>0</v>
          </cell>
          <cell r="M193">
            <v>0</v>
          </cell>
          <cell r="N193">
            <v>0</v>
          </cell>
          <cell r="O193" t="str">
            <v/>
          </cell>
          <cell r="S193" t="str">
            <v/>
          </cell>
          <cell r="T193" t="str">
            <v/>
          </cell>
        </row>
        <row r="194">
          <cell r="A194" t="str">
            <v/>
          </cell>
          <cell r="B194">
            <v>1190</v>
          </cell>
          <cell r="D194" t="str">
            <v/>
          </cell>
          <cell r="F194" t="str">
            <v/>
          </cell>
          <cell r="J194">
            <v>0</v>
          </cell>
          <cell r="L194">
            <v>0</v>
          </cell>
          <cell r="M194">
            <v>0</v>
          </cell>
          <cell r="N194">
            <v>0</v>
          </cell>
          <cell r="O194" t="str">
            <v/>
          </cell>
          <cell r="S194" t="str">
            <v/>
          </cell>
          <cell r="T194" t="str">
            <v/>
          </cell>
        </row>
        <row r="195">
          <cell r="A195" t="str">
            <v/>
          </cell>
          <cell r="B195">
            <v>1191</v>
          </cell>
          <cell r="D195" t="str">
            <v/>
          </cell>
          <cell r="F195" t="str">
            <v/>
          </cell>
          <cell r="J195">
            <v>0</v>
          </cell>
          <cell r="L195">
            <v>0</v>
          </cell>
          <cell r="M195">
            <v>0</v>
          </cell>
          <cell r="N195">
            <v>0</v>
          </cell>
          <cell r="O195" t="str">
            <v/>
          </cell>
          <cell r="S195" t="str">
            <v/>
          </cell>
          <cell r="T195" t="str">
            <v/>
          </cell>
        </row>
        <row r="196">
          <cell r="A196" t="str">
            <v/>
          </cell>
          <cell r="B196">
            <v>1192</v>
          </cell>
          <cell r="D196" t="str">
            <v/>
          </cell>
          <cell r="F196" t="str">
            <v/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O196" t="str">
            <v/>
          </cell>
          <cell r="S196" t="str">
            <v/>
          </cell>
          <cell r="T196" t="str">
            <v/>
          </cell>
        </row>
        <row r="197">
          <cell r="A197" t="str">
            <v/>
          </cell>
          <cell r="B197">
            <v>1193</v>
          </cell>
          <cell r="D197" t="str">
            <v/>
          </cell>
          <cell r="F197" t="str">
            <v/>
          </cell>
          <cell r="J197">
            <v>0</v>
          </cell>
          <cell r="L197">
            <v>0</v>
          </cell>
          <cell r="M197">
            <v>0</v>
          </cell>
          <cell r="N197">
            <v>0</v>
          </cell>
          <cell r="O197" t="str">
            <v/>
          </cell>
          <cell r="S197" t="str">
            <v/>
          </cell>
          <cell r="T197" t="str">
            <v/>
          </cell>
        </row>
        <row r="198">
          <cell r="A198" t="str">
            <v/>
          </cell>
          <cell r="B198">
            <v>1194</v>
          </cell>
          <cell r="D198" t="str">
            <v/>
          </cell>
          <cell r="F198" t="str">
            <v/>
          </cell>
          <cell r="J198">
            <v>0</v>
          </cell>
          <cell r="L198">
            <v>0</v>
          </cell>
          <cell r="M198">
            <v>0</v>
          </cell>
          <cell r="N198">
            <v>0</v>
          </cell>
          <cell r="O198" t="str">
            <v/>
          </cell>
          <cell r="S198" t="str">
            <v/>
          </cell>
          <cell r="T198" t="str">
            <v/>
          </cell>
        </row>
        <row r="199">
          <cell r="A199" t="str">
            <v/>
          </cell>
          <cell r="B199">
            <v>1195</v>
          </cell>
          <cell r="D199" t="str">
            <v/>
          </cell>
          <cell r="F199" t="str">
            <v/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 t="str">
            <v/>
          </cell>
          <cell r="S199" t="str">
            <v/>
          </cell>
          <cell r="T199" t="str">
            <v/>
          </cell>
        </row>
        <row r="200">
          <cell r="A200" t="str">
            <v/>
          </cell>
          <cell r="B200">
            <v>1196</v>
          </cell>
          <cell r="D200" t="str">
            <v/>
          </cell>
          <cell r="F200" t="str">
            <v/>
          </cell>
          <cell r="J200">
            <v>0</v>
          </cell>
          <cell r="L200">
            <v>0</v>
          </cell>
          <cell r="M200">
            <v>0</v>
          </cell>
          <cell r="N200">
            <v>0</v>
          </cell>
          <cell r="O200" t="str">
            <v/>
          </cell>
          <cell r="S200" t="str">
            <v/>
          </cell>
          <cell r="T200" t="str">
            <v/>
          </cell>
        </row>
        <row r="201">
          <cell r="A201" t="str">
            <v/>
          </cell>
          <cell r="B201">
            <v>1197</v>
          </cell>
          <cell r="D201" t="str">
            <v/>
          </cell>
          <cell r="F201" t="str">
            <v/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O201" t="str">
            <v/>
          </cell>
          <cell r="S201" t="str">
            <v/>
          </cell>
          <cell r="T201" t="str">
            <v/>
          </cell>
        </row>
        <row r="202">
          <cell r="A202" t="str">
            <v/>
          </cell>
          <cell r="B202">
            <v>1198</v>
          </cell>
          <cell r="D202" t="str">
            <v/>
          </cell>
          <cell r="F202" t="str">
            <v/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O202" t="str">
            <v/>
          </cell>
          <cell r="S202" t="str">
            <v/>
          </cell>
          <cell r="T202" t="str">
            <v/>
          </cell>
        </row>
        <row r="203">
          <cell r="A203" t="str">
            <v/>
          </cell>
          <cell r="B203">
            <v>1199</v>
          </cell>
          <cell r="D203" t="str">
            <v/>
          </cell>
          <cell r="F203" t="str">
            <v/>
          </cell>
          <cell r="J203">
            <v>0</v>
          </cell>
          <cell r="L203">
            <v>0</v>
          </cell>
          <cell r="M203">
            <v>0</v>
          </cell>
          <cell r="N203">
            <v>0</v>
          </cell>
          <cell r="O203" t="str">
            <v/>
          </cell>
          <cell r="S203" t="str">
            <v/>
          </cell>
          <cell r="T203" t="str">
            <v/>
          </cell>
        </row>
        <row r="204">
          <cell r="A204" t="str">
            <v/>
          </cell>
          <cell r="B204">
            <v>1200</v>
          </cell>
          <cell r="D204" t="str">
            <v/>
          </cell>
          <cell r="F204" t="str">
            <v/>
          </cell>
          <cell r="J204">
            <v>0</v>
          </cell>
          <cell r="L204">
            <v>0</v>
          </cell>
          <cell r="M204">
            <v>0</v>
          </cell>
          <cell r="N204">
            <v>0</v>
          </cell>
          <cell r="O204" t="str">
            <v/>
          </cell>
          <cell r="S204" t="str">
            <v/>
          </cell>
          <cell r="T204" t="str">
            <v/>
          </cell>
        </row>
        <row r="205">
          <cell r="A205" t="str">
            <v/>
          </cell>
          <cell r="B205">
            <v>1201</v>
          </cell>
          <cell r="D205" t="str">
            <v/>
          </cell>
          <cell r="F205" t="str">
            <v/>
          </cell>
          <cell r="J205">
            <v>0</v>
          </cell>
          <cell r="L205">
            <v>0</v>
          </cell>
          <cell r="M205">
            <v>0</v>
          </cell>
          <cell r="N205">
            <v>0</v>
          </cell>
          <cell r="O205" t="str">
            <v/>
          </cell>
          <cell r="S205" t="str">
            <v/>
          </cell>
          <cell r="T205" t="str">
            <v/>
          </cell>
        </row>
        <row r="206">
          <cell r="A206" t="str">
            <v/>
          </cell>
          <cell r="B206">
            <v>1202</v>
          </cell>
          <cell r="D206" t="str">
            <v/>
          </cell>
          <cell r="F206" t="str">
            <v/>
          </cell>
          <cell r="J206">
            <v>0</v>
          </cell>
          <cell r="L206">
            <v>0</v>
          </cell>
          <cell r="M206">
            <v>0</v>
          </cell>
          <cell r="N206">
            <v>0</v>
          </cell>
          <cell r="O206" t="str">
            <v/>
          </cell>
          <cell r="S206" t="str">
            <v/>
          </cell>
          <cell r="T206" t="str">
            <v/>
          </cell>
        </row>
        <row r="207">
          <cell r="A207" t="str">
            <v/>
          </cell>
          <cell r="B207">
            <v>1203</v>
          </cell>
          <cell r="D207" t="str">
            <v/>
          </cell>
          <cell r="F207" t="str">
            <v/>
          </cell>
          <cell r="J207">
            <v>0</v>
          </cell>
          <cell r="L207">
            <v>0</v>
          </cell>
          <cell r="M207">
            <v>0</v>
          </cell>
          <cell r="N207">
            <v>0</v>
          </cell>
          <cell r="O207" t="str">
            <v/>
          </cell>
          <cell r="S207" t="str">
            <v/>
          </cell>
          <cell r="T207" t="str">
            <v/>
          </cell>
        </row>
        <row r="208">
          <cell r="A208" t="str">
            <v/>
          </cell>
          <cell r="B208">
            <v>1204</v>
          </cell>
          <cell r="D208" t="str">
            <v/>
          </cell>
          <cell r="F208" t="str">
            <v/>
          </cell>
          <cell r="J208">
            <v>0</v>
          </cell>
          <cell r="L208">
            <v>0</v>
          </cell>
          <cell r="M208">
            <v>0</v>
          </cell>
          <cell r="N208">
            <v>0</v>
          </cell>
          <cell r="O208" t="str">
            <v/>
          </cell>
          <cell r="S208" t="str">
            <v/>
          </cell>
          <cell r="T208" t="str">
            <v/>
          </cell>
        </row>
        <row r="209">
          <cell r="A209" t="str">
            <v/>
          </cell>
          <cell r="B209">
            <v>1205</v>
          </cell>
          <cell r="D209" t="str">
            <v/>
          </cell>
          <cell r="F209" t="str">
            <v/>
          </cell>
          <cell r="J209">
            <v>0</v>
          </cell>
          <cell r="L209">
            <v>0</v>
          </cell>
          <cell r="M209">
            <v>0</v>
          </cell>
          <cell r="N209">
            <v>0</v>
          </cell>
          <cell r="O209" t="str">
            <v/>
          </cell>
          <cell r="S209" t="str">
            <v/>
          </cell>
          <cell r="T209" t="str">
            <v/>
          </cell>
        </row>
        <row r="210">
          <cell r="A210" t="str">
            <v/>
          </cell>
          <cell r="B210">
            <v>1206</v>
          </cell>
          <cell r="D210" t="str">
            <v/>
          </cell>
          <cell r="F210" t="str">
            <v/>
          </cell>
          <cell r="J210">
            <v>0</v>
          </cell>
          <cell r="L210">
            <v>0</v>
          </cell>
          <cell r="M210">
            <v>0</v>
          </cell>
          <cell r="N210">
            <v>0</v>
          </cell>
          <cell r="O210" t="str">
            <v/>
          </cell>
          <cell r="S210" t="str">
            <v/>
          </cell>
          <cell r="T210" t="str">
            <v/>
          </cell>
        </row>
        <row r="211">
          <cell r="A211" t="str">
            <v/>
          </cell>
          <cell r="B211">
            <v>1207</v>
          </cell>
          <cell r="D211" t="str">
            <v/>
          </cell>
          <cell r="F211" t="str">
            <v/>
          </cell>
          <cell r="J211">
            <v>0</v>
          </cell>
          <cell r="L211">
            <v>0</v>
          </cell>
          <cell r="M211">
            <v>0</v>
          </cell>
          <cell r="N211">
            <v>0</v>
          </cell>
          <cell r="O211" t="str">
            <v/>
          </cell>
          <cell r="S211" t="str">
            <v/>
          </cell>
          <cell r="T211" t="str">
            <v/>
          </cell>
        </row>
        <row r="212">
          <cell r="A212" t="str">
            <v/>
          </cell>
          <cell r="B212">
            <v>1208</v>
          </cell>
          <cell r="D212" t="str">
            <v/>
          </cell>
          <cell r="F212" t="str">
            <v/>
          </cell>
          <cell r="J212">
            <v>0</v>
          </cell>
          <cell r="L212">
            <v>0</v>
          </cell>
          <cell r="M212">
            <v>0</v>
          </cell>
          <cell r="N212">
            <v>0</v>
          </cell>
          <cell r="O212" t="str">
            <v/>
          </cell>
          <cell r="S212" t="str">
            <v/>
          </cell>
          <cell r="T212" t="str">
            <v/>
          </cell>
        </row>
        <row r="213">
          <cell r="A213" t="str">
            <v/>
          </cell>
          <cell r="B213">
            <v>1209</v>
          </cell>
          <cell r="D213" t="str">
            <v/>
          </cell>
          <cell r="F213" t="str">
            <v/>
          </cell>
          <cell r="J213">
            <v>0</v>
          </cell>
          <cell r="L213">
            <v>0</v>
          </cell>
          <cell r="M213">
            <v>0</v>
          </cell>
          <cell r="N213">
            <v>0</v>
          </cell>
          <cell r="O213" t="str">
            <v/>
          </cell>
          <cell r="S213" t="str">
            <v/>
          </cell>
          <cell r="T213" t="str">
            <v/>
          </cell>
        </row>
        <row r="214">
          <cell r="A214" t="str">
            <v/>
          </cell>
          <cell r="B214">
            <v>1210</v>
          </cell>
          <cell r="D214" t="str">
            <v/>
          </cell>
          <cell r="F214" t="str">
            <v/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O214" t="str">
            <v/>
          </cell>
          <cell r="S214" t="str">
            <v/>
          </cell>
          <cell r="T214" t="str">
            <v/>
          </cell>
        </row>
        <row r="215">
          <cell r="A215" t="str">
            <v/>
          </cell>
          <cell r="B215">
            <v>1211</v>
          </cell>
          <cell r="D215" t="str">
            <v/>
          </cell>
          <cell r="F215" t="str">
            <v/>
          </cell>
          <cell r="J215">
            <v>0</v>
          </cell>
          <cell r="L215">
            <v>0</v>
          </cell>
          <cell r="M215">
            <v>0</v>
          </cell>
          <cell r="N215">
            <v>0</v>
          </cell>
          <cell r="O215" t="str">
            <v/>
          </cell>
          <cell r="S215" t="str">
            <v/>
          </cell>
          <cell r="T215" t="str">
            <v/>
          </cell>
        </row>
        <row r="216">
          <cell r="A216" t="str">
            <v/>
          </cell>
          <cell r="B216">
            <v>1212</v>
          </cell>
          <cell r="D216" t="str">
            <v/>
          </cell>
          <cell r="F216" t="str">
            <v/>
          </cell>
          <cell r="J216">
            <v>0</v>
          </cell>
          <cell r="L216">
            <v>0</v>
          </cell>
          <cell r="M216">
            <v>0</v>
          </cell>
          <cell r="N216">
            <v>0</v>
          </cell>
          <cell r="O216" t="str">
            <v/>
          </cell>
          <cell r="S216" t="str">
            <v/>
          </cell>
          <cell r="T216" t="str">
            <v/>
          </cell>
        </row>
        <row r="217">
          <cell r="A217" t="str">
            <v/>
          </cell>
          <cell r="B217">
            <v>1213</v>
          </cell>
          <cell r="D217" t="str">
            <v/>
          </cell>
          <cell r="F217" t="str">
            <v/>
          </cell>
          <cell r="J217">
            <v>0</v>
          </cell>
          <cell r="L217">
            <v>0</v>
          </cell>
          <cell r="M217">
            <v>0</v>
          </cell>
          <cell r="N217">
            <v>0</v>
          </cell>
          <cell r="O217" t="str">
            <v/>
          </cell>
          <cell r="S217" t="str">
            <v/>
          </cell>
          <cell r="T217" t="str">
            <v/>
          </cell>
        </row>
        <row r="218">
          <cell r="A218" t="str">
            <v/>
          </cell>
          <cell r="B218">
            <v>1214</v>
          </cell>
          <cell r="D218" t="str">
            <v/>
          </cell>
          <cell r="F218" t="str">
            <v/>
          </cell>
          <cell r="J218">
            <v>0</v>
          </cell>
          <cell r="L218">
            <v>0</v>
          </cell>
          <cell r="M218">
            <v>0</v>
          </cell>
          <cell r="N218">
            <v>0</v>
          </cell>
          <cell r="O218" t="str">
            <v/>
          </cell>
          <cell r="S218" t="str">
            <v/>
          </cell>
          <cell r="T218" t="str">
            <v/>
          </cell>
        </row>
        <row r="219">
          <cell r="A219" t="str">
            <v/>
          </cell>
          <cell r="B219">
            <v>1215</v>
          </cell>
          <cell r="D219" t="str">
            <v/>
          </cell>
          <cell r="F219" t="str">
            <v/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O219" t="str">
            <v/>
          </cell>
          <cell r="S219" t="str">
            <v/>
          </cell>
          <cell r="T219" t="str">
            <v/>
          </cell>
        </row>
        <row r="220">
          <cell r="A220" t="str">
            <v/>
          </cell>
          <cell r="B220">
            <v>1216</v>
          </cell>
          <cell r="D220" t="str">
            <v/>
          </cell>
          <cell r="F220" t="str">
            <v/>
          </cell>
          <cell r="J220">
            <v>0</v>
          </cell>
          <cell r="L220">
            <v>0</v>
          </cell>
          <cell r="M220">
            <v>0</v>
          </cell>
          <cell r="N220">
            <v>0</v>
          </cell>
          <cell r="O220" t="str">
            <v/>
          </cell>
          <cell r="S220" t="str">
            <v/>
          </cell>
          <cell r="T220" t="str">
            <v/>
          </cell>
        </row>
        <row r="221">
          <cell r="A221" t="str">
            <v/>
          </cell>
          <cell r="B221">
            <v>1217</v>
          </cell>
          <cell r="D221" t="str">
            <v/>
          </cell>
          <cell r="F221" t="str">
            <v/>
          </cell>
          <cell r="J221">
            <v>0</v>
          </cell>
          <cell r="L221">
            <v>0</v>
          </cell>
          <cell r="M221">
            <v>0</v>
          </cell>
          <cell r="N221">
            <v>0</v>
          </cell>
          <cell r="O221" t="str">
            <v/>
          </cell>
          <cell r="S221" t="str">
            <v/>
          </cell>
          <cell r="T221" t="str">
            <v/>
          </cell>
        </row>
        <row r="222">
          <cell r="A222" t="str">
            <v/>
          </cell>
          <cell r="B222">
            <v>1218</v>
          </cell>
          <cell r="D222" t="str">
            <v/>
          </cell>
          <cell r="F222" t="str">
            <v/>
          </cell>
          <cell r="J222">
            <v>0</v>
          </cell>
          <cell r="L222">
            <v>0</v>
          </cell>
          <cell r="M222">
            <v>0</v>
          </cell>
          <cell r="N222">
            <v>0</v>
          </cell>
          <cell r="O222" t="str">
            <v/>
          </cell>
          <cell r="S222" t="str">
            <v/>
          </cell>
          <cell r="T222" t="str">
            <v/>
          </cell>
        </row>
        <row r="223">
          <cell r="A223" t="str">
            <v/>
          </cell>
          <cell r="B223">
            <v>1219</v>
          </cell>
          <cell r="D223" t="str">
            <v/>
          </cell>
          <cell r="F223" t="str">
            <v/>
          </cell>
          <cell r="J223">
            <v>0</v>
          </cell>
          <cell r="L223">
            <v>0</v>
          </cell>
          <cell r="M223">
            <v>0</v>
          </cell>
          <cell r="N223">
            <v>0</v>
          </cell>
          <cell r="O223" t="str">
            <v/>
          </cell>
          <cell r="S223" t="str">
            <v/>
          </cell>
          <cell r="T223" t="str">
            <v/>
          </cell>
        </row>
        <row r="224">
          <cell r="A224" t="str">
            <v/>
          </cell>
          <cell r="B224">
            <v>1220</v>
          </cell>
          <cell r="D224" t="str">
            <v/>
          </cell>
          <cell r="F224" t="str">
            <v/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O224" t="str">
            <v/>
          </cell>
          <cell r="S224" t="str">
            <v/>
          </cell>
          <cell r="T224" t="str">
            <v/>
          </cell>
        </row>
        <row r="225">
          <cell r="A225" t="str">
            <v/>
          </cell>
          <cell r="B225">
            <v>1221</v>
          </cell>
          <cell r="D225" t="str">
            <v/>
          </cell>
          <cell r="F225" t="str">
            <v/>
          </cell>
          <cell r="J225">
            <v>0</v>
          </cell>
          <cell r="L225">
            <v>0</v>
          </cell>
          <cell r="M225">
            <v>0</v>
          </cell>
          <cell r="N225">
            <v>0</v>
          </cell>
          <cell r="O225" t="str">
            <v/>
          </cell>
          <cell r="S225" t="str">
            <v/>
          </cell>
          <cell r="T225" t="str">
            <v/>
          </cell>
        </row>
        <row r="226">
          <cell r="A226" t="str">
            <v/>
          </cell>
          <cell r="B226">
            <v>1222</v>
          </cell>
          <cell r="D226" t="str">
            <v/>
          </cell>
          <cell r="F226" t="str">
            <v/>
          </cell>
          <cell r="J226">
            <v>0</v>
          </cell>
          <cell r="L226">
            <v>0</v>
          </cell>
          <cell r="M226">
            <v>0</v>
          </cell>
          <cell r="N226">
            <v>0</v>
          </cell>
          <cell r="O226" t="str">
            <v/>
          </cell>
          <cell r="S226" t="str">
            <v/>
          </cell>
          <cell r="T226" t="str">
            <v/>
          </cell>
        </row>
        <row r="227">
          <cell r="A227" t="str">
            <v/>
          </cell>
          <cell r="B227">
            <v>1223</v>
          </cell>
          <cell r="D227" t="str">
            <v/>
          </cell>
          <cell r="F227" t="str">
            <v/>
          </cell>
          <cell r="J227">
            <v>0</v>
          </cell>
          <cell r="L227">
            <v>0</v>
          </cell>
          <cell r="M227">
            <v>0</v>
          </cell>
          <cell r="N227">
            <v>0</v>
          </cell>
          <cell r="O227" t="str">
            <v/>
          </cell>
          <cell r="S227" t="str">
            <v/>
          </cell>
          <cell r="T227" t="str">
            <v/>
          </cell>
        </row>
        <row r="228">
          <cell r="A228" t="str">
            <v/>
          </cell>
          <cell r="B228">
            <v>1224</v>
          </cell>
          <cell r="D228" t="str">
            <v/>
          </cell>
          <cell r="F228" t="str">
            <v/>
          </cell>
          <cell r="J228">
            <v>0</v>
          </cell>
          <cell r="L228">
            <v>0</v>
          </cell>
          <cell r="M228">
            <v>0</v>
          </cell>
          <cell r="N228">
            <v>0</v>
          </cell>
          <cell r="O228" t="str">
            <v/>
          </cell>
          <cell r="S228" t="str">
            <v/>
          </cell>
          <cell r="T228" t="str">
            <v/>
          </cell>
        </row>
        <row r="229">
          <cell r="A229" t="str">
            <v/>
          </cell>
          <cell r="B229">
            <v>1225</v>
          </cell>
          <cell r="D229" t="str">
            <v/>
          </cell>
          <cell r="F229" t="str">
            <v/>
          </cell>
          <cell r="J229">
            <v>0</v>
          </cell>
          <cell r="L229">
            <v>0</v>
          </cell>
          <cell r="M229">
            <v>0</v>
          </cell>
          <cell r="N229">
            <v>0</v>
          </cell>
          <cell r="O229" t="str">
            <v/>
          </cell>
          <cell r="S229" t="str">
            <v/>
          </cell>
          <cell r="T229" t="str">
            <v/>
          </cell>
        </row>
        <row r="230">
          <cell r="A230" t="str">
            <v/>
          </cell>
          <cell r="B230">
            <v>1226</v>
          </cell>
          <cell r="D230" t="str">
            <v/>
          </cell>
          <cell r="F230" t="str">
            <v/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O230" t="str">
            <v/>
          </cell>
          <cell r="S230" t="str">
            <v/>
          </cell>
          <cell r="T230" t="str">
            <v/>
          </cell>
        </row>
        <row r="231">
          <cell r="A231" t="str">
            <v/>
          </cell>
          <cell r="B231">
            <v>1227</v>
          </cell>
          <cell r="D231" t="str">
            <v/>
          </cell>
          <cell r="F231" t="str">
            <v/>
          </cell>
          <cell r="J231">
            <v>0</v>
          </cell>
          <cell r="L231">
            <v>0</v>
          </cell>
          <cell r="M231">
            <v>0</v>
          </cell>
          <cell r="N231">
            <v>0</v>
          </cell>
          <cell r="O231" t="str">
            <v/>
          </cell>
          <cell r="S231" t="str">
            <v/>
          </cell>
          <cell r="T231" t="str">
            <v/>
          </cell>
        </row>
        <row r="232">
          <cell r="A232" t="str">
            <v/>
          </cell>
          <cell r="B232">
            <v>1228</v>
          </cell>
          <cell r="D232" t="str">
            <v/>
          </cell>
          <cell r="F232" t="str">
            <v/>
          </cell>
          <cell r="J232">
            <v>0</v>
          </cell>
          <cell r="L232">
            <v>0</v>
          </cell>
          <cell r="M232">
            <v>0</v>
          </cell>
          <cell r="N232">
            <v>0</v>
          </cell>
          <cell r="O232" t="str">
            <v/>
          </cell>
          <cell r="S232" t="str">
            <v/>
          </cell>
          <cell r="T232" t="str">
            <v/>
          </cell>
        </row>
        <row r="233">
          <cell r="A233" t="str">
            <v/>
          </cell>
          <cell r="B233">
            <v>1229</v>
          </cell>
          <cell r="D233" t="str">
            <v/>
          </cell>
          <cell r="F233" t="str">
            <v/>
          </cell>
          <cell r="J233">
            <v>0</v>
          </cell>
          <cell r="L233">
            <v>0</v>
          </cell>
          <cell r="M233">
            <v>0</v>
          </cell>
          <cell r="N233">
            <v>0</v>
          </cell>
          <cell r="O233" t="str">
            <v/>
          </cell>
          <cell r="S233" t="str">
            <v/>
          </cell>
          <cell r="T233" t="str">
            <v/>
          </cell>
        </row>
        <row r="234">
          <cell r="A234" t="str">
            <v/>
          </cell>
          <cell r="B234">
            <v>1230</v>
          </cell>
          <cell r="D234" t="str">
            <v/>
          </cell>
          <cell r="F234" t="str">
            <v/>
          </cell>
          <cell r="J234">
            <v>0</v>
          </cell>
          <cell r="L234">
            <v>0</v>
          </cell>
          <cell r="M234">
            <v>0</v>
          </cell>
          <cell r="N234">
            <v>0</v>
          </cell>
          <cell r="O234" t="str">
            <v/>
          </cell>
          <cell r="S234" t="str">
            <v/>
          </cell>
          <cell r="T234" t="str">
            <v/>
          </cell>
        </row>
        <row r="235">
          <cell r="A235" t="str">
            <v/>
          </cell>
          <cell r="B235">
            <v>1231</v>
          </cell>
          <cell r="D235" t="str">
            <v/>
          </cell>
          <cell r="F235" t="str">
            <v/>
          </cell>
          <cell r="J235">
            <v>0</v>
          </cell>
          <cell r="L235">
            <v>0</v>
          </cell>
          <cell r="M235">
            <v>0</v>
          </cell>
          <cell r="N235">
            <v>0</v>
          </cell>
          <cell r="O235" t="str">
            <v/>
          </cell>
          <cell r="S235" t="str">
            <v/>
          </cell>
          <cell r="T235" t="str">
            <v/>
          </cell>
        </row>
        <row r="236">
          <cell r="A236" t="str">
            <v/>
          </cell>
          <cell r="B236">
            <v>1232</v>
          </cell>
          <cell r="D236" t="str">
            <v/>
          </cell>
          <cell r="F236" t="str">
            <v/>
          </cell>
          <cell r="J236">
            <v>0</v>
          </cell>
          <cell r="L236">
            <v>0</v>
          </cell>
          <cell r="M236">
            <v>0</v>
          </cell>
          <cell r="N236">
            <v>0</v>
          </cell>
          <cell r="O236" t="str">
            <v/>
          </cell>
          <cell r="S236" t="str">
            <v/>
          </cell>
          <cell r="T236" t="str">
            <v/>
          </cell>
        </row>
        <row r="237">
          <cell r="A237" t="str">
            <v/>
          </cell>
          <cell r="B237">
            <v>1233</v>
          </cell>
          <cell r="D237" t="str">
            <v/>
          </cell>
          <cell r="F237" t="str">
            <v/>
          </cell>
          <cell r="J237">
            <v>0</v>
          </cell>
          <cell r="L237">
            <v>0</v>
          </cell>
          <cell r="M237">
            <v>0</v>
          </cell>
          <cell r="N237">
            <v>0</v>
          </cell>
          <cell r="O237" t="str">
            <v/>
          </cell>
          <cell r="S237" t="str">
            <v/>
          </cell>
          <cell r="T237" t="str">
            <v/>
          </cell>
        </row>
        <row r="238">
          <cell r="A238" t="str">
            <v/>
          </cell>
          <cell r="B238">
            <v>1234</v>
          </cell>
          <cell r="D238" t="str">
            <v/>
          </cell>
          <cell r="F238" t="str">
            <v/>
          </cell>
          <cell r="J238">
            <v>0</v>
          </cell>
          <cell r="L238">
            <v>0</v>
          </cell>
          <cell r="M238">
            <v>0</v>
          </cell>
          <cell r="N238">
            <v>0</v>
          </cell>
          <cell r="O238" t="str">
            <v/>
          </cell>
          <cell r="S238" t="str">
            <v/>
          </cell>
          <cell r="T238" t="str">
            <v/>
          </cell>
        </row>
        <row r="239">
          <cell r="A239" t="str">
            <v/>
          </cell>
          <cell r="B239">
            <v>1235</v>
          </cell>
          <cell r="D239" t="str">
            <v/>
          </cell>
          <cell r="F239" t="str">
            <v/>
          </cell>
          <cell r="J239">
            <v>0</v>
          </cell>
          <cell r="L239">
            <v>0</v>
          </cell>
          <cell r="M239">
            <v>0</v>
          </cell>
          <cell r="N239">
            <v>0</v>
          </cell>
          <cell r="O239" t="str">
            <v/>
          </cell>
          <cell r="S239" t="str">
            <v/>
          </cell>
          <cell r="T239" t="str">
            <v/>
          </cell>
        </row>
        <row r="240">
          <cell r="A240" t="str">
            <v/>
          </cell>
          <cell r="B240">
            <v>1236</v>
          </cell>
          <cell r="D240" t="str">
            <v/>
          </cell>
          <cell r="F240" t="str">
            <v/>
          </cell>
          <cell r="J240">
            <v>0</v>
          </cell>
          <cell r="L240">
            <v>0</v>
          </cell>
          <cell r="M240">
            <v>0</v>
          </cell>
          <cell r="N240">
            <v>0</v>
          </cell>
          <cell r="O240" t="str">
            <v/>
          </cell>
          <cell r="S240" t="str">
            <v/>
          </cell>
          <cell r="T240" t="str">
            <v/>
          </cell>
        </row>
        <row r="241">
          <cell r="A241" t="str">
            <v/>
          </cell>
          <cell r="B241">
            <v>1237</v>
          </cell>
          <cell r="D241" t="str">
            <v/>
          </cell>
          <cell r="F241" t="str">
            <v/>
          </cell>
          <cell r="J241">
            <v>0</v>
          </cell>
          <cell r="L241">
            <v>0</v>
          </cell>
          <cell r="M241">
            <v>0</v>
          </cell>
          <cell r="N241">
            <v>0</v>
          </cell>
          <cell r="O241" t="str">
            <v/>
          </cell>
          <cell r="S241" t="str">
            <v/>
          </cell>
          <cell r="T241" t="str">
            <v/>
          </cell>
        </row>
        <row r="242">
          <cell r="A242" t="str">
            <v/>
          </cell>
          <cell r="B242">
            <v>1238</v>
          </cell>
          <cell r="D242" t="str">
            <v/>
          </cell>
          <cell r="F242" t="str">
            <v/>
          </cell>
          <cell r="J242">
            <v>0</v>
          </cell>
          <cell r="L242">
            <v>0</v>
          </cell>
          <cell r="M242">
            <v>0</v>
          </cell>
          <cell r="N242">
            <v>0</v>
          </cell>
          <cell r="O242" t="str">
            <v/>
          </cell>
          <cell r="S242" t="str">
            <v/>
          </cell>
          <cell r="T242" t="str">
            <v/>
          </cell>
        </row>
        <row r="243">
          <cell r="A243" t="str">
            <v/>
          </cell>
          <cell r="B243">
            <v>1239</v>
          </cell>
          <cell r="D243" t="str">
            <v/>
          </cell>
          <cell r="F243" t="str">
            <v/>
          </cell>
          <cell r="J243">
            <v>0</v>
          </cell>
          <cell r="L243">
            <v>0</v>
          </cell>
          <cell r="M243">
            <v>0</v>
          </cell>
          <cell r="N243">
            <v>0</v>
          </cell>
          <cell r="O243" t="str">
            <v/>
          </cell>
          <cell r="S243" t="str">
            <v/>
          </cell>
          <cell r="T243" t="str">
            <v/>
          </cell>
        </row>
        <row r="244">
          <cell r="A244" t="str">
            <v/>
          </cell>
          <cell r="B244">
            <v>1240</v>
          </cell>
          <cell r="D244" t="str">
            <v/>
          </cell>
          <cell r="F244" t="str">
            <v/>
          </cell>
          <cell r="J244">
            <v>0</v>
          </cell>
          <cell r="L244">
            <v>0</v>
          </cell>
          <cell r="M244">
            <v>0</v>
          </cell>
          <cell r="N244">
            <v>0</v>
          </cell>
          <cell r="O244" t="str">
            <v/>
          </cell>
          <cell r="S244" t="str">
            <v/>
          </cell>
          <cell r="T244" t="str">
            <v/>
          </cell>
        </row>
        <row r="245">
          <cell r="A245" t="str">
            <v/>
          </cell>
          <cell r="B245">
            <v>1241</v>
          </cell>
          <cell r="D245" t="str">
            <v/>
          </cell>
          <cell r="F245" t="str">
            <v/>
          </cell>
          <cell r="J245">
            <v>0</v>
          </cell>
          <cell r="L245">
            <v>0</v>
          </cell>
          <cell r="M245">
            <v>0</v>
          </cell>
          <cell r="N245">
            <v>0</v>
          </cell>
          <cell r="O245" t="str">
            <v/>
          </cell>
          <cell r="S245" t="str">
            <v/>
          </cell>
          <cell r="T245" t="str">
            <v/>
          </cell>
        </row>
        <row r="246">
          <cell r="A246" t="str">
            <v/>
          </cell>
          <cell r="B246">
            <v>1242</v>
          </cell>
          <cell r="D246" t="str">
            <v/>
          </cell>
          <cell r="F246" t="str">
            <v/>
          </cell>
          <cell r="J246">
            <v>0</v>
          </cell>
          <cell r="L246">
            <v>0</v>
          </cell>
          <cell r="M246">
            <v>0</v>
          </cell>
          <cell r="N246">
            <v>0</v>
          </cell>
          <cell r="O246" t="str">
            <v/>
          </cell>
          <cell r="S246" t="str">
            <v/>
          </cell>
          <cell r="T246" t="str">
            <v/>
          </cell>
        </row>
        <row r="247">
          <cell r="A247" t="str">
            <v/>
          </cell>
          <cell r="B247">
            <v>1243</v>
          </cell>
          <cell r="D247" t="str">
            <v/>
          </cell>
          <cell r="F247" t="str">
            <v/>
          </cell>
          <cell r="J247">
            <v>0</v>
          </cell>
          <cell r="L247">
            <v>0</v>
          </cell>
          <cell r="M247">
            <v>0</v>
          </cell>
          <cell r="N247">
            <v>0</v>
          </cell>
          <cell r="O247" t="str">
            <v/>
          </cell>
          <cell r="S247" t="str">
            <v/>
          </cell>
          <cell r="T247" t="str">
            <v/>
          </cell>
        </row>
        <row r="248">
          <cell r="A248" t="str">
            <v/>
          </cell>
          <cell r="B248">
            <v>1244</v>
          </cell>
          <cell r="D248" t="str">
            <v/>
          </cell>
          <cell r="F248" t="str">
            <v/>
          </cell>
          <cell r="J248">
            <v>0</v>
          </cell>
          <cell r="L248">
            <v>0</v>
          </cell>
          <cell r="M248">
            <v>0</v>
          </cell>
          <cell r="N248">
            <v>0</v>
          </cell>
          <cell r="O248" t="str">
            <v/>
          </cell>
          <cell r="S248" t="str">
            <v/>
          </cell>
          <cell r="T248" t="str">
            <v/>
          </cell>
        </row>
        <row r="249">
          <cell r="A249" t="str">
            <v/>
          </cell>
          <cell r="B249">
            <v>1245</v>
          </cell>
          <cell r="D249" t="str">
            <v/>
          </cell>
          <cell r="F249" t="str">
            <v/>
          </cell>
          <cell r="J249">
            <v>0</v>
          </cell>
          <cell r="L249">
            <v>0</v>
          </cell>
          <cell r="M249">
            <v>0</v>
          </cell>
          <cell r="N249">
            <v>0</v>
          </cell>
          <cell r="O249" t="str">
            <v/>
          </cell>
          <cell r="S249" t="str">
            <v/>
          </cell>
          <cell r="T249" t="str">
            <v/>
          </cell>
        </row>
        <row r="250">
          <cell r="A250" t="str">
            <v/>
          </cell>
          <cell r="B250">
            <v>1246</v>
          </cell>
          <cell r="D250" t="str">
            <v/>
          </cell>
          <cell r="F250" t="str">
            <v/>
          </cell>
          <cell r="J250">
            <v>0</v>
          </cell>
          <cell r="L250">
            <v>0</v>
          </cell>
          <cell r="M250">
            <v>0</v>
          </cell>
          <cell r="N250">
            <v>0</v>
          </cell>
          <cell r="O250" t="str">
            <v/>
          </cell>
          <cell r="S250" t="str">
            <v/>
          </cell>
          <cell r="T250" t="str">
            <v/>
          </cell>
        </row>
        <row r="251">
          <cell r="A251" t="str">
            <v/>
          </cell>
          <cell r="B251">
            <v>1247</v>
          </cell>
          <cell r="D251" t="str">
            <v/>
          </cell>
          <cell r="F251" t="str">
            <v/>
          </cell>
          <cell r="J251">
            <v>0</v>
          </cell>
          <cell r="L251">
            <v>0</v>
          </cell>
          <cell r="M251">
            <v>0</v>
          </cell>
          <cell r="N251">
            <v>0</v>
          </cell>
          <cell r="O251" t="str">
            <v/>
          </cell>
          <cell r="S251" t="str">
            <v/>
          </cell>
          <cell r="T251" t="str">
            <v/>
          </cell>
        </row>
        <row r="252">
          <cell r="A252" t="str">
            <v/>
          </cell>
          <cell r="B252">
            <v>1248</v>
          </cell>
          <cell r="D252" t="str">
            <v/>
          </cell>
          <cell r="F252" t="str">
            <v/>
          </cell>
          <cell r="J252">
            <v>0</v>
          </cell>
          <cell r="L252">
            <v>0</v>
          </cell>
          <cell r="M252">
            <v>0</v>
          </cell>
          <cell r="N252">
            <v>0</v>
          </cell>
          <cell r="O252" t="str">
            <v/>
          </cell>
          <cell r="S252" t="str">
            <v/>
          </cell>
          <cell r="T252" t="str">
            <v/>
          </cell>
        </row>
        <row r="253">
          <cell r="A253" t="str">
            <v/>
          </cell>
          <cell r="B253">
            <v>1249</v>
          </cell>
          <cell r="D253" t="str">
            <v/>
          </cell>
          <cell r="F253" t="str">
            <v/>
          </cell>
          <cell r="J253">
            <v>0</v>
          </cell>
          <cell r="L253">
            <v>0</v>
          </cell>
          <cell r="M253">
            <v>0</v>
          </cell>
          <cell r="N253">
            <v>0</v>
          </cell>
          <cell r="O253" t="str">
            <v/>
          </cell>
          <cell r="S253" t="str">
            <v/>
          </cell>
          <cell r="T253" t="str">
            <v/>
          </cell>
        </row>
        <row r="254">
          <cell r="A254" t="str">
            <v/>
          </cell>
          <cell r="B254">
            <v>1250</v>
          </cell>
          <cell r="D254" t="str">
            <v/>
          </cell>
          <cell r="F254" t="str">
            <v/>
          </cell>
          <cell r="J254">
            <v>0</v>
          </cell>
          <cell r="L254">
            <v>0</v>
          </cell>
          <cell r="M254">
            <v>0</v>
          </cell>
          <cell r="N254">
            <v>0</v>
          </cell>
          <cell r="O254" t="str">
            <v/>
          </cell>
          <cell r="S254" t="str">
            <v/>
          </cell>
          <cell r="T254" t="str">
            <v/>
          </cell>
        </row>
        <row r="255">
          <cell r="A255" t="str">
            <v/>
          </cell>
          <cell r="B255">
            <v>1251</v>
          </cell>
          <cell r="D255" t="str">
            <v/>
          </cell>
          <cell r="F255" t="str">
            <v/>
          </cell>
          <cell r="J255">
            <v>0</v>
          </cell>
          <cell r="L255">
            <v>0</v>
          </cell>
          <cell r="M255">
            <v>0</v>
          </cell>
          <cell r="N255">
            <v>0</v>
          </cell>
          <cell r="O255" t="str">
            <v/>
          </cell>
          <cell r="S255" t="str">
            <v/>
          </cell>
          <cell r="T255" t="str">
            <v/>
          </cell>
        </row>
        <row r="256">
          <cell r="A256" t="str">
            <v/>
          </cell>
          <cell r="B256">
            <v>1252</v>
          </cell>
          <cell r="D256" t="str">
            <v/>
          </cell>
          <cell r="F256" t="str">
            <v/>
          </cell>
          <cell r="J256">
            <v>0</v>
          </cell>
          <cell r="L256">
            <v>0</v>
          </cell>
          <cell r="M256">
            <v>0</v>
          </cell>
          <cell r="N256">
            <v>0</v>
          </cell>
          <cell r="O256" t="str">
            <v/>
          </cell>
          <cell r="S256" t="str">
            <v/>
          </cell>
          <cell r="T256" t="str">
            <v/>
          </cell>
        </row>
        <row r="257">
          <cell r="A257" t="str">
            <v/>
          </cell>
          <cell r="B257">
            <v>1253</v>
          </cell>
          <cell r="D257" t="str">
            <v/>
          </cell>
          <cell r="F257" t="str">
            <v/>
          </cell>
          <cell r="J257">
            <v>0</v>
          </cell>
          <cell r="L257">
            <v>0</v>
          </cell>
          <cell r="M257">
            <v>0</v>
          </cell>
          <cell r="N257">
            <v>0</v>
          </cell>
          <cell r="O257" t="str">
            <v/>
          </cell>
          <cell r="S257" t="str">
            <v/>
          </cell>
          <cell r="T257" t="str">
            <v/>
          </cell>
        </row>
        <row r="258">
          <cell r="A258" t="str">
            <v/>
          </cell>
          <cell r="B258">
            <v>1254</v>
          </cell>
          <cell r="D258" t="str">
            <v/>
          </cell>
          <cell r="F258" t="str">
            <v/>
          </cell>
          <cell r="J258">
            <v>0</v>
          </cell>
          <cell r="L258">
            <v>0</v>
          </cell>
          <cell r="M258">
            <v>0</v>
          </cell>
          <cell r="N258">
            <v>0</v>
          </cell>
          <cell r="O258" t="str">
            <v/>
          </cell>
          <cell r="S258" t="str">
            <v/>
          </cell>
          <cell r="T258" t="str">
            <v/>
          </cell>
        </row>
        <row r="259">
          <cell r="A259" t="str">
            <v/>
          </cell>
          <cell r="B259">
            <v>1255</v>
          </cell>
          <cell r="D259" t="str">
            <v/>
          </cell>
          <cell r="F259" t="str">
            <v/>
          </cell>
          <cell r="J259">
            <v>0</v>
          </cell>
          <cell r="L259">
            <v>0</v>
          </cell>
          <cell r="M259">
            <v>0</v>
          </cell>
          <cell r="N259">
            <v>0</v>
          </cell>
          <cell r="O259" t="str">
            <v/>
          </cell>
          <cell r="S259" t="str">
            <v/>
          </cell>
          <cell r="T259" t="str">
            <v/>
          </cell>
        </row>
        <row r="260">
          <cell r="A260" t="str">
            <v/>
          </cell>
          <cell r="B260">
            <v>1256</v>
          </cell>
          <cell r="D260" t="str">
            <v/>
          </cell>
          <cell r="F260" t="str">
            <v/>
          </cell>
          <cell r="J260">
            <v>0</v>
          </cell>
          <cell r="L260">
            <v>0</v>
          </cell>
          <cell r="M260">
            <v>0</v>
          </cell>
          <cell r="N260">
            <v>0</v>
          </cell>
          <cell r="O260" t="str">
            <v/>
          </cell>
          <cell r="S260" t="str">
            <v/>
          </cell>
          <cell r="T260" t="str">
            <v/>
          </cell>
        </row>
        <row r="261">
          <cell r="A261" t="str">
            <v/>
          </cell>
          <cell r="B261">
            <v>1257</v>
          </cell>
          <cell r="D261" t="str">
            <v/>
          </cell>
          <cell r="F261" t="str">
            <v/>
          </cell>
          <cell r="J261">
            <v>0</v>
          </cell>
          <cell r="L261">
            <v>0</v>
          </cell>
          <cell r="M261">
            <v>0</v>
          </cell>
          <cell r="N261">
            <v>0</v>
          </cell>
          <cell r="O261" t="str">
            <v/>
          </cell>
          <cell r="S261" t="str">
            <v/>
          </cell>
          <cell r="T261" t="str">
            <v/>
          </cell>
        </row>
        <row r="262">
          <cell r="A262" t="str">
            <v/>
          </cell>
          <cell r="B262">
            <v>1258</v>
          </cell>
          <cell r="D262" t="str">
            <v/>
          </cell>
          <cell r="F262" t="str">
            <v/>
          </cell>
          <cell r="J262">
            <v>0</v>
          </cell>
          <cell r="L262">
            <v>0</v>
          </cell>
          <cell r="M262">
            <v>0</v>
          </cell>
          <cell r="N262">
            <v>0</v>
          </cell>
          <cell r="O262" t="str">
            <v/>
          </cell>
          <cell r="S262" t="str">
            <v/>
          </cell>
          <cell r="T262" t="str">
            <v/>
          </cell>
        </row>
        <row r="263">
          <cell r="A263" t="str">
            <v/>
          </cell>
          <cell r="B263">
            <v>1259</v>
          </cell>
          <cell r="D263" t="str">
            <v/>
          </cell>
          <cell r="F263" t="str">
            <v/>
          </cell>
          <cell r="J263">
            <v>0</v>
          </cell>
          <cell r="L263">
            <v>0</v>
          </cell>
          <cell r="M263">
            <v>0</v>
          </cell>
          <cell r="N263">
            <v>0</v>
          </cell>
          <cell r="O263" t="str">
            <v/>
          </cell>
          <cell r="S263" t="str">
            <v/>
          </cell>
          <cell r="T263" t="str">
            <v/>
          </cell>
        </row>
        <row r="264">
          <cell r="A264" t="str">
            <v/>
          </cell>
          <cell r="B264">
            <v>1260</v>
          </cell>
          <cell r="D264" t="str">
            <v/>
          </cell>
          <cell r="F264" t="str">
            <v/>
          </cell>
          <cell r="J264">
            <v>0</v>
          </cell>
          <cell r="L264">
            <v>0</v>
          </cell>
          <cell r="M264">
            <v>0</v>
          </cell>
          <cell r="N264">
            <v>0</v>
          </cell>
          <cell r="O264" t="str">
            <v/>
          </cell>
          <cell r="S264" t="str">
            <v/>
          </cell>
          <cell r="T264" t="str">
            <v/>
          </cell>
        </row>
        <row r="265">
          <cell r="A265" t="str">
            <v/>
          </cell>
          <cell r="B265">
            <v>1261</v>
          </cell>
          <cell r="D265" t="str">
            <v/>
          </cell>
          <cell r="F265" t="str">
            <v/>
          </cell>
          <cell r="J265">
            <v>0</v>
          </cell>
          <cell r="L265">
            <v>0</v>
          </cell>
          <cell r="M265">
            <v>0</v>
          </cell>
          <cell r="N265">
            <v>0</v>
          </cell>
          <cell r="O265" t="str">
            <v/>
          </cell>
          <cell r="S265" t="str">
            <v/>
          </cell>
          <cell r="T265" t="str">
            <v/>
          </cell>
        </row>
        <row r="266">
          <cell r="A266" t="str">
            <v/>
          </cell>
          <cell r="B266">
            <v>1262</v>
          </cell>
          <cell r="D266" t="str">
            <v/>
          </cell>
          <cell r="F266" t="str">
            <v/>
          </cell>
          <cell r="J266">
            <v>0</v>
          </cell>
          <cell r="L266">
            <v>0</v>
          </cell>
          <cell r="M266">
            <v>0</v>
          </cell>
          <cell r="N266">
            <v>0</v>
          </cell>
          <cell r="O266" t="str">
            <v/>
          </cell>
          <cell r="S266" t="str">
            <v/>
          </cell>
          <cell r="T266" t="str">
            <v/>
          </cell>
        </row>
        <row r="267">
          <cell r="A267" t="str">
            <v/>
          </cell>
          <cell r="B267">
            <v>1263</v>
          </cell>
          <cell r="D267" t="str">
            <v/>
          </cell>
          <cell r="F267" t="str">
            <v/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  <cell r="O267" t="str">
            <v/>
          </cell>
          <cell r="S267" t="str">
            <v/>
          </cell>
          <cell r="T267" t="str">
            <v/>
          </cell>
        </row>
        <row r="268">
          <cell r="A268" t="str">
            <v/>
          </cell>
          <cell r="B268">
            <v>1264</v>
          </cell>
          <cell r="D268" t="str">
            <v/>
          </cell>
          <cell r="F268" t="str">
            <v/>
          </cell>
          <cell r="J268">
            <v>0</v>
          </cell>
          <cell r="L268">
            <v>0</v>
          </cell>
          <cell r="M268">
            <v>0</v>
          </cell>
          <cell r="N268">
            <v>0</v>
          </cell>
          <cell r="O268" t="str">
            <v/>
          </cell>
          <cell r="S268" t="str">
            <v/>
          </cell>
          <cell r="T268" t="str">
            <v/>
          </cell>
        </row>
        <row r="269">
          <cell r="A269" t="str">
            <v/>
          </cell>
          <cell r="B269">
            <v>1265</v>
          </cell>
          <cell r="D269" t="str">
            <v/>
          </cell>
          <cell r="F269" t="str">
            <v/>
          </cell>
          <cell r="J269">
            <v>0</v>
          </cell>
          <cell r="L269">
            <v>0</v>
          </cell>
          <cell r="M269">
            <v>0</v>
          </cell>
          <cell r="N269">
            <v>0</v>
          </cell>
          <cell r="O269" t="str">
            <v/>
          </cell>
          <cell r="S269" t="str">
            <v/>
          </cell>
          <cell r="T269" t="str">
            <v/>
          </cell>
        </row>
        <row r="270">
          <cell r="A270" t="str">
            <v/>
          </cell>
          <cell r="B270">
            <v>1266</v>
          </cell>
          <cell r="D270" t="str">
            <v/>
          </cell>
          <cell r="F270" t="str">
            <v/>
          </cell>
          <cell r="J270">
            <v>0</v>
          </cell>
          <cell r="L270">
            <v>0</v>
          </cell>
          <cell r="M270">
            <v>0</v>
          </cell>
          <cell r="N270">
            <v>0</v>
          </cell>
          <cell r="O270" t="str">
            <v/>
          </cell>
          <cell r="S270" t="str">
            <v/>
          </cell>
          <cell r="T270" t="str">
            <v/>
          </cell>
        </row>
        <row r="271">
          <cell r="A271" t="str">
            <v/>
          </cell>
          <cell r="B271">
            <v>1267</v>
          </cell>
          <cell r="D271" t="str">
            <v/>
          </cell>
          <cell r="F271" t="str">
            <v/>
          </cell>
          <cell r="J271">
            <v>0</v>
          </cell>
          <cell r="L271">
            <v>0</v>
          </cell>
          <cell r="M271">
            <v>0</v>
          </cell>
          <cell r="N271">
            <v>0</v>
          </cell>
          <cell r="O271" t="str">
            <v/>
          </cell>
          <cell r="S271" t="str">
            <v/>
          </cell>
          <cell r="T271" t="str">
            <v/>
          </cell>
        </row>
        <row r="272">
          <cell r="A272" t="str">
            <v/>
          </cell>
          <cell r="B272">
            <v>1268</v>
          </cell>
          <cell r="D272" t="str">
            <v/>
          </cell>
          <cell r="F272" t="str">
            <v/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  <cell r="O272" t="str">
            <v/>
          </cell>
          <cell r="S272" t="str">
            <v/>
          </cell>
          <cell r="T272" t="str">
            <v/>
          </cell>
        </row>
        <row r="273">
          <cell r="A273" t="str">
            <v/>
          </cell>
          <cell r="B273">
            <v>1269</v>
          </cell>
          <cell r="D273" t="str">
            <v/>
          </cell>
          <cell r="F273" t="str">
            <v/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  <cell r="O273" t="str">
            <v/>
          </cell>
          <cell r="S273" t="str">
            <v/>
          </cell>
          <cell r="T273" t="str">
            <v/>
          </cell>
        </row>
        <row r="274">
          <cell r="A274" t="str">
            <v/>
          </cell>
          <cell r="B274">
            <v>1270</v>
          </cell>
          <cell r="D274" t="str">
            <v/>
          </cell>
          <cell r="F274" t="str">
            <v/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  <cell r="O274" t="str">
            <v/>
          </cell>
          <cell r="S274" t="str">
            <v/>
          </cell>
          <cell r="T274" t="str">
            <v/>
          </cell>
        </row>
        <row r="275">
          <cell r="A275" t="str">
            <v/>
          </cell>
          <cell r="B275">
            <v>1271</v>
          </cell>
          <cell r="D275" t="str">
            <v/>
          </cell>
          <cell r="F275" t="str">
            <v/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O275" t="str">
            <v/>
          </cell>
          <cell r="S275" t="str">
            <v/>
          </cell>
          <cell r="T275" t="str">
            <v/>
          </cell>
        </row>
        <row r="276">
          <cell r="A276" t="str">
            <v/>
          </cell>
          <cell r="B276">
            <v>1272</v>
          </cell>
          <cell r="D276" t="str">
            <v/>
          </cell>
          <cell r="F276" t="str">
            <v/>
          </cell>
          <cell r="J276">
            <v>0</v>
          </cell>
          <cell r="L276">
            <v>0</v>
          </cell>
          <cell r="M276">
            <v>0</v>
          </cell>
          <cell r="N276">
            <v>0</v>
          </cell>
          <cell r="O276" t="str">
            <v/>
          </cell>
          <cell r="S276" t="str">
            <v/>
          </cell>
          <cell r="T276" t="str">
            <v/>
          </cell>
        </row>
        <row r="277">
          <cell r="A277" t="str">
            <v/>
          </cell>
          <cell r="B277">
            <v>1273</v>
          </cell>
          <cell r="D277" t="str">
            <v/>
          </cell>
          <cell r="F277" t="str">
            <v/>
          </cell>
          <cell r="J277">
            <v>0</v>
          </cell>
          <cell r="L277">
            <v>0</v>
          </cell>
          <cell r="M277">
            <v>0</v>
          </cell>
          <cell r="N277">
            <v>0</v>
          </cell>
          <cell r="O277" t="str">
            <v/>
          </cell>
          <cell r="S277" t="str">
            <v/>
          </cell>
          <cell r="T277" t="str">
            <v/>
          </cell>
        </row>
        <row r="278">
          <cell r="A278" t="str">
            <v/>
          </cell>
          <cell r="B278">
            <v>1274</v>
          </cell>
          <cell r="D278" t="str">
            <v/>
          </cell>
          <cell r="F278" t="str">
            <v/>
          </cell>
          <cell r="J278">
            <v>0</v>
          </cell>
          <cell r="L278">
            <v>0</v>
          </cell>
          <cell r="M278">
            <v>0</v>
          </cell>
          <cell r="N278">
            <v>0</v>
          </cell>
          <cell r="O278" t="str">
            <v/>
          </cell>
          <cell r="S278" t="str">
            <v/>
          </cell>
          <cell r="T278" t="str">
            <v/>
          </cell>
        </row>
        <row r="279">
          <cell r="A279" t="str">
            <v/>
          </cell>
          <cell r="B279">
            <v>1275</v>
          </cell>
          <cell r="D279" t="str">
            <v/>
          </cell>
          <cell r="F279" t="str">
            <v/>
          </cell>
          <cell r="J279">
            <v>0</v>
          </cell>
          <cell r="L279">
            <v>0</v>
          </cell>
          <cell r="M279">
            <v>0</v>
          </cell>
          <cell r="N279">
            <v>0</v>
          </cell>
          <cell r="O279" t="str">
            <v/>
          </cell>
          <cell r="S279" t="str">
            <v/>
          </cell>
          <cell r="T279" t="str">
            <v/>
          </cell>
        </row>
        <row r="280">
          <cell r="A280" t="str">
            <v/>
          </cell>
          <cell r="B280">
            <v>1276</v>
          </cell>
          <cell r="D280" t="str">
            <v/>
          </cell>
          <cell r="F280" t="str">
            <v/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O280" t="str">
            <v/>
          </cell>
          <cell r="S280" t="str">
            <v/>
          </cell>
          <cell r="T280" t="str">
            <v/>
          </cell>
        </row>
        <row r="281">
          <cell r="A281" t="str">
            <v/>
          </cell>
          <cell r="B281">
            <v>1277</v>
          </cell>
          <cell r="D281" t="str">
            <v/>
          </cell>
          <cell r="F281" t="str">
            <v/>
          </cell>
          <cell r="J281">
            <v>0</v>
          </cell>
          <cell r="L281">
            <v>0</v>
          </cell>
          <cell r="M281">
            <v>0</v>
          </cell>
          <cell r="N281">
            <v>0</v>
          </cell>
          <cell r="O281" t="str">
            <v/>
          </cell>
          <cell r="S281" t="str">
            <v/>
          </cell>
          <cell r="T281" t="str">
            <v/>
          </cell>
        </row>
        <row r="282">
          <cell r="A282" t="str">
            <v/>
          </cell>
          <cell r="B282">
            <v>1278</v>
          </cell>
          <cell r="D282" t="str">
            <v/>
          </cell>
          <cell r="F282" t="str">
            <v/>
          </cell>
          <cell r="J282">
            <v>0</v>
          </cell>
          <cell r="L282">
            <v>0</v>
          </cell>
          <cell r="M282">
            <v>0</v>
          </cell>
          <cell r="N282">
            <v>0</v>
          </cell>
          <cell r="O282" t="str">
            <v/>
          </cell>
          <cell r="S282" t="str">
            <v/>
          </cell>
          <cell r="T282" t="str">
            <v/>
          </cell>
        </row>
        <row r="283">
          <cell r="A283" t="str">
            <v/>
          </cell>
          <cell r="B283">
            <v>1279</v>
          </cell>
          <cell r="D283" t="str">
            <v/>
          </cell>
          <cell r="F283" t="str">
            <v/>
          </cell>
          <cell r="J283">
            <v>0</v>
          </cell>
          <cell r="L283">
            <v>0</v>
          </cell>
          <cell r="M283">
            <v>0</v>
          </cell>
          <cell r="N283">
            <v>0</v>
          </cell>
          <cell r="O283" t="str">
            <v/>
          </cell>
          <cell r="S283" t="str">
            <v/>
          </cell>
          <cell r="T283" t="str">
            <v/>
          </cell>
        </row>
        <row r="284">
          <cell r="A284" t="str">
            <v/>
          </cell>
          <cell r="B284">
            <v>1280</v>
          </cell>
          <cell r="D284" t="str">
            <v/>
          </cell>
          <cell r="F284" t="str">
            <v/>
          </cell>
          <cell r="J284">
            <v>0</v>
          </cell>
          <cell r="L284">
            <v>0</v>
          </cell>
          <cell r="M284">
            <v>0</v>
          </cell>
          <cell r="N284">
            <v>0</v>
          </cell>
          <cell r="O284" t="str">
            <v/>
          </cell>
          <cell r="S284" t="str">
            <v/>
          </cell>
          <cell r="T284" t="str">
            <v/>
          </cell>
        </row>
        <row r="285">
          <cell r="A285" t="str">
            <v/>
          </cell>
          <cell r="B285">
            <v>1281</v>
          </cell>
          <cell r="D285" t="str">
            <v/>
          </cell>
          <cell r="F285" t="str">
            <v/>
          </cell>
          <cell r="J285">
            <v>0</v>
          </cell>
          <cell r="L285">
            <v>0</v>
          </cell>
          <cell r="M285">
            <v>0</v>
          </cell>
          <cell r="N285">
            <v>0</v>
          </cell>
          <cell r="O285" t="str">
            <v/>
          </cell>
          <cell r="S285" t="str">
            <v/>
          </cell>
          <cell r="T285" t="str">
            <v/>
          </cell>
        </row>
        <row r="286">
          <cell r="A286" t="str">
            <v/>
          </cell>
          <cell r="B286">
            <v>1282</v>
          </cell>
          <cell r="D286" t="str">
            <v/>
          </cell>
          <cell r="F286" t="str">
            <v/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  <cell r="O286" t="str">
            <v/>
          </cell>
          <cell r="S286" t="str">
            <v/>
          </cell>
          <cell r="T286" t="str">
            <v/>
          </cell>
        </row>
        <row r="287">
          <cell r="A287" t="str">
            <v/>
          </cell>
          <cell r="B287">
            <v>1283</v>
          </cell>
          <cell r="D287" t="str">
            <v/>
          </cell>
          <cell r="F287" t="str">
            <v/>
          </cell>
          <cell r="J287">
            <v>0</v>
          </cell>
          <cell r="L287">
            <v>0</v>
          </cell>
          <cell r="M287">
            <v>0</v>
          </cell>
          <cell r="N287">
            <v>0</v>
          </cell>
          <cell r="O287" t="str">
            <v/>
          </cell>
          <cell r="S287" t="str">
            <v/>
          </cell>
          <cell r="T287" t="str">
            <v/>
          </cell>
        </row>
        <row r="288">
          <cell r="A288" t="str">
            <v/>
          </cell>
          <cell r="B288">
            <v>1284</v>
          </cell>
          <cell r="D288" t="str">
            <v/>
          </cell>
          <cell r="F288" t="str">
            <v/>
          </cell>
          <cell r="J288">
            <v>0</v>
          </cell>
          <cell r="L288">
            <v>0</v>
          </cell>
          <cell r="M288">
            <v>0</v>
          </cell>
          <cell r="N288">
            <v>0</v>
          </cell>
          <cell r="O288" t="str">
            <v/>
          </cell>
          <cell r="S288" t="str">
            <v/>
          </cell>
          <cell r="T288" t="str">
            <v/>
          </cell>
        </row>
        <row r="289">
          <cell r="A289" t="str">
            <v/>
          </cell>
          <cell r="B289">
            <v>1285</v>
          </cell>
          <cell r="D289" t="str">
            <v/>
          </cell>
          <cell r="F289" t="str">
            <v/>
          </cell>
          <cell r="J289">
            <v>0</v>
          </cell>
          <cell r="L289">
            <v>0</v>
          </cell>
          <cell r="M289">
            <v>0</v>
          </cell>
          <cell r="N289">
            <v>0</v>
          </cell>
          <cell r="O289" t="str">
            <v/>
          </cell>
          <cell r="S289" t="str">
            <v/>
          </cell>
          <cell r="T289" t="str">
            <v/>
          </cell>
        </row>
        <row r="290">
          <cell r="A290" t="str">
            <v/>
          </cell>
          <cell r="B290">
            <v>1286</v>
          </cell>
          <cell r="D290" t="str">
            <v/>
          </cell>
          <cell r="F290" t="str">
            <v/>
          </cell>
          <cell r="J290">
            <v>0</v>
          </cell>
          <cell r="L290">
            <v>0</v>
          </cell>
          <cell r="M290">
            <v>0</v>
          </cell>
          <cell r="N290">
            <v>0</v>
          </cell>
          <cell r="O290" t="str">
            <v/>
          </cell>
          <cell r="S290" t="str">
            <v/>
          </cell>
          <cell r="T290" t="str">
            <v/>
          </cell>
        </row>
        <row r="291">
          <cell r="A291" t="str">
            <v/>
          </cell>
          <cell r="B291">
            <v>1287</v>
          </cell>
          <cell r="D291" t="str">
            <v/>
          </cell>
          <cell r="F291" t="str">
            <v/>
          </cell>
          <cell r="J291">
            <v>0</v>
          </cell>
          <cell r="L291">
            <v>0</v>
          </cell>
          <cell r="M291">
            <v>0</v>
          </cell>
          <cell r="N291">
            <v>0</v>
          </cell>
          <cell r="O291" t="str">
            <v/>
          </cell>
          <cell r="S291" t="str">
            <v/>
          </cell>
          <cell r="T291" t="str">
            <v/>
          </cell>
        </row>
        <row r="292">
          <cell r="A292" t="str">
            <v/>
          </cell>
          <cell r="B292">
            <v>1288</v>
          </cell>
          <cell r="D292" t="str">
            <v/>
          </cell>
          <cell r="F292" t="str">
            <v/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  <cell r="O292" t="str">
            <v/>
          </cell>
          <cell r="S292" t="str">
            <v/>
          </cell>
          <cell r="T292" t="str">
            <v/>
          </cell>
        </row>
        <row r="293">
          <cell r="A293" t="str">
            <v/>
          </cell>
          <cell r="B293">
            <v>1289</v>
          </cell>
          <cell r="D293" t="str">
            <v/>
          </cell>
          <cell r="F293" t="str">
            <v/>
          </cell>
          <cell r="J293">
            <v>0</v>
          </cell>
          <cell r="L293">
            <v>0</v>
          </cell>
          <cell r="M293">
            <v>0</v>
          </cell>
          <cell r="N293">
            <v>0</v>
          </cell>
          <cell r="O293" t="str">
            <v/>
          </cell>
          <cell r="S293" t="str">
            <v/>
          </cell>
          <cell r="T293" t="str">
            <v/>
          </cell>
        </row>
        <row r="294">
          <cell r="A294" t="str">
            <v/>
          </cell>
          <cell r="B294">
            <v>1290</v>
          </cell>
          <cell r="D294" t="str">
            <v/>
          </cell>
          <cell r="F294" t="str">
            <v/>
          </cell>
          <cell r="J294">
            <v>0</v>
          </cell>
          <cell r="L294">
            <v>0</v>
          </cell>
          <cell r="M294">
            <v>0</v>
          </cell>
          <cell r="N294">
            <v>0</v>
          </cell>
          <cell r="O294" t="str">
            <v/>
          </cell>
          <cell r="S294" t="str">
            <v/>
          </cell>
          <cell r="T294" t="str">
            <v/>
          </cell>
        </row>
        <row r="295">
          <cell r="A295" t="str">
            <v/>
          </cell>
          <cell r="B295">
            <v>1291</v>
          </cell>
          <cell r="D295" t="str">
            <v/>
          </cell>
          <cell r="F295" t="str">
            <v/>
          </cell>
          <cell r="J295">
            <v>0</v>
          </cell>
          <cell r="L295">
            <v>0</v>
          </cell>
          <cell r="M295">
            <v>0</v>
          </cell>
          <cell r="N295">
            <v>0</v>
          </cell>
          <cell r="O295" t="str">
            <v/>
          </cell>
          <cell r="S295" t="str">
            <v/>
          </cell>
          <cell r="T295" t="str">
            <v/>
          </cell>
        </row>
        <row r="296">
          <cell r="A296" t="str">
            <v/>
          </cell>
          <cell r="B296">
            <v>1292</v>
          </cell>
          <cell r="D296" t="str">
            <v/>
          </cell>
          <cell r="F296" t="str">
            <v/>
          </cell>
          <cell r="J296">
            <v>0</v>
          </cell>
          <cell r="L296">
            <v>0</v>
          </cell>
          <cell r="M296">
            <v>0</v>
          </cell>
          <cell r="N296">
            <v>0</v>
          </cell>
          <cell r="O296" t="str">
            <v/>
          </cell>
          <cell r="S296" t="str">
            <v/>
          </cell>
          <cell r="T296" t="str">
            <v/>
          </cell>
        </row>
        <row r="297">
          <cell r="A297" t="str">
            <v/>
          </cell>
          <cell r="B297">
            <v>1293</v>
          </cell>
          <cell r="D297" t="str">
            <v/>
          </cell>
          <cell r="F297" t="str">
            <v/>
          </cell>
          <cell r="J297">
            <v>0</v>
          </cell>
          <cell r="L297">
            <v>0</v>
          </cell>
          <cell r="M297">
            <v>0</v>
          </cell>
          <cell r="N297">
            <v>0</v>
          </cell>
          <cell r="O297" t="str">
            <v/>
          </cell>
          <cell r="S297" t="str">
            <v/>
          </cell>
          <cell r="T297" t="str">
            <v/>
          </cell>
        </row>
        <row r="298">
          <cell r="A298" t="str">
            <v/>
          </cell>
          <cell r="B298">
            <v>1294</v>
          </cell>
          <cell r="D298" t="str">
            <v/>
          </cell>
          <cell r="F298" t="str">
            <v/>
          </cell>
          <cell r="J298">
            <v>0</v>
          </cell>
          <cell r="L298">
            <v>0</v>
          </cell>
          <cell r="M298">
            <v>0</v>
          </cell>
          <cell r="N298">
            <v>0</v>
          </cell>
          <cell r="O298" t="str">
            <v/>
          </cell>
          <cell r="S298" t="str">
            <v/>
          </cell>
          <cell r="T298" t="str">
            <v/>
          </cell>
        </row>
        <row r="299">
          <cell r="A299" t="str">
            <v/>
          </cell>
          <cell r="B299">
            <v>1295</v>
          </cell>
          <cell r="D299" t="str">
            <v/>
          </cell>
          <cell r="F299" t="str">
            <v/>
          </cell>
          <cell r="J299">
            <v>0</v>
          </cell>
          <cell r="L299">
            <v>0</v>
          </cell>
          <cell r="M299">
            <v>0</v>
          </cell>
          <cell r="N299">
            <v>0</v>
          </cell>
          <cell r="O299" t="str">
            <v/>
          </cell>
          <cell r="S299" t="str">
            <v/>
          </cell>
          <cell r="T299" t="str">
            <v/>
          </cell>
        </row>
        <row r="300">
          <cell r="A300" t="str">
            <v/>
          </cell>
          <cell r="B300">
            <v>1296</v>
          </cell>
          <cell r="D300" t="str">
            <v/>
          </cell>
          <cell r="F300" t="str">
            <v/>
          </cell>
          <cell r="J300">
            <v>0</v>
          </cell>
          <cell r="L300">
            <v>0</v>
          </cell>
          <cell r="M300">
            <v>0</v>
          </cell>
          <cell r="N300">
            <v>0</v>
          </cell>
          <cell r="O300" t="str">
            <v/>
          </cell>
          <cell r="S300" t="str">
            <v/>
          </cell>
          <cell r="T300" t="str">
            <v/>
          </cell>
        </row>
        <row r="301">
          <cell r="A301" t="str">
            <v/>
          </cell>
          <cell r="B301">
            <v>1297</v>
          </cell>
          <cell r="D301" t="str">
            <v/>
          </cell>
          <cell r="F301" t="str">
            <v/>
          </cell>
          <cell r="J301">
            <v>0</v>
          </cell>
          <cell r="L301">
            <v>0</v>
          </cell>
          <cell r="M301">
            <v>0</v>
          </cell>
          <cell r="N301">
            <v>0</v>
          </cell>
          <cell r="O301" t="str">
            <v/>
          </cell>
          <cell r="S301" t="str">
            <v/>
          </cell>
          <cell r="T301" t="str">
            <v/>
          </cell>
        </row>
        <row r="302">
          <cell r="A302" t="str">
            <v/>
          </cell>
          <cell r="B302">
            <v>1298</v>
          </cell>
          <cell r="D302" t="str">
            <v/>
          </cell>
          <cell r="F302" t="str">
            <v/>
          </cell>
          <cell r="J302">
            <v>0</v>
          </cell>
          <cell r="L302">
            <v>0</v>
          </cell>
          <cell r="M302">
            <v>0</v>
          </cell>
          <cell r="N302">
            <v>0</v>
          </cell>
          <cell r="O302" t="str">
            <v/>
          </cell>
          <cell r="S302" t="str">
            <v/>
          </cell>
          <cell r="T302" t="str">
            <v/>
          </cell>
        </row>
        <row r="303">
          <cell r="A303" t="str">
            <v/>
          </cell>
          <cell r="B303">
            <v>1299</v>
          </cell>
          <cell r="D303" t="str">
            <v/>
          </cell>
          <cell r="F303" t="str">
            <v/>
          </cell>
          <cell r="J303">
            <v>0</v>
          </cell>
          <cell r="L303">
            <v>0</v>
          </cell>
          <cell r="M303">
            <v>0</v>
          </cell>
          <cell r="N303">
            <v>0</v>
          </cell>
          <cell r="O303" t="str">
            <v/>
          </cell>
          <cell r="S303" t="str">
            <v/>
          </cell>
          <cell r="T303" t="str">
            <v/>
          </cell>
        </row>
        <row r="304">
          <cell r="A304" t="str">
            <v/>
          </cell>
          <cell r="B304">
            <v>1300</v>
          </cell>
          <cell r="D304" t="str">
            <v/>
          </cell>
          <cell r="F304" t="str">
            <v/>
          </cell>
          <cell r="J304">
            <v>0</v>
          </cell>
          <cell r="L304">
            <v>0</v>
          </cell>
          <cell r="M304">
            <v>0</v>
          </cell>
          <cell r="N304">
            <v>0</v>
          </cell>
          <cell r="O304" t="str">
            <v/>
          </cell>
          <cell r="S304" t="str">
            <v/>
          </cell>
          <cell r="T304" t="str">
            <v/>
          </cell>
        </row>
        <row r="305">
          <cell r="A305" t="str">
            <v/>
          </cell>
          <cell r="B305">
            <v>1301</v>
          </cell>
          <cell r="D305" t="str">
            <v/>
          </cell>
          <cell r="F305" t="str">
            <v/>
          </cell>
          <cell r="J305">
            <v>0</v>
          </cell>
          <cell r="L305">
            <v>0</v>
          </cell>
          <cell r="M305">
            <v>0</v>
          </cell>
          <cell r="N305">
            <v>0</v>
          </cell>
          <cell r="O305" t="str">
            <v/>
          </cell>
          <cell r="S305" t="str">
            <v/>
          </cell>
          <cell r="T305" t="str">
            <v/>
          </cell>
        </row>
        <row r="306">
          <cell r="A306" t="str">
            <v/>
          </cell>
          <cell r="B306">
            <v>1302</v>
          </cell>
          <cell r="D306" t="str">
            <v/>
          </cell>
          <cell r="F306" t="str">
            <v/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  <cell r="O306" t="str">
            <v/>
          </cell>
          <cell r="S306" t="str">
            <v/>
          </cell>
          <cell r="T306" t="str">
            <v/>
          </cell>
        </row>
        <row r="307">
          <cell r="A307" t="str">
            <v/>
          </cell>
          <cell r="B307">
            <v>1303</v>
          </cell>
          <cell r="D307" t="str">
            <v/>
          </cell>
          <cell r="F307" t="str">
            <v/>
          </cell>
          <cell r="J307">
            <v>0</v>
          </cell>
          <cell r="L307">
            <v>0</v>
          </cell>
          <cell r="M307">
            <v>0</v>
          </cell>
          <cell r="N307">
            <v>0</v>
          </cell>
          <cell r="O307" t="str">
            <v/>
          </cell>
          <cell r="S307" t="str">
            <v/>
          </cell>
          <cell r="T307" t="str">
            <v/>
          </cell>
        </row>
        <row r="308">
          <cell r="A308" t="str">
            <v/>
          </cell>
          <cell r="B308">
            <v>1304</v>
          </cell>
          <cell r="D308" t="str">
            <v/>
          </cell>
          <cell r="F308" t="str">
            <v/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O308" t="str">
            <v/>
          </cell>
          <cell r="S308" t="str">
            <v/>
          </cell>
          <cell r="T308" t="str">
            <v/>
          </cell>
        </row>
        <row r="309">
          <cell r="A309" t="str">
            <v/>
          </cell>
          <cell r="B309">
            <v>1305</v>
          </cell>
          <cell r="D309" t="str">
            <v/>
          </cell>
          <cell r="F309" t="str">
            <v/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O309" t="str">
            <v/>
          </cell>
          <cell r="S309" t="str">
            <v/>
          </cell>
          <cell r="T309" t="str">
            <v/>
          </cell>
        </row>
        <row r="310">
          <cell r="A310" t="str">
            <v/>
          </cell>
          <cell r="B310">
            <v>1306</v>
          </cell>
          <cell r="D310" t="str">
            <v/>
          </cell>
          <cell r="F310" t="str">
            <v/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O310" t="str">
            <v/>
          </cell>
          <cell r="S310" t="str">
            <v/>
          </cell>
          <cell r="T310" t="str">
            <v/>
          </cell>
        </row>
        <row r="311">
          <cell r="A311" t="str">
            <v/>
          </cell>
          <cell r="B311">
            <v>1307</v>
          </cell>
          <cell r="D311" t="str">
            <v/>
          </cell>
          <cell r="F311" t="str">
            <v/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  <cell r="O311" t="str">
            <v/>
          </cell>
          <cell r="S311" t="str">
            <v/>
          </cell>
          <cell r="T311" t="str">
            <v/>
          </cell>
        </row>
        <row r="312">
          <cell r="A312" t="str">
            <v/>
          </cell>
          <cell r="B312">
            <v>1308</v>
          </cell>
          <cell r="D312" t="str">
            <v/>
          </cell>
          <cell r="F312" t="str">
            <v/>
          </cell>
          <cell r="J312">
            <v>0</v>
          </cell>
          <cell r="L312">
            <v>0</v>
          </cell>
          <cell r="M312">
            <v>0</v>
          </cell>
          <cell r="N312">
            <v>0</v>
          </cell>
          <cell r="O312" t="str">
            <v/>
          </cell>
          <cell r="S312" t="str">
            <v/>
          </cell>
          <cell r="T312" t="str">
            <v/>
          </cell>
        </row>
        <row r="313">
          <cell r="A313" t="str">
            <v/>
          </cell>
          <cell r="B313">
            <v>1309</v>
          </cell>
          <cell r="D313" t="str">
            <v/>
          </cell>
          <cell r="F313" t="str">
            <v/>
          </cell>
          <cell r="J313">
            <v>0</v>
          </cell>
          <cell r="L313">
            <v>0</v>
          </cell>
          <cell r="M313">
            <v>0</v>
          </cell>
          <cell r="N313">
            <v>0</v>
          </cell>
          <cell r="O313" t="str">
            <v/>
          </cell>
          <cell r="S313" t="str">
            <v/>
          </cell>
          <cell r="T313" t="str">
            <v/>
          </cell>
        </row>
        <row r="314">
          <cell r="A314" t="str">
            <v/>
          </cell>
          <cell r="B314">
            <v>1310</v>
          </cell>
          <cell r="D314" t="str">
            <v/>
          </cell>
          <cell r="F314" t="str">
            <v/>
          </cell>
          <cell r="J314">
            <v>0</v>
          </cell>
          <cell r="L314">
            <v>0</v>
          </cell>
          <cell r="M314">
            <v>0</v>
          </cell>
          <cell r="N314">
            <v>0</v>
          </cell>
          <cell r="O314" t="str">
            <v/>
          </cell>
          <cell r="S314" t="str">
            <v/>
          </cell>
          <cell r="T314" t="str">
            <v/>
          </cell>
        </row>
        <row r="315">
          <cell r="A315" t="str">
            <v/>
          </cell>
          <cell r="B315">
            <v>1311</v>
          </cell>
          <cell r="D315" t="str">
            <v/>
          </cell>
          <cell r="F315" t="str">
            <v/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O315" t="str">
            <v/>
          </cell>
          <cell r="S315" t="str">
            <v/>
          </cell>
          <cell r="T315" t="str">
            <v/>
          </cell>
        </row>
        <row r="316">
          <cell r="A316" t="str">
            <v/>
          </cell>
          <cell r="B316">
            <v>1312</v>
          </cell>
          <cell r="D316" t="str">
            <v/>
          </cell>
          <cell r="F316" t="str">
            <v/>
          </cell>
          <cell r="J316">
            <v>0</v>
          </cell>
          <cell r="L316">
            <v>0</v>
          </cell>
          <cell r="M316">
            <v>0</v>
          </cell>
          <cell r="N316">
            <v>0</v>
          </cell>
          <cell r="O316" t="str">
            <v/>
          </cell>
          <cell r="S316" t="str">
            <v/>
          </cell>
          <cell r="T316" t="str">
            <v/>
          </cell>
        </row>
        <row r="317">
          <cell r="A317" t="str">
            <v/>
          </cell>
          <cell r="B317">
            <v>1313</v>
          </cell>
          <cell r="D317" t="str">
            <v/>
          </cell>
          <cell r="F317" t="str">
            <v/>
          </cell>
          <cell r="J317">
            <v>0</v>
          </cell>
          <cell r="L317">
            <v>0</v>
          </cell>
          <cell r="M317">
            <v>0</v>
          </cell>
          <cell r="N317">
            <v>0</v>
          </cell>
          <cell r="O317" t="str">
            <v/>
          </cell>
          <cell r="S317" t="str">
            <v/>
          </cell>
          <cell r="T317" t="str">
            <v/>
          </cell>
        </row>
        <row r="318">
          <cell r="A318" t="str">
            <v/>
          </cell>
          <cell r="B318">
            <v>1314</v>
          </cell>
          <cell r="D318" t="str">
            <v/>
          </cell>
          <cell r="F318" t="str">
            <v/>
          </cell>
          <cell r="J318">
            <v>0</v>
          </cell>
          <cell r="L318">
            <v>0</v>
          </cell>
          <cell r="M318">
            <v>0</v>
          </cell>
          <cell r="N318">
            <v>0</v>
          </cell>
          <cell r="O318" t="str">
            <v/>
          </cell>
          <cell r="S318" t="str">
            <v/>
          </cell>
          <cell r="T318" t="str">
            <v/>
          </cell>
        </row>
        <row r="319">
          <cell r="A319" t="str">
            <v/>
          </cell>
          <cell r="B319">
            <v>1315</v>
          </cell>
          <cell r="D319" t="str">
            <v/>
          </cell>
          <cell r="F319" t="str">
            <v/>
          </cell>
          <cell r="J319">
            <v>0</v>
          </cell>
          <cell r="L319">
            <v>0</v>
          </cell>
          <cell r="M319">
            <v>0</v>
          </cell>
          <cell r="N319">
            <v>0</v>
          </cell>
          <cell r="O319" t="str">
            <v/>
          </cell>
          <cell r="S319" t="str">
            <v/>
          </cell>
          <cell r="T319" t="str">
            <v/>
          </cell>
        </row>
        <row r="320">
          <cell r="A320" t="str">
            <v/>
          </cell>
          <cell r="B320">
            <v>1316</v>
          </cell>
          <cell r="D320" t="str">
            <v/>
          </cell>
          <cell r="F320" t="str">
            <v/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O320" t="str">
            <v/>
          </cell>
          <cell r="S320" t="str">
            <v/>
          </cell>
          <cell r="T320" t="str">
            <v/>
          </cell>
        </row>
        <row r="321">
          <cell r="A321" t="str">
            <v/>
          </cell>
          <cell r="B321">
            <v>1317</v>
          </cell>
          <cell r="D321" t="str">
            <v/>
          </cell>
          <cell r="F321" t="str">
            <v/>
          </cell>
          <cell r="J321">
            <v>0</v>
          </cell>
          <cell r="L321">
            <v>0</v>
          </cell>
          <cell r="M321">
            <v>0</v>
          </cell>
          <cell r="N321">
            <v>0</v>
          </cell>
          <cell r="O321" t="str">
            <v/>
          </cell>
          <cell r="S321" t="str">
            <v/>
          </cell>
          <cell r="T321" t="str">
            <v/>
          </cell>
        </row>
        <row r="322">
          <cell r="A322" t="str">
            <v/>
          </cell>
          <cell r="B322">
            <v>1318</v>
          </cell>
          <cell r="D322" t="str">
            <v/>
          </cell>
          <cell r="F322" t="str">
            <v/>
          </cell>
          <cell r="J322">
            <v>0</v>
          </cell>
          <cell r="L322">
            <v>0</v>
          </cell>
          <cell r="M322">
            <v>0</v>
          </cell>
          <cell r="N322">
            <v>0</v>
          </cell>
          <cell r="O322" t="str">
            <v/>
          </cell>
          <cell r="S322" t="str">
            <v/>
          </cell>
          <cell r="T322" t="str">
            <v/>
          </cell>
        </row>
        <row r="323">
          <cell r="A323" t="str">
            <v/>
          </cell>
          <cell r="B323">
            <v>1319</v>
          </cell>
          <cell r="D323" t="str">
            <v/>
          </cell>
          <cell r="F323" t="str">
            <v/>
          </cell>
          <cell r="J323">
            <v>0</v>
          </cell>
          <cell r="L323">
            <v>0</v>
          </cell>
          <cell r="M323">
            <v>0</v>
          </cell>
          <cell r="N323">
            <v>0</v>
          </cell>
          <cell r="O323" t="str">
            <v/>
          </cell>
          <cell r="S323" t="str">
            <v/>
          </cell>
          <cell r="T323" t="str">
            <v/>
          </cell>
        </row>
        <row r="324">
          <cell r="A324" t="str">
            <v/>
          </cell>
          <cell r="B324">
            <v>1320</v>
          </cell>
          <cell r="D324" t="str">
            <v/>
          </cell>
          <cell r="F324" t="str">
            <v/>
          </cell>
          <cell r="J324">
            <v>0</v>
          </cell>
          <cell r="L324">
            <v>0</v>
          </cell>
          <cell r="M324">
            <v>0</v>
          </cell>
          <cell r="N324">
            <v>0</v>
          </cell>
          <cell r="O324" t="str">
            <v/>
          </cell>
          <cell r="S324" t="str">
            <v/>
          </cell>
          <cell r="T324" t="str">
            <v/>
          </cell>
        </row>
        <row r="325">
          <cell r="A325" t="str">
            <v/>
          </cell>
          <cell r="B325">
            <v>1321</v>
          </cell>
          <cell r="D325" t="str">
            <v/>
          </cell>
          <cell r="F325" t="str">
            <v/>
          </cell>
          <cell r="J325">
            <v>0</v>
          </cell>
          <cell r="L325">
            <v>0</v>
          </cell>
          <cell r="M325">
            <v>0</v>
          </cell>
          <cell r="N325">
            <v>0</v>
          </cell>
          <cell r="O325" t="str">
            <v/>
          </cell>
          <cell r="S325" t="str">
            <v/>
          </cell>
          <cell r="T325" t="str">
            <v/>
          </cell>
        </row>
        <row r="326">
          <cell r="A326" t="str">
            <v/>
          </cell>
          <cell r="B326">
            <v>1322</v>
          </cell>
          <cell r="D326" t="str">
            <v/>
          </cell>
          <cell r="F326" t="str">
            <v/>
          </cell>
          <cell r="J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/>
          </cell>
          <cell r="S326" t="str">
            <v/>
          </cell>
          <cell r="T326" t="str">
            <v/>
          </cell>
        </row>
        <row r="327">
          <cell r="A327" t="str">
            <v/>
          </cell>
          <cell r="B327">
            <v>1323</v>
          </cell>
          <cell r="D327" t="str">
            <v/>
          </cell>
          <cell r="F327" t="str">
            <v/>
          </cell>
          <cell r="J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/>
          </cell>
          <cell r="S327" t="str">
            <v/>
          </cell>
          <cell r="T327" t="str">
            <v/>
          </cell>
        </row>
        <row r="328">
          <cell r="A328" t="str">
            <v/>
          </cell>
          <cell r="B328">
            <v>1324</v>
          </cell>
          <cell r="D328" t="str">
            <v/>
          </cell>
          <cell r="F328" t="str">
            <v/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/>
          </cell>
          <cell r="S328" t="str">
            <v/>
          </cell>
          <cell r="T328" t="str">
            <v/>
          </cell>
        </row>
        <row r="329">
          <cell r="A329" t="str">
            <v/>
          </cell>
          <cell r="B329">
            <v>1325</v>
          </cell>
          <cell r="D329" t="str">
            <v/>
          </cell>
          <cell r="F329" t="str">
            <v/>
          </cell>
          <cell r="J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/>
          </cell>
          <cell r="S329" t="str">
            <v/>
          </cell>
          <cell r="T329" t="str">
            <v/>
          </cell>
        </row>
        <row r="330">
          <cell r="A330" t="str">
            <v/>
          </cell>
          <cell r="B330">
            <v>1326</v>
          </cell>
          <cell r="D330" t="str">
            <v/>
          </cell>
          <cell r="F330" t="str">
            <v/>
          </cell>
          <cell r="J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/>
          </cell>
          <cell r="S330" t="str">
            <v/>
          </cell>
          <cell r="T330" t="str">
            <v/>
          </cell>
        </row>
        <row r="331">
          <cell r="A331" t="str">
            <v/>
          </cell>
          <cell r="B331">
            <v>1327</v>
          </cell>
          <cell r="D331" t="str">
            <v/>
          </cell>
          <cell r="F331" t="str">
            <v/>
          </cell>
          <cell r="J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/>
          </cell>
          <cell r="S331" t="str">
            <v/>
          </cell>
          <cell r="T331" t="str">
            <v/>
          </cell>
        </row>
        <row r="332">
          <cell r="A332" t="str">
            <v/>
          </cell>
          <cell r="B332">
            <v>1328</v>
          </cell>
          <cell r="D332" t="str">
            <v/>
          </cell>
          <cell r="F332" t="str">
            <v/>
          </cell>
          <cell r="J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/>
          </cell>
          <cell r="S332" t="str">
            <v/>
          </cell>
          <cell r="T332" t="str">
            <v/>
          </cell>
        </row>
        <row r="333">
          <cell r="A333" t="str">
            <v/>
          </cell>
          <cell r="B333">
            <v>1329</v>
          </cell>
          <cell r="D333" t="str">
            <v/>
          </cell>
          <cell r="F333" t="str">
            <v/>
          </cell>
          <cell r="J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/>
          </cell>
          <cell r="S333" t="str">
            <v/>
          </cell>
          <cell r="T333" t="str">
            <v/>
          </cell>
        </row>
        <row r="334">
          <cell r="A334" t="str">
            <v/>
          </cell>
          <cell r="B334">
            <v>1330</v>
          </cell>
          <cell r="D334" t="str">
            <v/>
          </cell>
          <cell r="F334" t="str">
            <v/>
          </cell>
          <cell r="J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/>
          </cell>
          <cell r="S334" t="str">
            <v/>
          </cell>
          <cell r="T334" t="str">
            <v/>
          </cell>
        </row>
        <row r="335">
          <cell r="A335" t="str">
            <v/>
          </cell>
          <cell r="B335">
            <v>1331</v>
          </cell>
          <cell r="D335" t="str">
            <v/>
          </cell>
          <cell r="F335" t="str">
            <v/>
          </cell>
          <cell r="J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/>
          </cell>
          <cell r="S335" t="str">
            <v/>
          </cell>
          <cell r="T335" t="str">
            <v/>
          </cell>
        </row>
        <row r="336">
          <cell r="A336" t="str">
            <v/>
          </cell>
          <cell r="B336">
            <v>1332</v>
          </cell>
          <cell r="D336" t="str">
            <v/>
          </cell>
          <cell r="F336" t="str">
            <v/>
          </cell>
          <cell r="J336">
            <v>0</v>
          </cell>
          <cell r="L336">
            <v>0</v>
          </cell>
          <cell r="M336">
            <v>0</v>
          </cell>
          <cell r="N336">
            <v>0</v>
          </cell>
          <cell r="O336" t="str">
            <v/>
          </cell>
          <cell r="S336" t="str">
            <v/>
          </cell>
          <cell r="T336" t="str">
            <v/>
          </cell>
        </row>
        <row r="337">
          <cell r="A337" t="str">
            <v/>
          </cell>
          <cell r="B337">
            <v>1333</v>
          </cell>
          <cell r="D337" t="str">
            <v/>
          </cell>
          <cell r="F337" t="str">
            <v/>
          </cell>
          <cell r="J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/>
          </cell>
          <cell r="S337" t="str">
            <v/>
          </cell>
          <cell r="T337" t="str">
            <v/>
          </cell>
        </row>
        <row r="338">
          <cell r="A338" t="str">
            <v/>
          </cell>
          <cell r="B338">
            <v>1334</v>
          </cell>
          <cell r="D338" t="str">
            <v/>
          </cell>
          <cell r="F338" t="str">
            <v/>
          </cell>
          <cell r="J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/>
          </cell>
          <cell r="S338" t="str">
            <v/>
          </cell>
          <cell r="T338" t="str">
            <v/>
          </cell>
        </row>
        <row r="339">
          <cell r="A339" t="str">
            <v/>
          </cell>
          <cell r="B339">
            <v>1335</v>
          </cell>
          <cell r="D339" t="str">
            <v/>
          </cell>
          <cell r="F339" t="str">
            <v/>
          </cell>
          <cell r="J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/>
          </cell>
          <cell r="S339" t="str">
            <v/>
          </cell>
          <cell r="T339" t="str">
            <v/>
          </cell>
        </row>
        <row r="340">
          <cell r="A340" t="str">
            <v/>
          </cell>
          <cell r="B340">
            <v>1336</v>
          </cell>
          <cell r="D340" t="str">
            <v/>
          </cell>
          <cell r="F340" t="str">
            <v/>
          </cell>
          <cell r="J340">
            <v>0</v>
          </cell>
          <cell r="L340">
            <v>0</v>
          </cell>
          <cell r="M340">
            <v>0</v>
          </cell>
          <cell r="N340">
            <v>0</v>
          </cell>
          <cell r="O340" t="str">
            <v/>
          </cell>
          <cell r="S340" t="str">
            <v/>
          </cell>
          <cell r="T340" t="str">
            <v/>
          </cell>
        </row>
        <row r="341">
          <cell r="A341" t="str">
            <v/>
          </cell>
          <cell r="B341">
            <v>1337</v>
          </cell>
          <cell r="D341" t="str">
            <v/>
          </cell>
          <cell r="F341" t="str">
            <v/>
          </cell>
          <cell r="J341">
            <v>0</v>
          </cell>
          <cell r="L341">
            <v>0</v>
          </cell>
          <cell r="M341">
            <v>0</v>
          </cell>
          <cell r="N341">
            <v>0</v>
          </cell>
          <cell r="O341" t="str">
            <v/>
          </cell>
          <cell r="S341" t="str">
            <v/>
          </cell>
          <cell r="T341" t="str">
            <v/>
          </cell>
        </row>
        <row r="342">
          <cell r="A342" t="str">
            <v/>
          </cell>
          <cell r="B342">
            <v>1338</v>
          </cell>
          <cell r="D342" t="str">
            <v/>
          </cell>
          <cell r="F342" t="str">
            <v/>
          </cell>
          <cell r="J342">
            <v>0</v>
          </cell>
          <cell r="L342">
            <v>0</v>
          </cell>
          <cell r="M342">
            <v>0</v>
          </cell>
          <cell r="N342">
            <v>0</v>
          </cell>
          <cell r="O342" t="str">
            <v/>
          </cell>
          <cell r="S342" t="str">
            <v/>
          </cell>
          <cell r="T342" t="str">
            <v/>
          </cell>
        </row>
        <row r="343">
          <cell r="A343" t="str">
            <v/>
          </cell>
          <cell r="B343">
            <v>1339</v>
          </cell>
          <cell r="D343" t="str">
            <v/>
          </cell>
          <cell r="F343" t="str">
            <v/>
          </cell>
          <cell r="J343">
            <v>0</v>
          </cell>
          <cell r="L343">
            <v>0</v>
          </cell>
          <cell r="M343">
            <v>0</v>
          </cell>
          <cell r="N343">
            <v>0</v>
          </cell>
          <cell r="O343" t="str">
            <v/>
          </cell>
          <cell r="S343" t="str">
            <v/>
          </cell>
          <cell r="T343" t="str">
            <v/>
          </cell>
        </row>
        <row r="344">
          <cell r="A344" t="str">
            <v/>
          </cell>
          <cell r="B344">
            <v>1340</v>
          </cell>
          <cell r="D344" t="str">
            <v/>
          </cell>
          <cell r="F344" t="str">
            <v/>
          </cell>
          <cell r="J344">
            <v>0</v>
          </cell>
          <cell r="L344">
            <v>0</v>
          </cell>
          <cell r="M344">
            <v>0</v>
          </cell>
          <cell r="N344">
            <v>0</v>
          </cell>
          <cell r="O344" t="str">
            <v/>
          </cell>
          <cell r="S344" t="str">
            <v/>
          </cell>
          <cell r="T344" t="str">
            <v/>
          </cell>
        </row>
        <row r="345">
          <cell r="A345" t="str">
            <v/>
          </cell>
          <cell r="B345">
            <v>1341</v>
          </cell>
          <cell r="D345" t="str">
            <v/>
          </cell>
          <cell r="F345" t="str">
            <v/>
          </cell>
          <cell r="J345">
            <v>0</v>
          </cell>
          <cell r="L345">
            <v>0</v>
          </cell>
          <cell r="M345">
            <v>0</v>
          </cell>
          <cell r="N345">
            <v>0</v>
          </cell>
          <cell r="O345" t="str">
            <v/>
          </cell>
          <cell r="S345" t="str">
            <v/>
          </cell>
          <cell r="T345" t="str">
            <v/>
          </cell>
        </row>
        <row r="346">
          <cell r="A346" t="str">
            <v/>
          </cell>
          <cell r="B346">
            <v>1342</v>
          </cell>
          <cell r="D346" t="str">
            <v/>
          </cell>
          <cell r="F346" t="str">
            <v/>
          </cell>
          <cell r="J346">
            <v>0</v>
          </cell>
          <cell r="L346">
            <v>0</v>
          </cell>
          <cell r="M346">
            <v>0</v>
          </cell>
          <cell r="N346">
            <v>0</v>
          </cell>
          <cell r="O346" t="str">
            <v/>
          </cell>
          <cell r="S346" t="str">
            <v/>
          </cell>
          <cell r="T346" t="str">
            <v/>
          </cell>
        </row>
        <row r="347">
          <cell r="A347" t="str">
            <v/>
          </cell>
          <cell r="B347">
            <v>1343</v>
          </cell>
          <cell r="D347" t="str">
            <v/>
          </cell>
          <cell r="F347" t="str">
            <v/>
          </cell>
          <cell r="J347">
            <v>0</v>
          </cell>
          <cell r="L347">
            <v>0</v>
          </cell>
          <cell r="M347">
            <v>0</v>
          </cell>
          <cell r="N347">
            <v>0</v>
          </cell>
          <cell r="O347" t="str">
            <v/>
          </cell>
          <cell r="S347" t="str">
            <v/>
          </cell>
          <cell r="T347" t="str">
            <v/>
          </cell>
        </row>
        <row r="348">
          <cell r="A348" t="str">
            <v/>
          </cell>
          <cell r="B348">
            <v>1344</v>
          </cell>
          <cell r="D348" t="str">
            <v/>
          </cell>
          <cell r="F348" t="str">
            <v/>
          </cell>
          <cell r="J348">
            <v>0</v>
          </cell>
          <cell r="L348">
            <v>0</v>
          </cell>
          <cell r="M348">
            <v>0</v>
          </cell>
          <cell r="N348">
            <v>0</v>
          </cell>
          <cell r="O348" t="str">
            <v/>
          </cell>
          <cell r="S348" t="str">
            <v/>
          </cell>
          <cell r="T348" t="str">
            <v/>
          </cell>
        </row>
        <row r="349">
          <cell r="A349" t="str">
            <v/>
          </cell>
          <cell r="B349">
            <v>1345</v>
          </cell>
          <cell r="D349" t="str">
            <v/>
          </cell>
          <cell r="F349" t="str">
            <v/>
          </cell>
          <cell r="J349">
            <v>0</v>
          </cell>
          <cell r="L349">
            <v>0</v>
          </cell>
          <cell r="M349">
            <v>0</v>
          </cell>
          <cell r="N349">
            <v>0</v>
          </cell>
          <cell r="O349" t="str">
            <v/>
          </cell>
          <cell r="S349" t="str">
            <v/>
          </cell>
          <cell r="T349" t="str">
            <v/>
          </cell>
        </row>
        <row r="350">
          <cell r="A350" t="str">
            <v/>
          </cell>
          <cell r="B350">
            <v>1346</v>
          </cell>
          <cell r="D350" t="str">
            <v/>
          </cell>
          <cell r="F350" t="str">
            <v/>
          </cell>
          <cell r="J350">
            <v>0</v>
          </cell>
          <cell r="L350">
            <v>0</v>
          </cell>
          <cell r="M350">
            <v>0</v>
          </cell>
          <cell r="N350">
            <v>0</v>
          </cell>
          <cell r="O350" t="str">
            <v/>
          </cell>
          <cell r="S350" t="str">
            <v/>
          </cell>
          <cell r="T350" t="str">
            <v/>
          </cell>
        </row>
        <row r="351">
          <cell r="A351" t="str">
            <v/>
          </cell>
          <cell r="B351">
            <v>1347</v>
          </cell>
          <cell r="D351" t="str">
            <v/>
          </cell>
          <cell r="F351" t="str">
            <v/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O351" t="str">
            <v/>
          </cell>
          <cell r="S351" t="str">
            <v/>
          </cell>
          <cell r="T351" t="str">
            <v/>
          </cell>
        </row>
        <row r="352">
          <cell r="A352" t="str">
            <v/>
          </cell>
          <cell r="B352">
            <v>1348</v>
          </cell>
          <cell r="D352" t="str">
            <v/>
          </cell>
          <cell r="F352" t="str">
            <v/>
          </cell>
          <cell r="J352">
            <v>0</v>
          </cell>
          <cell r="L352">
            <v>0</v>
          </cell>
          <cell r="M352">
            <v>0</v>
          </cell>
          <cell r="N352">
            <v>0</v>
          </cell>
          <cell r="O352" t="str">
            <v/>
          </cell>
          <cell r="S352" t="str">
            <v/>
          </cell>
          <cell r="T352" t="str">
            <v/>
          </cell>
        </row>
        <row r="353">
          <cell r="A353" t="str">
            <v/>
          </cell>
          <cell r="B353">
            <v>1349</v>
          </cell>
          <cell r="D353" t="str">
            <v/>
          </cell>
          <cell r="F353" t="str">
            <v/>
          </cell>
          <cell r="J353">
            <v>0</v>
          </cell>
          <cell r="L353">
            <v>0</v>
          </cell>
          <cell r="M353">
            <v>0</v>
          </cell>
          <cell r="N353">
            <v>0</v>
          </cell>
          <cell r="O353" t="str">
            <v/>
          </cell>
          <cell r="S353" t="str">
            <v/>
          </cell>
          <cell r="T353" t="str">
            <v/>
          </cell>
        </row>
        <row r="354">
          <cell r="A354" t="str">
            <v/>
          </cell>
          <cell r="B354">
            <v>1350</v>
          </cell>
          <cell r="D354" t="str">
            <v/>
          </cell>
          <cell r="F354" t="str">
            <v/>
          </cell>
          <cell r="J354">
            <v>0</v>
          </cell>
          <cell r="L354">
            <v>0</v>
          </cell>
          <cell r="M354">
            <v>0</v>
          </cell>
          <cell r="N354">
            <v>0</v>
          </cell>
          <cell r="O354" t="str">
            <v/>
          </cell>
          <cell r="S354" t="str">
            <v/>
          </cell>
          <cell r="T354" t="str">
            <v/>
          </cell>
        </row>
        <row r="355">
          <cell r="A355" t="str">
            <v/>
          </cell>
          <cell r="B355">
            <v>1351</v>
          </cell>
          <cell r="D355" t="str">
            <v/>
          </cell>
          <cell r="F355" t="str">
            <v/>
          </cell>
          <cell r="J355">
            <v>0</v>
          </cell>
          <cell r="L355">
            <v>0</v>
          </cell>
          <cell r="M355">
            <v>0</v>
          </cell>
          <cell r="N355">
            <v>0</v>
          </cell>
          <cell r="O355" t="str">
            <v/>
          </cell>
          <cell r="S355" t="str">
            <v/>
          </cell>
          <cell r="T355" t="str">
            <v/>
          </cell>
        </row>
        <row r="356">
          <cell r="A356" t="str">
            <v/>
          </cell>
          <cell r="B356">
            <v>1352</v>
          </cell>
          <cell r="D356" t="str">
            <v/>
          </cell>
          <cell r="F356" t="str">
            <v/>
          </cell>
          <cell r="J356">
            <v>0</v>
          </cell>
          <cell r="L356">
            <v>0</v>
          </cell>
          <cell r="M356">
            <v>0</v>
          </cell>
          <cell r="N356">
            <v>0</v>
          </cell>
          <cell r="O356" t="str">
            <v/>
          </cell>
          <cell r="S356" t="str">
            <v/>
          </cell>
          <cell r="T356" t="str">
            <v/>
          </cell>
        </row>
        <row r="357">
          <cell r="A357" t="str">
            <v/>
          </cell>
          <cell r="B357">
            <v>1353</v>
          </cell>
          <cell r="D357" t="str">
            <v/>
          </cell>
          <cell r="F357" t="str">
            <v/>
          </cell>
          <cell r="J357">
            <v>0</v>
          </cell>
          <cell r="L357">
            <v>0</v>
          </cell>
          <cell r="M357">
            <v>0</v>
          </cell>
          <cell r="N357">
            <v>0</v>
          </cell>
          <cell r="O357" t="str">
            <v/>
          </cell>
          <cell r="S357" t="str">
            <v/>
          </cell>
          <cell r="T357" t="str">
            <v/>
          </cell>
        </row>
        <row r="358">
          <cell r="A358" t="str">
            <v/>
          </cell>
          <cell r="B358">
            <v>1354</v>
          </cell>
          <cell r="D358" t="str">
            <v/>
          </cell>
          <cell r="F358" t="str">
            <v/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O358" t="str">
            <v/>
          </cell>
          <cell r="S358" t="str">
            <v/>
          </cell>
          <cell r="T358" t="str">
            <v/>
          </cell>
        </row>
        <row r="359">
          <cell r="A359" t="str">
            <v/>
          </cell>
          <cell r="B359">
            <v>1355</v>
          </cell>
          <cell r="D359" t="str">
            <v/>
          </cell>
          <cell r="F359" t="str">
            <v/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O359" t="str">
            <v/>
          </cell>
          <cell r="S359" t="str">
            <v/>
          </cell>
          <cell r="T359" t="str">
            <v/>
          </cell>
        </row>
        <row r="360">
          <cell r="A360" t="str">
            <v/>
          </cell>
          <cell r="B360">
            <v>1356</v>
          </cell>
          <cell r="D360" t="str">
            <v/>
          </cell>
          <cell r="F360" t="str">
            <v/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O360" t="str">
            <v/>
          </cell>
          <cell r="S360" t="str">
            <v/>
          </cell>
          <cell r="T360" t="str">
            <v/>
          </cell>
        </row>
        <row r="361">
          <cell r="A361" t="str">
            <v/>
          </cell>
          <cell r="B361">
            <v>1357</v>
          </cell>
          <cell r="D361" t="str">
            <v/>
          </cell>
          <cell r="F361" t="str">
            <v/>
          </cell>
          <cell r="J361">
            <v>0</v>
          </cell>
          <cell r="L361">
            <v>0</v>
          </cell>
          <cell r="M361">
            <v>0</v>
          </cell>
          <cell r="N361">
            <v>0</v>
          </cell>
          <cell r="O361" t="str">
            <v/>
          </cell>
          <cell r="S361" t="str">
            <v/>
          </cell>
          <cell r="T361" t="str">
            <v/>
          </cell>
        </row>
        <row r="362">
          <cell r="A362" t="str">
            <v/>
          </cell>
          <cell r="B362">
            <v>1358</v>
          </cell>
          <cell r="D362" t="str">
            <v/>
          </cell>
          <cell r="F362" t="str">
            <v/>
          </cell>
          <cell r="J362">
            <v>0</v>
          </cell>
          <cell r="L362">
            <v>0</v>
          </cell>
          <cell r="M362">
            <v>0</v>
          </cell>
          <cell r="N362">
            <v>0</v>
          </cell>
          <cell r="O362" t="str">
            <v/>
          </cell>
          <cell r="S362" t="str">
            <v/>
          </cell>
          <cell r="T362" t="str">
            <v/>
          </cell>
        </row>
        <row r="363">
          <cell r="A363" t="str">
            <v/>
          </cell>
          <cell r="B363">
            <v>1359</v>
          </cell>
          <cell r="D363" t="str">
            <v/>
          </cell>
          <cell r="F363" t="str">
            <v/>
          </cell>
          <cell r="J363">
            <v>0</v>
          </cell>
          <cell r="L363">
            <v>0</v>
          </cell>
          <cell r="M363">
            <v>0</v>
          </cell>
          <cell r="N363">
            <v>0</v>
          </cell>
          <cell r="O363" t="str">
            <v/>
          </cell>
          <cell r="S363" t="str">
            <v/>
          </cell>
          <cell r="T363" t="str">
            <v/>
          </cell>
        </row>
        <row r="364">
          <cell r="A364" t="str">
            <v/>
          </cell>
          <cell r="B364">
            <v>1360</v>
          </cell>
          <cell r="D364" t="str">
            <v/>
          </cell>
          <cell r="F364" t="str">
            <v/>
          </cell>
          <cell r="J364">
            <v>0</v>
          </cell>
          <cell r="L364">
            <v>0</v>
          </cell>
          <cell r="M364">
            <v>0</v>
          </cell>
          <cell r="N364">
            <v>0</v>
          </cell>
          <cell r="O364" t="str">
            <v/>
          </cell>
          <cell r="S364" t="str">
            <v/>
          </cell>
          <cell r="T364" t="str">
            <v/>
          </cell>
        </row>
        <row r="365">
          <cell r="A365" t="str">
            <v/>
          </cell>
          <cell r="B365">
            <v>1361</v>
          </cell>
          <cell r="D365" t="str">
            <v/>
          </cell>
          <cell r="F365" t="str">
            <v/>
          </cell>
          <cell r="J365">
            <v>0</v>
          </cell>
          <cell r="L365">
            <v>0</v>
          </cell>
          <cell r="M365">
            <v>0</v>
          </cell>
          <cell r="N365">
            <v>0</v>
          </cell>
          <cell r="O365" t="str">
            <v/>
          </cell>
          <cell r="S365" t="str">
            <v/>
          </cell>
          <cell r="T365" t="str">
            <v/>
          </cell>
        </row>
        <row r="366">
          <cell r="A366" t="str">
            <v/>
          </cell>
          <cell r="B366">
            <v>1362</v>
          </cell>
          <cell r="D366" t="str">
            <v/>
          </cell>
          <cell r="F366" t="str">
            <v/>
          </cell>
          <cell r="J366">
            <v>0</v>
          </cell>
          <cell r="L366">
            <v>0</v>
          </cell>
          <cell r="M366">
            <v>0</v>
          </cell>
          <cell r="N366">
            <v>0</v>
          </cell>
          <cell r="O366" t="str">
            <v/>
          </cell>
          <cell r="S366" t="str">
            <v/>
          </cell>
          <cell r="T366" t="str">
            <v/>
          </cell>
        </row>
        <row r="367">
          <cell r="A367" t="str">
            <v/>
          </cell>
          <cell r="B367">
            <v>1363</v>
          </cell>
          <cell r="D367" t="str">
            <v/>
          </cell>
          <cell r="F367" t="str">
            <v/>
          </cell>
          <cell r="J367">
            <v>0</v>
          </cell>
          <cell r="L367">
            <v>0</v>
          </cell>
          <cell r="M367">
            <v>0</v>
          </cell>
          <cell r="N367">
            <v>0</v>
          </cell>
          <cell r="O367" t="str">
            <v/>
          </cell>
          <cell r="S367" t="str">
            <v/>
          </cell>
          <cell r="T367" t="str">
            <v/>
          </cell>
        </row>
        <row r="368">
          <cell r="A368" t="str">
            <v/>
          </cell>
          <cell r="B368">
            <v>1364</v>
          </cell>
          <cell r="D368" t="str">
            <v/>
          </cell>
          <cell r="F368" t="str">
            <v/>
          </cell>
          <cell r="J368">
            <v>0</v>
          </cell>
          <cell r="L368">
            <v>0</v>
          </cell>
          <cell r="M368">
            <v>0</v>
          </cell>
          <cell r="N368">
            <v>0</v>
          </cell>
          <cell r="O368" t="str">
            <v/>
          </cell>
          <cell r="S368" t="str">
            <v/>
          </cell>
          <cell r="T368" t="str">
            <v/>
          </cell>
        </row>
        <row r="369">
          <cell r="A369" t="str">
            <v/>
          </cell>
          <cell r="B369">
            <v>1365</v>
          </cell>
          <cell r="D369" t="str">
            <v/>
          </cell>
          <cell r="F369" t="str">
            <v/>
          </cell>
          <cell r="J369">
            <v>0</v>
          </cell>
          <cell r="L369">
            <v>0</v>
          </cell>
          <cell r="M369">
            <v>0</v>
          </cell>
          <cell r="N369">
            <v>0</v>
          </cell>
          <cell r="O369" t="str">
            <v/>
          </cell>
          <cell r="S369" t="str">
            <v/>
          </cell>
          <cell r="T369" t="str">
            <v/>
          </cell>
        </row>
        <row r="370">
          <cell r="A370" t="str">
            <v/>
          </cell>
          <cell r="B370">
            <v>1366</v>
          </cell>
          <cell r="D370" t="str">
            <v/>
          </cell>
          <cell r="F370" t="str">
            <v/>
          </cell>
          <cell r="J370">
            <v>0</v>
          </cell>
          <cell r="L370">
            <v>0</v>
          </cell>
          <cell r="M370">
            <v>0</v>
          </cell>
          <cell r="N370">
            <v>0</v>
          </cell>
          <cell r="O370" t="str">
            <v/>
          </cell>
          <cell r="S370" t="str">
            <v/>
          </cell>
          <cell r="T370" t="str">
            <v/>
          </cell>
        </row>
        <row r="371">
          <cell r="A371" t="str">
            <v/>
          </cell>
          <cell r="B371">
            <v>1367</v>
          </cell>
          <cell r="D371" t="str">
            <v/>
          </cell>
          <cell r="F371" t="str">
            <v/>
          </cell>
          <cell r="J371">
            <v>0</v>
          </cell>
          <cell r="L371">
            <v>0</v>
          </cell>
          <cell r="M371">
            <v>0</v>
          </cell>
          <cell r="N371">
            <v>0</v>
          </cell>
          <cell r="O371" t="str">
            <v/>
          </cell>
          <cell r="S371" t="str">
            <v/>
          </cell>
          <cell r="T371" t="str">
            <v/>
          </cell>
        </row>
        <row r="372">
          <cell r="A372" t="str">
            <v/>
          </cell>
          <cell r="B372">
            <v>1368</v>
          </cell>
          <cell r="D372" t="str">
            <v/>
          </cell>
          <cell r="F372" t="str">
            <v/>
          </cell>
          <cell r="J372">
            <v>0</v>
          </cell>
          <cell r="L372">
            <v>0</v>
          </cell>
          <cell r="M372">
            <v>0</v>
          </cell>
          <cell r="N372">
            <v>0</v>
          </cell>
          <cell r="O372" t="str">
            <v/>
          </cell>
          <cell r="S372" t="str">
            <v/>
          </cell>
          <cell r="T372" t="str">
            <v/>
          </cell>
        </row>
        <row r="373">
          <cell r="A373" t="str">
            <v/>
          </cell>
          <cell r="B373">
            <v>1369</v>
          </cell>
          <cell r="D373" t="str">
            <v/>
          </cell>
          <cell r="F373" t="str">
            <v/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O373" t="str">
            <v/>
          </cell>
          <cell r="S373" t="str">
            <v/>
          </cell>
          <cell r="T373" t="str">
            <v/>
          </cell>
        </row>
        <row r="374">
          <cell r="A374" t="str">
            <v/>
          </cell>
          <cell r="B374">
            <v>1370</v>
          </cell>
          <cell r="D374" t="str">
            <v/>
          </cell>
          <cell r="F374" t="str">
            <v/>
          </cell>
          <cell r="J374">
            <v>0</v>
          </cell>
          <cell r="L374">
            <v>0</v>
          </cell>
          <cell r="M374">
            <v>0</v>
          </cell>
          <cell r="N374">
            <v>0</v>
          </cell>
          <cell r="O374" t="str">
            <v/>
          </cell>
          <cell r="S374" t="str">
            <v/>
          </cell>
          <cell r="T374" t="str">
            <v/>
          </cell>
        </row>
        <row r="375">
          <cell r="A375" t="str">
            <v/>
          </cell>
          <cell r="B375">
            <v>1371</v>
          </cell>
          <cell r="D375" t="str">
            <v/>
          </cell>
          <cell r="F375" t="str">
            <v/>
          </cell>
          <cell r="J375">
            <v>0</v>
          </cell>
          <cell r="L375">
            <v>0</v>
          </cell>
          <cell r="M375">
            <v>0</v>
          </cell>
          <cell r="N375">
            <v>0</v>
          </cell>
          <cell r="O375" t="str">
            <v/>
          </cell>
          <cell r="S375" t="str">
            <v/>
          </cell>
          <cell r="T375" t="str">
            <v/>
          </cell>
        </row>
        <row r="376">
          <cell r="A376" t="str">
            <v/>
          </cell>
          <cell r="B376">
            <v>1372</v>
          </cell>
          <cell r="D376" t="str">
            <v/>
          </cell>
          <cell r="F376" t="str">
            <v/>
          </cell>
          <cell r="J376">
            <v>0</v>
          </cell>
          <cell r="L376">
            <v>0</v>
          </cell>
          <cell r="M376">
            <v>0</v>
          </cell>
          <cell r="N376">
            <v>0</v>
          </cell>
          <cell r="O376" t="str">
            <v/>
          </cell>
          <cell r="S376" t="str">
            <v/>
          </cell>
          <cell r="T376" t="str">
            <v/>
          </cell>
        </row>
        <row r="377">
          <cell r="A377" t="str">
            <v/>
          </cell>
          <cell r="B377">
            <v>1373</v>
          </cell>
          <cell r="D377" t="str">
            <v/>
          </cell>
          <cell r="F377" t="str">
            <v/>
          </cell>
          <cell r="J377">
            <v>0</v>
          </cell>
          <cell r="L377">
            <v>0</v>
          </cell>
          <cell r="M377">
            <v>0</v>
          </cell>
          <cell r="N377">
            <v>0</v>
          </cell>
          <cell r="O377" t="str">
            <v/>
          </cell>
          <cell r="S377" t="str">
            <v/>
          </cell>
          <cell r="T377" t="str">
            <v/>
          </cell>
        </row>
        <row r="378">
          <cell r="A378" t="str">
            <v/>
          </cell>
          <cell r="B378">
            <v>1374</v>
          </cell>
          <cell r="D378" t="str">
            <v/>
          </cell>
          <cell r="F378" t="str">
            <v/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O378" t="str">
            <v/>
          </cell>
          <cell r="S378" t="str">
            <v/>
          </cell>
          <cell r="T378" t="str">
            <v/>
          </cell>
        </row>
        <row r="379">
          <cell r="A379" t="str">
            <v/>
          </cell>
          <cell r="B379">
            <v>1375</v>
          </cell>
          <cell r="D379" t="str">
            <v/>
          </cell>
          <cell r="F379" t="str">
            <v/>
          </cell>
          <cell r="J379">
            <v>0</v>
          </cell>
          <cell r="L379">
            <v>0</v>
          </cell>
          <cell r="M379">
            <v>0</v>
          </cell>
          <cell r="N379">
            <v>0</v>
          </cell>
          <cell r="O379" t="str">
            <v/>
          </cell>
          <cell r="S379" t="str">
            <v/>
          </cell>
          <cell r="T379" t="str">
            <v/>
          </cell>
        </row>
        <row r="380">
          <cell r="A380" t="str">
            <v/>
          </cell>
          <cell r="B380">
            <v>1376</v>
          </cell>
          <cell r="D380" t="str">
            <v/>
          </cell>
          <cell r="F380" t="str">
            <v/>
          </cell>
          <cell r="J380">
            <v>0</v>
          </cell>
          <cell r="L380">
            <v>0</v>
          </cell>
          <cell r="M380">
            <v>0</v>
          </cell>
          <cell r="N380">
            <v>0</v>
          </cell>
          <cell r="O380" t="str">
            <v/>
          </cell>
          <cell r="S380" t="str">
            <v/>
          </cell>
          <cell r="T380" t="str">
            <v/>
          </cell>
        </row>
        <row r="381">
          <cell r="A381" t="str">
            <v/>
          </cell>
          <cell r="B381">
            <v>1377</v>
          </cell>
          <cell r="D381" t="str">
            <v/>
          </cell>
          <cell r="F381" t="str">
            <v/>
          </cell>
          <cell r="J381">
            <v>0</v>
          </cell>
          <cell r="L381">
            <v>0</v>
          </cell>
          <cell r="M381">
            <v>0</v>
          </cell>
          <cell r="N381">
            <v>0</v>
          </cell>
          <cell r="O381" t="str">
            <v/>
          </cell>
          <cell r="S381" t="str">
            <v/>
          </cell>
          <cell r="T381" t="str">
            <v/>
          </cell>
        </row>
        <row r="382">
          <cell r="A382" t="str">
            <v/>
          </cell>
          <cell r="B382">
            <v>1378</v>
          </cell>
          <cell r="D382" t="str">
            <v/>
          </cell>
          <cell r="F382" t="str">
            <v/>
          </cell>
          <cell r="J382">
            <v>0</v>
          </cell>
          <cell r="L382">
            <v>0</v>
          </cell>
          <cell r="M382">
            <v>0</v>
          </cell>
          <cell r="N382">
            <v>0</v>
          </cell>
          <cell r="O382" t="str">
            <v/>
          </cell>
          <cell r="S382" t="str">
            <v/>
          </cell>
          <cell r="T382" t="str">
            <v/>
          </cell>
        </row>
        <row r="383">
          <cell r="A383" t="str">
            <v/>
          </cell>
          <cell r="B383">
            <v>1379</v>
          </cell>
          <cell r="D383" t="str">
            <v/>
          </cell>
          <cell r="F383" t="str">
            <v/>
          </cell>
          <cell r="J383">
            <v>0</v>
          </cell>
          <cell r="L383">
            <v>0</v>
          </cell>
          <cell r="M383">
            <v>0</v>
          </cell>
          <cell r="N383">
            <v>0</v>
          </cell>
          <cell r="O383" t="str">
            <v/>
          </cell>
          <cell r="S383" t="str">
            <v/>
          </cell>
          <cell r="T383" t="str">
            <v/>
          </cell>
        </row>
        <row r="384">
          <cell r="A384" t="str">
            <v/>
          </cell>
          <cell r="B384">
            <v>1380</v>
          </cell>
          <cell r="D384" t="str">
            <v/>
          </cell>
          <cell r="F384" t="str">
            <v/>
          </cell>
          <cell r="J384">
            <v>0</v>
          </cell>
          <cell r="L384">
            <v>0</v>
          </cell>
          <cell r="M384">
            <v>0</v>
          </cell>
          <cell r="N384">
            <v>0</v>
          </cell>
          <cell r="O384" t="str">
            <v/>
          </cell>
          <cell r="S384" t="str">
            <v/>
          </cell>
          <cell r="T384" t="str">
            <v/>
          </cell>
        </row>
        <row r="385">
          <cell r="A385" t="str">
            <v/>
          </cell>
          <cell r="B385">
            <v>1381</v>
          </cell>
          <cell r="D385" t="str">
            <v/>
          </cell>
          <cell r="F385" t="str">
            <v/>
          </cell>
          <cell r="J385">
            <v>0</v>
          </cell>
          <cell r="L385">
            <v>0</v>
          </cell>
          <cell r="M385">
            <v>0</v>
          </cell>
          <cell r="N385">
            <v>0</v>
          </cell>
          <cell r="O385" t="str">
            <v/>
          </cell>
          <cell r="S385" t="str">
            <v/>
          </cell>
          <cell r="T385" t="str">
            <v/>
          </cell>
        </row>
        <row r="386">
          <cell r="A386" t="str">
            <v/>
          </cell>
          <cell r="B386">
            <v>1382</v>
          </cell>
          <cell r="D386" t="str">
            <v/>
          </cell>
          <cell r="F386" t="str">
            <v/>
          </cell>
          <cell r="J386">
            <v>0</v>
          </cell>
          <cell r="L386">
            <v>0</v>
          </cell>
          <cell r="M386">
            <v>0</v>
          </cell>
          <cell r="N386">
            <v>0</v>
          </cell>
          <cell r="O386" t="str">
            <v/>
          </cell>
          <cell r="S386" t="str">
            <v/>
          </cell>
          <cell r="T386" t="str">
            <v/>
          </cell>
        </row>
        <row r="387">
          <cell r="A387" t="str">
            <v/>
          </cell>
          <cell r="B387">
            <v>1383</v>
          </cell>
          <cell r="D387" t="str">
            <v/>
          </cell>
          <cell r="F387" t="str">
            <v/>
          </cell>
          <cell r="J387">
            <v>0</v>
          </cell>
          <cell r="L387">
            <v>0</v>
          </cell>
          <cell r="M387">
            <v>0</v>
          </cell>
          <cell r="N387">
            <v>0</v>
          </cell>
          <cell r="O387" t="str">
            <v/>
          </cell>
          <cell r="S387" t="str">
            <v/>
          </cell>
          <cell r="T387" t="str">
            <v/>
          </cell>
        </row>
        <row r="388">
          <cell r="A388" t="str">
            <v/>
          </cell>
          <cell r="B388">
            <v>1384</v>
          </cell>
          <cell r="D388" t="str">
            <v/>
          </cell>
          <cell r="F388" t="str">
            <v/>
          </cell>
          <cell r="J388">
            <v>0</v>
          </cell>
          <cell r="L388">
            <v>0</v>
          </cell>
          <cell r="M388">
            <v>0</v>
          </cell>
          <cell r="N388">
            <v>0</v>
          </cell>
          <cell r="O388" t="str">
            <v/>
          </cell>
          <cell r="S388" t="str">
            <v/>
          </cell>
          <cell r="T388" t="str">
            <v/>
          </cell>
        </row>
        <row r="389">
          <cell r="A389" t="str">
            <v/>
          </cell>
          <cell r="B389">
            <v>1385</v>
          </cell>
          <cell r="D389" t="str">
            <v/>
          </cell>
          <cell r="F389" t="str">
            <v/>
          </cell>
          <cell r="J389">
            <v>0</v>
          </cell>
          <cell r="L389">
            <v>0</v>
          </cell>
          <cell r="M389">
            <v>0</v>
          </cell>
          <cell r="N389">
            <v>0</v>
          </cell>
          <cell r="O389" t="str">
            <v/>
          </cell>
          <cell r="S389" t="str">
            <v/>
          </cell>
          <cell r="T389" t="str">
            <v/>
          </cell>
        </row>
        <row r="390">
          <cell r="A390" t="str">
            <v/>
          </cell>
          <cell r="B390">
            <v>1386</v>
          </cell>
          <cell r="D390" t="str">
            <v/>
          </cell>
          <cell r="F390" t="str">
            <v/>
          </cell>
          <cell r="J390">
            <v>0</v>
          </cell>
          <cell r="L390">
            <v>0</v>
          </cell>
          <cell r="M390">
            <v>0</v>
          </cell>
          <cell r="N390">
            <v>0</v>
          </cell>
          <cell r="O390" t="str">
            <v/>
          </cell>
          <cell r="S390" t="str">
            <v/>
          </cell>
          <cell r="T390" t="str">
            <v/>
          </cell>
        </row>
        <row r="391">
          <cell r="A391" t="str">
            <v/>
          </cell>
          <cell r="B391">
            <v>1387</v>
          </cell>
          <cell r="D391" t="str">
            <v/>
          </cell>
          <cell r="F391" t="str">
            <v/>
          </cell>
          <cell r="J391">
            <v>0</v>
          </cell>
          <cell r="L391">
            <v>0</v>
          </cell>
          <cell r="M391">
            <v>0</v>
          </cell>
          <cell r="N391">
            <v>0</v>
          </cell>
          <cell r="O391" t="str">
            <v/>
          </cell>
          <cell r="S391" t="str">
            <v/>
          </cell>
          <cell r="T391" t="str">
            <v/>
          </cell>
        </row>
        <row r="392">
          <cell r="A392" t="str">
            <v/>
          </cell>
          <cell r="B392">
            <v>1388</v>
          </cell>
          <cell r="D392" t="str">
            <v/>
          </cell>
          <cell r="F392" t="str">
            <v/>
          </cell>
          <cell r="J392">
            <v>0</v>
          </cell>
          <cell r="L392">
            <v>0</v>
          </cell>
          <cell r="M392">
            <v>0</v>
          </cell>
          <cell r="N392">
            <v>0</v>
          </cell>
          <cell r="O392" t="str">
            <v/>
          </cell>
          <cell r="S392" t="str">
            <v/>
          </cell>
          <cell r="T392" t="str">
            <v/>
          </cell>
        </row>
        <row r="393">
          <cell r="A393" t="str">
            <v/>
          </cell>
          <cell r="B393">
            <v>1389</v>
          </cell>
          <cell r="D393" t="str">
            <v/>
          </cell>
          <cell r="F393" t="str">
            <v/>
          </cell>
          <cell r="J393">
            <v>0</v>
          </cell>
          <cell r="L393">
            <v>0</v>
          </cell>
          <cell r="M393">
            <v>0</v>
          </cell>
          <cell r="N393">
            <v>0</v>
          </cell>
          <cell r="O393" t="str">
            <v/>
          </cell>
          <cell r="S393" t="str">
            <v/>
          </cell>
          <cell r="T393" t="str">
            <v/>
          </cell>
        </row>
        <row r="394">
          <cell r="A394" t="str">
            <v/>
          </cell>
          <cell r="B394">
            <v>1390</v>
          </cell>
          <cell r="D394" t="str">
            <v/>
          </cell>
          <cell r="F394" t="str">
            <v/>
          </cell>
          <cell r="J394">
            <v>0</v>
          </cell>
          <cell r="L394">
            <v>0</v>
          </cell>
          <cell r="M394">
            <v>0</v>
          </cell>
          <cell r="N394">
            <v>0</v>
          </cell>
          <cell r="O394" t="str">
            <v/>
          </cell>
          <cell r="S394" t="str">
            <v/>
          </cell>
          <cell r="T394" t="str">
            <v/>
          </cell>
        </row>
        <row r="395">
          <cell r="A395" t="str">
            <v/>
          </cell>
          <cell r="B395">
            <v>1391</v>
          </cell>
          <cell r="D395" t="str">
            <v/>
          </cell>
          <cell r="F395" t="str">
            <v/>
          </cell>
          <cell r="J395">
            <v>0</v>
          </cell>
          <cell r="L395">
            <v>0</v>
          </cell>
          <cell r="M395">
            <v>0</v>
          </cell>
          <cell r="N395">
            <v>0</v>
          </cell>
          <cell r="O395" t="str">
            <v/>
          </cell>
          <cell r="S395" t="str">
            <v/>
          </cell>
          <cell r="T395" t="str">
            <v/>
          </cell>
        </row>
        <row r="396">
          <cell r="A396" t="str">
            <v/>
          </cell>
          <cell r="B396">
            <v>1392</v>
          </cell>
          <cell r="D396" t="str">
            <v/>
          </cell>
          <cell r="F396" t="str">
            <v/>
          </cell>
          <cell r="J396">
            <v>0</v>
          </cell>
          <cell r="L396">
            <v>0</v>
          </cell>
          <cell r="M396">
            <v>0</v>
          </cell>
          <cell r="N396">
            <v>0</v>
          </cell>
          <cell r="O396" t="str">
            <v/>
          </cell>
          <cell r="S396" t="str">
            <v/>
          </cell>
          <cell r="T396" t="str">
            <v/>
          </cell>
        </row>
        <row r="397">
          <cell r="A397" t="str">
            <v/>
          </cell>
          <cell r="B397">
            <v>1393</v>
          </cell>
          <cell r="D397" t="str">
            <v/>
          </cell>
          <cell r="F397" t="str">
            <v/>
          </cell>
          <cell r="J397">
            <v>0</v>
          </cell>
          <cell r="L397">
            <v>0</v>
          </cell>
          <cell r="M397">
            <v>0</v>
          </cell>
          <cell r="N397">
            <v>0</v>
          </cell>
          <cell r="O397" t="str">
            <v/>
          </cell>
          <cell r="S397" t="str">
            <v/>
          </cell>
          <cell r="T397" t="str">
            <v/>
          </cell>
        </row>
        <row r="398">
          <cell r="A398" t="str">
            <v/>
          </cell>
          <cell r="B398">
            <v>1394</v>
          </cell>
          <cell r="D398" t="str">
            <v/>
          </cell>
          <cell r="F398" t="str">
            <v/>
          </cell>
          <cell r="J398">
            <v>0</v>
          </cell>
          <cell r="L398">
            <v>0</v>
          </cell>
          <cell r="M398">
            <v>0</v>
          </cell>
          <cell r="N398">
            <v>0</v>
          </cell>
          <cell r="O398" t="str">
            <v/>
          </cell>
          <cell r="S398" t="str">
            <v/>
          </cell>
          <cell r="T398" t="str">
            <v/>
          </cell>
        </row>
        <row r="399">
          <cell r="A399" t="str">
            <v/>
          </cell>
          <cell r="B399">
            <v>1395</v>
          </cell>
          <cell r="D399" t="str">
            <v/>
          </cell>
          <cell r="F399" t="str">
            <v/>
          </cell>
          <cell r="J399">
            <v>0</v>
          </cell>
          <cell r="L399">
            <v>0</v>
          </cell>
          <cell r="M399">
            <v>0</v>
          </cell>
          <cell r="N399">
            <v>0</v>
          </cell>
          <cell r="O399" t="str">
            <v/>
          </cell>
          <cell r="S399" t="str">
            <v/>
          </cell>
          <cell r="T399" t="str">
            <v/>
          </cell>
        </row>
        <row r="400">
          <cell r="A400" t="str">
            <v/>
          </cell>
          <cell r="B400">
            <v>1396</v>
          </cell>
          <cell r="D400" t="str">
            <v/>
          </cell>
          <cell r="F400" t="str">
            <v/>
          </cell>
          <cell r="J400">
            <v>0</v>
          </cell>
          <cell r="L400">
            <v>0</v>
          </cell>
          <cell r="M400">
            <v>0</v>
          </cell>
          <cell r="N400">
            <v>0</v>
          </cell>
          <cell r="O400" t="str">
            <v/>
          </cell>
          <cell r="S400" t="str">
            <v/>
          </cell>
          <cell r="T400" t="str">
            <v/>
          </cell>
        </row>
        <row r="401">
          <cell r="A401" t="str">
            <v/>
          </cell>
          <cell r="B401">
            <v>1397</v>
          </cell>
          <cell r="D401" t="str">
            <v/>
          </cell>
          <cell r="F401" t="str">
            <v/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  <cell r="O401" t="str">
            <v/>
          </cell>
          <cell r="S401" t="str">
            <v/>
          </cell>
          <cell r="T401" t="str">
            <v/>
          </cell>
        </row>
        <row r="402">
          <cell r="A402" t="str">
            <v/>
          </cell>
          <cell r="B402">
            <v>1398</v>
          </cell>
          <cell r="D402" t="str">
            <v/>
          </cell>
          <cell r="F402" t="str">
            <v/>
          </cell>
          <cell r="J402">
            <v>0</v>
          </cell>
          <cell r="L402">
            <v>0</v>
          </cell>
          <cell r="M402">
            <v>0</v>
          </cell>
          <cell r="N402">
            <v>0</v>
          </cell>
          <cell r="O402" t="str">
            <v/>
          </cell>
          <cell r="S402" t="str">
            <v/>
          </cell>
          <cell r="T402" t="str">
            <v/>
          </cell>
        </row>
        <row r="403">
          <cell r="A403" t="str">
            <v/>
          </cell>
          <cell r="B403">
            <v>1399</v>
          </cell>
          <cell r="D403" t="str">
            <v/>
          </cell>
          <cell r="F403" t="str">
            <v/>
          </cell>
          <cell r="J403">
            <v>0</v>
          </cell>
          <cell r="L403">
            <v>0</v>
          </cell>
          <cell r="M403">
            <v>0</v>
          </cell>
          <cell r="N403">
            <v>0</v>
          </cell>
          <cell r="O403" t="str">
            <v/>
          </cell>
          <cell r="S403" t="str">
            <v/>
          </cell>
          <cell r="T403" t="str">
            <v/>
          </cell>
        </row>
        <row r="404">
          <cell r="A404" t="str">
            <v/>
          </cell>
          <cell r="B404">
            <v>1400</v>
          </cell>
          <cell r="D404" t="str">
            <v/>
          </cell>
          <cell r="F404" t="str">
            <v/>
          </cell>
          <cell r="J404">
            <v>0</v>
          </cell>
          <cell r="L404">
            <v>0</v>
          </cell>
          <cell r="M404">
            <v>0</v>
          </cell>
          <cell r="N404">
            <v>0</v>
          </cell>
          <cell r="O404" t="str">
            <v/>
          </cell>
          <cell r="S404" t="str">
            <v/>
          </cell>
          <cell r="T404" t="str">
            <v/>
          </cell>
        </row>
        <row r="405">
          <cell r="A405" t="str">
            <v/>
          </cell>
          <cell r="B405">
            <v>1401</v>
          </cell>
          <cell r="D405" t="str">
            <v/>
          </cell>
          <cell r="F405" t="str">
            <v/>
          </cell>
          <cell r="J405">
            <v>0</v>
          </cell>
          <cell r="L405">
            <v>0</v>
          </cell>
          <cell r="M405">
            <v>0</v>
          </cell>
          <cell r="N405">
            <v>0</v>
          </cell>
          <cell r="O405" t="str">
            <v/>
          </cell>
          <cell r="S405" t="str">
            <v/>
          </cell>
          <cell r="T405" t="str">
            <v/>
          </cell>
        </row>
        <row r="406">
          <cell r="A406" t="str">
            <v/>
          </cell>
          <cell r="B406">
            <v>1402</v>
          </cell>
          <cell r="D406" t="str">
            <v/>
          </cell>
          <cell r="F406" t="str">
            <v/>
          </cell>
          <cell r="J406">
            <v>0</v>
          </cell>
          <cell r="L406">
            <v>0</v>
          </cell>
          <cell r="M406">
            <v>0</v>
          </cell>
          <cell r="N406">
            <v>0</v>
          </cell>
          <cell r="O406" t="str">
            <v/>
          </cell>
          <cell r="S406" t="str">
            <v/>
          </cell>
          <cell r="T406" t="str">
            <v/>
          </cell>
        </row>
        <row r="407">
          <cell r="A407" t="str">
            <v/>
          </cell>
          <cell r="B407">
            <v>1403</v>
          </cell>
          <cell r="D407" t="str">
            <v/>
          </cell>
          <cell r="F407" t="str">
            <v/>
          </cell>
          <cell r="J407">
            <v>0</v>
          </cell>
          <cell r="L407">
            <v>0</v>
          </cell>
          <cell r="M407">
            <v>0</v>
          </cell>
          <cell r="N407">
            <v>0</v>
          </cell>
          <cell r="O407" t="str">
            <v/>
          </cell>
          <cell r="S407" t="str">
            <v/>
          </cell>
          <cell r="T407" t="str">
            <v/>
          </cell>
        </row>
        <row r="408">
          <cell r="A408" t="str">
            <v/>
          </cell>
          <cell r="B408">
            <v>1404</v>
          </cell>
          <cell r="D408" t="str">
            <v/>
          </cell>
          <cell r="F408" t="str">
            <v/>
          </cell>
          <cell r="J408">
            <v>0</v>
          </cell>
          <cell r="L408">
            <v>0</v>
          </cell>
          <cell r="M408">
            <v>0</v>
          </cell>
          <cell r="N408">
            <v>0</v>
          </cell>
          <cell r="O408" t="str">
            <v/>
          </cell>
          <cell r="S408" t="str">
            <v/>
          </cell>
          <cell r="T408" t="str">
            <v/>
          </cell>
        </row>
        <row r="409">
          <cell r="A409" t="str">
            <v/>
          </cell>
          <cell r="B409">
            <v>1405</v>
          </cell>
          <cell r="D409" t="str">
            <v/>
          </cell>
          <cell r="F409" t="str">
            <v/>
          </cell>
          <cell r="J409">
            <v>0</v>
          </cell>
          <cell r="L409">
            <v>0</v>
          </cell>
          <cell r="M409">
            <v>0</v>
          </cell>
          <cell r="N409">
            <v>0</v>
          </cell>
          <cell r="O409" t="str">
            <v/>
          </cell>
          <cell r="S409" t="str">
            <v/>
          </cell>
          <cell r="T409" t="str">
            <v/>
          </cell>
        </row>
        <row r="410">
          <cell r="A410" t="str">
            <v/>
          </cell>
          <cell r="B410">
            <v>1406</v>
          </cell>
          <cell r="D410" t="str">
            <v/>
          </cell>
          <cell r="F410" t="str">
            <v/>
          </cell>
          <cell r="J410">
            <v>0</v>
          </cell>
          <cell r="L410">
            <v>0</v>
          </cell>
          <cell r="M410">
            <v>0</v>
          </cell>
          <cell r="N410">
            <v>0</v>
          </cell>
          <cell r="O410" t="str">
            <v/>
          </cell>
          <cell r="S410" t="str">
            <v/>
          </cell>
          <cell r="T410" t="str">
            <v/>
          </cell>
        </row>
        <row r="411">
          <cell r="A411" t="str">
            <v/>
          </cell>
          <cell r="B411">
            <v>1407</v>
          </cell>
          <cell r="D411" t="str">
            <v/>
          </cell>
          <cell r="F411" t="str">
            <v/>
          </cell>
          <cell r="J411">
            <v>0</v>
          </cell>
          <cell r="L411">
            <v>0</v>
          </cell>
          <cell r="M411">
            <v>0</v>
          </cell>
          <cell r="N411">
            <v>0</v>
          </cell>
          <cell r="O411" t="str">
            <v/>
          </cell>
          <cell r="S411" t="str">
            <v/>
          </cell>
          <cell r="T411" t="str">
            <v/>
          </cell>
        </row>
        <row r="412">
          <cell r="A412" t="str">
            <v/>
          </cell>
          <cell r="B412">
            <v>1408</v>
          </cell>
          <cell r="D412" t="str">
            <v/>
          </cell>
          <cell r="F412" t="str">
            <v/>
          </cell>
          <cell r="J412">
            <v>0</v>
          </cell>
          <cell r="L412">
            <v>0</v>
          </cell>
          <cell r="M412">
            <v>0</v>
          </cell>
          <cell r="N412">
            <v>0</v>
          </cell>
          <cell r="O412" t="str">
            <v/>
          </cell>
          <cell r="S412" t="str">
            <v/>
          </cell>
          <cell r="T412" t="str">
            <v/>
          </cell>
        </row>
        <row r="413">
          <cell r="A413" t="str">
            <v/>
          </cell>
          <cell r="B413">
            <v>1409</v>
          </cell>
          <cell r="D413" t="str">
            <v/>
          </cell>
          <cell r="F413" t="str">
            <v/>
          </cell>
          <cell r="J413">
            <v>0</v>
          </cell>
          <cell r="L413">
            <v>0</v>
          </cell>
          <cell r="M413">
            <v>0</v>
          </cell>
          <cell r="N413">
            <v>0</v>
          </cell>
          <cell r="O413" t="str">
            <v/>
          </cell>
          <cell r="S413" t="str">
            <v/>
          </cell>
          <cell r="T413" t="str">
            <v/>
          </cell>
        </row>
        <row r="414">
          <cell r="A414" t="str">
            <v/>
          </cell>
          <cell r="B414">
            <v>1410</v>
          </cell>
          <cell r="D414" t="str">
            <v/>
          </cell>
          <cell r="F414" t="str">
            <v/>
          </cell>
          <cell r="J414">
            <v>0</v>
          </cell>
          <cell r="L414">
            <v>0</v>
          </cell>
          <cell r="M414">
            <v>0</v>
          </cell>
          <cell r="N414">
            <v>0</v>
          </cell>
          <cell r="O414" t="str">
            <v/>
          </cell>
          <cell r="S414" t="str">
            <v/>
          </cell>
          <cell r="T414" t="str">
            <v/>
          </cell>
        </row>
        <row r="415">
          <cell r="A415" t="str">
            <v/>
          </cell>
          <cell r="B415">
            <v>1411</v>
          </cell>
          <cell r="D415" t="str">
            <v/>
          </cell>
          <cell r="F415" t="str">
            <v/>
          </cell>
          <cell r="J415">
            <v>0</v>
          </cell>
          <cell r="L415">
            <v>0</v>
          </cell>
          <cell r="M415">
            <v>0</v>
          </cell>
          <cell r="N415">
            <v>0</v>
          </cell>
          <cell r="O415" t="str">
            <v/>
          </cell>
          <cell r="S415" t="str">
            <v/>
          </cell>
          <cell r="T415" t="str">
            <v/>
          </cell>
        </row>
        <row r="416">
          <cell r="A416" t="str">
            <v/>
          </cell>
          <cell r="B416">
            <v>1412</v>
          </cell>
          <cell r="D416" t="str">
            <v/>
          </cell>
          <cell r="F416" t="str">
            <v/>
          </cell>
          <cell r="J416">
            <v>0</v>
          </cell>
          <cell r="L416">
            <v>0</v>
          </cell>
          <cell r="M416">
            <v>0</v>
          </cell>
          <cell r="N416">
            <v>0</v>
          </cell>
          <cell r="O416" t="str">
            <v/>
          </cell>
          <cell r="S416" t="str">
            <v/>
          </cell>
          <cell r="T416" t="str">
            <v/>
          </cell>
        </row>
        <row r="417">
          <cell r="A417" t="str">
            <v/>
          </cell>
          <cell r="B417">
            <v>1413</v>
          </cell>
          <cell r="D417" t="str">
            <v/>
          </cell>
          <cell r="F417" t="str">
            <v/>
          </cell>
          <cell r="J417">
            <v>0</v>
          </cell>
          <cell r="L417">
            <v>0</v>
          </cell>
          <cell r="M417">
            <v>0</v>
          </cell>
          <cell r="N417">
            <v>0</v>
          </cell>
          <cell r="O417" t="str">
            <v/>
          </cell>
          <cell r="S417" t="str">
            <v/>
          </cell>
          <cell r="T417" t="str">
            <v/>
          </cell>
        </row>
        <row r="418">
          <cell r="A418" t="str">
            <v/>
          </cell>
          <cell r="B418">
            <v>1414</v>
          </cell>
          <cell r="D418" t="str">
            <v/>
          </cell>
          <cell r="F418" t="str">
            <v/>
          </cell>
          <cell r="J418">
            <v>0</v>
          </cell>
          <cell r="L418">
            <v>0</v>
          </cell>
          <cell r="M418">
            <v>0</v>
          </cell>
          <cell r="N418">
            <v>0</v>
          </cell>
          <cell r="O418" t="str">
            <v/>
          </cell>
          <cell r="S418" t="str">
            <v/>
          </cell>
          <cell r="T418" t="str">
            <v/>
          </cell>
        </row>
        <row r="419">
          <cell r="A419" t="str">
            <v/>
          </cell>
          <cell r="B419">
            <v>1415</v>
          </cell>
          <cell r="D419" t="str">
            <v/>
          </cell>
          <cell r="F419" t="str">
            <v/>
          </cell>
          <cell r="J419">
            <v>0</v>
          </cell>
          <cell r="L419">
            <v>0</v>
          </cell>
          <cell r="M419">
            <v>0</v>
          </cell>
          <cell r="N419">
            <v>0</v>
          </cell>
          <cell r="O419" t="str">
            <v/>
          </cell>
          <cell r="S419" t="str">
            <v/>
          </cell>
          <cell r="T419" t="str">
            <v/>
          </cell>
        </row>
        <row r="420">
          <cell r="A420" t="str">
            <v/>
          </cell>
          <cell r="B420">
            <v>1416</v>
          </cell>
          <cell r="D420" t="str">
            <v/>
          </cell>
          <cell r="F420" t="str">
            <v/>
          </cell>
          <cell r="J420">
            <v>0</v>
          </cell>
          <cell r="L420">
            <v>0</v>
          </cell>
          <cell r="M420">
            <v>0</v>
          </cell>
          <cell r="N420">
            <v>0</v>
          </cell>
          <cell r="O420" t="str">
            <v/>
          </cell>
          <cell r="S420" t="str">
            <v/>
          </cell>
          <cell r="T420" t="str">
            <v/>
          </cell>
        </row>
        <row r="421">
          <cell r="A421" t="str">
            <v/>
          </cell>
          <cell r="B421">
            <v>1417</v>
          </cell>
          <cell r="D421" t="str">
            <v/>
          </cell>
          <cell r="F421" t="str">
            <v/>
          </cell>
          <cell r="J421">
            <v>0</v>
          </cell>
          <cell r="L421">
            <v>0</v>
          </cell>
          <cell r="M421">
            <v>0</v>
          </cell>
          <cell r="N421">
            <v>0</v>
          </cell>
          <cell r="O421" t="str">
            <v/>
          </cell>
          <cell r="S421" t="str">
            <v/>
          </cell>
          <cell r="T421" t="str">
            <v/>
          </cell>
        </row>
        <row r="422">
          <cell r="A422" t="str">
            <v/>
          </cell>
          <cell r="B422">
            <v>1418</v>
          </cell>
          <cell r="D422" t="str">
            <v/>
          </cell>
          <cell r="F422" t="str">
            <v/>
          </cell>
          <cell r="J422">
            <v>0</v>
          </cell>
          <cell r="L422">
            <v>0</v>
          </cell>
          <cell r="M422">
            <v>0</v>
          </cell>
          <cell r="N422">
            <v>0</v>
          </cell>
          <cell r="O422" t="str">
            <v/>
          </cell>
          <cell r="S422" t="str">
            <v/>
          </cell>
          <cell r="T422" t="str">
            <v/>
          </cell>
        </row>
        <row r="423">
          <cell r="A423" t="str">
            <v/>
          </cell>
          <cell r="B423">
            <v>1419</v>
          </cell>
          <cell r="D423" t="str">
            <v/>
          </cell>
          <cell r="F423" t="str">
            <v/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  <cell r="O423" t="str">
            <v/>
          </cell>
          <cell r="S423" t="str">
            <v/>
          </cell>
          <cell r="T423" t="str">
            <v/>
          </cell>
        </row>
        <row r="424">
          <cell r="A424" t="str">
            <v/>
          </cell>
          <cell r="B424">
            <v>1420</v>
          </cell>
          <cell r="D424" t="str">
            <v/>
          </cell>
          <cell r="F424" t="str">
            <v/>
          </cell>
          <cell r="J424">
            <v>0</v>
          </cell>
          <cell r="L424">
            <v>0</v>
          </cell>
          <cell r="M424">
            <v>0</v>
          </cell>
          <cell r="N424">
            <v>0</v>
          </cell>
          <cell r="O424" t="str">
            <v/>
          </cell>
          <cell r="S424" t="str">
            <v/>
          </cell>
          <cell r="T424" t="str">
            <v/>
          </cell>
        </row>
        <row r="425">
          <cell r="A425" t="str">
            <v/>
          </cell>
          <cell r="B425">
            <v>1421</v>
          </cell>
          <cell r="D425" t="str">
            <v/>
          </cell>
          <cell r="F425" t="str">
            <v/>
          </cell>
          <cell r="J425">
            <v>0</v>
          </cell>
          <cell r="L425">
            <v>0</v>
          </cell>
          <cell r="M425">
            <v>0</v>
          </cell>
          <cell r="N425">
            <v>0</v>
          </cell>
          <cell r="O425" t="str">
            <v/>
          </cell>
          <cell r="S425" t="str">
            <v/>
          </cell>
          <cell r="T425" t="str">
            <v/>
          </cell>
        </row>
        <row r="426">
          <cell r="A426" t="str">
            <v/>
          </cell>
          <cell r="B426">
            <v>1422</v>
          </cell>
          <cell r="D426" t="str">
            <v/>
          </cell>
          <cell r="F426" t="str">
            <v/>
          </cell>
          <cell r="J426">
            <v>0</v>
          </cell>
          <cell r="L426">
            <v>0</v>
          </cell>
          <cell r="M426">
            <v>0</v>
          </cell>
          <cell r="N426">
            <v>0</v>
          </cell>
          <cell r="O426" t="str">
            <v/>
          </cell>
          <cell r="S426" t="str">
            <v/>
          </cell>
          <cell r="T426" t="str">
            <v/>
          </cell>
        </row>
        <row r="427">
          <cell r="A427" t="str">
            <v/>
          </cell>
          <cell r="B427">
            <v>1423</v>
          </cell>
          <cell r="D427" t="str">
            <v/>
          </cell>
          <cell r="F427" t="str">
            <v/>
          </cell>
          <cell r="J427">
            <v>0</v>
          </cell>
          <cell r="L427">
            <v>0</v>
          </cell>
          <cell r="M427">
            <v>0</v>
          </cell>
          <cell r="N427">
            <v>0</v>
          </cell>
          <cell r="O427" t="str">
            <v/>
          </cell>
          <cell r="S427" t="str">
            <v/>
          </cell>
          <cell r="T427" t="str">
            <v/>
          </cell>
        </row>
        <row r="428">
          <cell r="A428" t="str">
            <v/>
          </cell>
          <cell r="B428">
            <v>1424</v>
          </cell>
          <cell r="D428" t="str">
            <v/>
          </cell>
          <cell r="F428" t="str">
            <v/>
          </cell>
          <cell r="J428">
            <v>0</v>
          </cell>
          <cell r="L428">
            <v>0</v>
          </cell>
          <cell r="M428">
            <v>0</v>
          </cell>
          <cell r="N428">
            <v>0</v>
          </cell>
          <cell r="O428" t="str">
            <v/>
          </cell>
          <cell r="S428" t="str">
            <v/>
          </cell>
          <cell r="T428" t="str">
            <v/>
          </cell>
        </row>
        <row r="429">
          <cell r="A429" t="str">
            <v/>
          </cell>
          <cell r="B429">
            <v>1425</v>
          </cell>
          <cell r="D429" t="str">
            <v/>
          </cell>
          <cell r="F429" t="str">
            <v/>
          </cell>
          <cell r="J429">
            <v>0</v>
          </cell>
          <cell r="L429">
            <v>0</v>
          </cell>
          <cell r="M429">
            <v>0</v>
          </cell>
          <cell r="N429">
            <v>0</v>
          </cell>
          <cell r="O429" t="str">
            <v/>
          </cell>
          <cell r="S429" t="str">
            <v/>
          </cell>
          <cell r="T429" t="str">
            <v/>
          </cell>
        </row>
        <row r="430">
          <cell r="A430" t="str">
            <v/>
          </cell>
          <cell r="B430">
            <v>1426</v>
          </cell>
          <cell r="D430" t="str">
            <v/>
          </cell>
          <cell r="F430" t="str">
            <v/>
          </cell>
          <cell r="J430">
            <v>0</v>
          </cell>
          <cell r="L430">
            <v>0</v>
          </cell>
          <cell r="M430">
            <v>0</v>
          </cell>
          <cell r="N430">
            <v>0</v>
          </cell>
          <cell r="O430" t="str">
            <v/>
          </cell>
          <cell r="S430" t="str">
            <v/>
          </cell>
          <cell r="T430" t="str">
            <v/>
          </cell>
        </row>
        <row r="431">
          <cell r="A431" t="str">
            <v/>
          </cell>
          <cell r="B431">
            <v>1427</v>
          </cell>
          <cell r="D431" t="str">
            <v/>
          </cell>
          <cell r="F431" t="str">
            <v/>
          </cell>
          <cell r="J431">
            <v>0</v>
          </cell>
          <cell r="L431">
            <v>0</v>
          </cell>
          <cell r="M431">
            <v>0</v>
          </cell>
          <cell r="N431">
            <v>0</v>
          </cell>
          <cell r="O431" t="str">
            <v/>
          </cell>
          <cell r="S431" t="str">
            <v/>
          </cell>
          <cell r="T431" t="str">
            <v/>
          </cell>
        </row>
        <row r="432">
          <cell r="A432" t="str">
            <v/>
          </cell>
          <cell r="B432">
            <v>1428</v>
          </cell>
          <cell r="D432" t="str">
            <v/>
          </cell>
          <cell r="F432" t="str">
            <v/>
          </cell>
          <cell r="J432">
            <v>0</v>
          </cell>
          <cell r="L432">
            <v>0</v>
          </cell>
          <cell r="M432">
            <v>0</v>
          </cell>
          <cell r="N432">
            <v>0</v>
          </cell>
          <cell r="O432" t="str">
            <v/>
          </cell>
          <cell r="S432" t="str">
            <v/>
          </cell>
          <cell r="T432" t="str">
            <v/>
          </cell>
        </row>
        <row r="433">
          <cell r="A433" t="str">
            <v/>
          </cell>
          <cell r="B433">
            <v>1429</v>
          </cell>
          <cell r="D433" t="str">
            <v/>
          </cell>
          <cell r="F433" t="str">
            <v/>
          </cell>
          <cell r="J433">
            <v>0</v>
          </cell>
          <cell r="L433">
            <v>0</v>
          </cell>
          <cell r="M433">
            <v>0</v>
          </cell>
          <cell r="N433">
            <v>0</v>
          </cell>
          <cell r="O433" t="str">
            <v/>
          </cell>
          <cell r="S433" t="str">
            <v/>
          </cell>
          <cell r="T433" t="str">
            <v/>
          </cell>
        </row>
        <row r="434">
          <cell r="A434" t="str">
            <v/>
          </cell>
          <cell r="B434">
            <v>1430</v>
          </cell>
          <cell r="D434" t="str">
            <v/>
          </cell>
          <cell r="F434" t="str">
            <v/>
          </cell>
          <cell r="J434">
            <v>0</v>
          </cell>
          <cell r="L434">
            <v>0</v>
          </cell>
          <cell r="M434">
            <v>0</v>
          </cell>
          <cell r="N434">
            <v>0</v>
          </cell>
          <cell r="O434" t="str">
            <v/>
          </cell>
          <cell r="S434" t="str">
            <v/>
          </cell>
          <cell r="T434" t="str">
            <v/>
          </cell>
        </row>
        <row r="435">
          <cell r="A435" t="str">
            <v/>
          </cell>
          <cell r="B435">
            <v>1431</v>
          </cell>
          <cell r="D435" t="str">
            <v/>
          </cell>
          <cell r="F435" t="str">
            <v/>
          </cell>
          <cell r="J435">
            <v>0</v>
          </cell>
          <cell r="L435">
            <v>0</v>
          </cell>
          <cell r="M435">
            <v>0</v>
          </cell>
          <cell r="N435">
            <v>0</v>
          </cell>
          <cell r="O435" t="str">
            <v/>
          </cell>
          <cell r="S435" t="str">
            <v/>
          </cell>
          <cell r="T435" t="str">
            <v/>
          </cell>
        </row>
        <row r="436">
          <cell r="A436" t="str">
            <v/>
          </cell>
          <cell r="B436">
            <v>1432</v>
          </cell>
          <cell r="D436" t="str">
            <v/>
          </cell>
          <cell r="F436" t="str">
            <v/>
          </cell>
          <cell r="J436">
            <v>0</v>
          </cell>
          <cell r="L436">
            <v>0</v>
          </cell>
          <cell r="M436">
            <v>0</v>
          </cell>
          <cell r="N436">
            <v>0</v>
          </cell>
          <cell r="O436" t="str">
            <v/>
          </cell>
          <cell r="S436" t="str">
            <v/>
          </cell>
          <cell r="T436" t="str">
            <v/>
          </cell>
        </row>
        <row r="437">
          <cell r="A437" t="str">
            <v/>
          </cell>
          <cell r="B437">
            <v>1433</v>
          </cell>
          <cell r="D437" t="str">
            <v/>
          </cell>
          <cell r="F437" t="str">
            <v/>
          </cell>
          <cell r="J437">
            <v>0</v>
          </cell>
          <cell r="L437">
            <v>0</v>
          </cell>
          <cell r="M437">
            <v>0</v>
          </cell>
          <cell r="N437">
            <v>0</v>
          </cell>
          <cell r="O437" t="str">
            <v/>
          </cell>
          <cell r="S437" t="str">
            <v/>
          </cell>
          <cell r="T437" t="str">
            <v/>
          </cell>
        </row>
        <row r="438">
          <cell r="A438" t="str">
            <v/>
          </cell>
          <cell r="B438">
            <v>1434</v>
          </cell>
          <cell r="D438" t="str">
            <v/>
          </cell>
          <cell r="F438" t="str">
            <v/>
          </cell>
          <cell r="J438">
            <v>0</v>
          </cell>
          <cell r="L438">
            <v>0</v>
          </cell>
          <cell r="M438">
            <v>0</v>
          </cell>
          <cell r="N438">
            <v>0</v>
          </cell>
          <cell r="O438" t="str">
            <v/>
          </cell>
          <cell r="S438" t="str">
            <v/>
          </cell>
          <cell r="T438" t="str">
            <v/>
          </cell>
        </row>
        <row r="439">
          <cell r="A439" t="str">
            <v/>
          </cell>
          <cell r="B439">
            <v>1435</v>
          </cell>
          <cell r="D439" t="str">
            <v/>
          </cell>
          <cell r="F439" t="str">
            <v/>
          </cell>
          <cell r="J439">
            <v>0</v>
          </cell>
          <cell r="L439">
            <v>0</v>
          </cell>
          <cell r="M439">
            <v>0</v>
          </cell>
          <cell r="N439">
            <v>0</v>
          </cell>
          <cell r="O439" t="str">
            <v/>
          </cell>
          <cell r="S439" t="str">
            <v/>
          </cell>
          <cell r="T439" t="str">
            <v/>
          </cell>
        </row>
        <row r="440">
          <cell r="A440" t="str">
            <v/>
          </cell>
          <cell r="B440">
            <v>1436</v>
          </cell>
          <cell r="D440" t="str">
            <v/>
          </cell>
          <cell r="F440" t="str">
            <v/>
          </cell>
          <cell r="J440">
            <v>0</v>
          </cell>
          <cell r="L440">
            <v>0</v>
          </cell>
          <cell r="M440">
            <v>0</v>
          </cell>
          <cell r="N440">
            <v>0</v>
          </cell>
          <cell r="O440" t="str">
            <v/>
          </cell>
          <cell r="S440" t="str">
            <v/>
          </cell>
          <cell r="T440" t="str">
            <v/>
          </cell>
        </row>
        <row r="441">
          <cell r="A441" t="str">
            <v/>
          </cell>
          <cell r="B441">
            <v>1437</v>
          </cell>
          <cell r="D441" t="str">
            <v/>
          </cell>
          <cell r="F441" t="str">
            <v/>
          </cell>
          <cell r="J441">
            <v>0</v>
          </cell>
          <cell r="L441">
            <v>0</v>
          </cell>
          <cell r="M441">
            <v>0</v>
          </cell>
          <cell r="N441">
            <v>0</v>
          </cell>
          <cell r="O441" t="str">
            <v/>
          </cell>
          <cell r="S441" t="str">
            <v/>
          </cell>
          <cell r="T441" t="str">
            <v/>
          </cell>
        </row>
        <row r="442">
          <cell r="A442" t="str">
            <v/>
          </cell>
          <cell r="B442">
            <v>1438</v>
          </cell>
          <cell r="D442" t="str">
            <v/>
          </cell>
          <cell r="F442" t="str">
            <v/>
          </cell>
          <cell r="J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/>
          </cell>
          <cell r="S442" t="str">
            <v/>
          </cell>
          <cell r="T442" t="str">
            <v/>
          </cell>
        </row>
        <row r="443">
          <cell r="A443" t="str">
            <v/>
          </cell>
          <cell r="B443">
            <v>1439</v>
          </cell>
          <cell r="D443" t="str">
            <v/>
          </cell>
          <cell r="F443" t="str">
            <v/>
          </cell>
          <cell r="J443">
            <v>0</v>
          </cell>
          <cell r="L443">
            <v>0</v>
          </cell>
          <cell r="M443">
            <v>0</v>
          </cell>
          <cell r="N443">
            <v>0</v>
          </cell>
          <cell r="O443" t="str">
            <v/>
          </cell>
          <cell r="S443" t="str">
            <v/>
          </cell>
          <cell r="T443" t="str">
            <v/>
          </cell>
        </row>
        <row r="444">
          <cell r="A444" t="str">
            <v/>
          </cell>
          <cell r="B444">
            <v>1440</v>
          </cell>
          <cell r="D444" t="str">
            <v/>
          </cell>
          <cell r="F444" t="str">
            <v/>
          </cell>
          <cell r="J444">
            <v>0</v>
          </cell>
          <cell r="L444">
            <v>0</v>
          </cell>
          <cell r="M444">
            <v>0</v>
          </cell>
          <cell r="N444">
            <v>0</v>
          </cell>
          <cell r="O444" t="str">
            <v/>
          </cell>
          <cell r="S444" t="str">
            <v/>
          </cell>
          <cell r="T444" t="str">
            <v/>
          </cell>
        </row>
        <row r="445">
          <cell r="A445" t="str">
            <v/>
          </cell>
          <cell r="B445">
            <v>1441</v>
          </cell>
          <cell r="D445" t="str">
            <v/>
          </cell>
          <cell r="F445" t="str">
            <v/>
          </cell>
          <cell r="J445">
            <v>0</v>
          </cell>
          <cell r="L445">
            <v>0</v>
          </cell>
          <cell r="M445">
            <v>0</v>
          </cell>
          <cell r="N445">
            <v>0</v>
          </cell>
          <cell r="O445" t="str">
            <v/>
          </cell>
          <cell r="S445" t="str">
            <v/>
          </cell>
          <cell r="T445" t="str">
            <v/>
          </cell>
        </row>
        <row r="446">
          <cell r="A446" t="str">
            <v/>
          </cell>
          <cell r="B446">
            <v>1442</v>
          </cell>
          <cell r="D446" t="str">
            <v/>
          </cell>
          <cell r="F446" t="str">
            <v/>
          </cell>
          <cell r="J446">
            <v>0</v>
          </cell>
          <cell r="L446">
            <v>0</v>
          </cell>
          <cell r="M446">
            <v>0</v>
          </cell>
          <cell r="N446">
            <v>0</v>
          </cell>
          <cell r="O446" t="str">
            <v/>
          </cell>
          <cell r="S446" t="str">
            <v/>
          </cell>
          <cell r="T446" t="str">
            <v/>
          </cell>
        </row>
        <row r="447">
          <cell r="A447" t="str">
            <v/>
          </cell>
          <cell r="B447">
            <v>1443</v>
          </cell>
          <cell r="D447" t="str">
            <v/>
          </cell>
          <cell r="F447" t="str">
            <v/>
          </cell>
          <cell r="J447">
            <v>0</v>
          </cell>
          <cell r="L447">
            <v>0</v>
          </cell>
          <cell r="M447">
            <v>0</v>
          </cell>
          <cell r="N447">
            <v>0</v>
          </cell>
          <cell r="O447" t="str">
            <v/>
          </cell>
          <cell r="S447" t="str">
            <v/>
          </cell>
          <cell r="T447" t="str">
            <v/>
          </cell>
        </row>
        <row r="448">
          <cell r="A448" t="str">
            <v/>
          </cell>
          <cell r="B448">
            <v>1444</v>
          </cell>
          <cell r="D448" t="str">
            <v/>
          </cell>
          <cell r="F448" t="str">
            <v/>
          </cell>
          <cell r="J448">
            <v>0</v>
          </cell>
          <cell r="L448">
            <v>0</v>
          </cell>
          <cell r="M448">
            <v>0</v>
          </cell>
          <cell r="N448">
            <v>0</v>
          </cell>
          <cell r="O448" t="str">
            <v/>
          </cell>
          <cell r="S448" t="str">
            <v/>
          </cell>
          <cell r="T448" t="str">
            <v/>
          </cell>
        </row>
        <row r="449">
          <cell r="A449" t="str">
            <v/>
          </cell>
          <cell r="B449">
            <v>1445</v>
          </cell>
          <cell r="D449" t="str">
            <v/>
          </cell>
          <cell r="F449" t="str">
            <v/>
          </cell>
          <cell r="J449">
            <v>0</v>
          </cell>
          <cell r="L449">
            <v>0</v>
          </cell>
          <cell r="M449">
            <v>0</v>
          </cell>
          <cell r="N449">
            <v>0</v>
          </cell>
          <cell r="O449" t="str">
            <v/>
          </cell>
          <cell r="S449" t="str">
            <v/>
          </cell>
          <cell r="T449" t="str">
            <v/>
          </cell>
        </row>
        <row r="450">
          <cell r="A450" t="str">
            <v/>
          </cell>
          <cell r="B450">
            <v>1446</v>
          </cell>
          <cell r="D450" t="str">
            <v/>
          </cell>
          <cell r="F450" t="str">
            <v/>
          </cell>
          <cell r="J450">
            <v>0</v>
          </cell>
          <cell r="L450">
            <v>0</v>
          </cell>
          <cell r="M450">
            <v>0</v>
          </cell>
          <cell r="N450">
            <v>0</v>
          </cell>
          <cell r="O450" t="str">
            <v/>
          </cell>
          <cell r="S450" t="str">
            <v/>
          </cell>
          <cell r="T450" t="str">
            <v/>
          </cell>
        </row>
        <row r="451">
          <cell r="A451" t="str">
            <v/>
          </cell>
          <cell r="B451">
            <v>1447</v>
          </cell>
          <cell r="D451" t="str">
            <v/>
          </cell>
          <cell r="F451" t="str">
            <v/>
          </cell>
          <cell r="J451">
            <v>0</v>
          </cell>
          <cell r="L451">
            <v>0</v>
          </cell>
          <cell r="M451">
            <v>0</v>
          </cell>
          <cell r="N451">
            <v>0</v>
          </cell>
          <cell r="O451" t="str">
            <v/>
          </cell>
          <cell r="S451" t="str">
            <v/>
          </cell>
          <cell r="T451" t="str">
            <v/>
          </cell>
        </row>
        <row r="452">
          <cell r="A452" t="str">
            <v/>
          </cell>
          <cell r="B452">
            <v>1448</v>
          </cell>
          <cell r="D452" t="str">
            <v/>
          </cell>
          <cell r="F452" t="str">
            <v/>
          </cell>
          <cell r="J452">
            <v>0</v>
          </cell>
          <cell r="L452">
            <v>0</v>
          </cell>
          <cell r="M452">
            <v>0</v>
          </cell>
          <cell r="N452">
            <v>0</v>
          </cell>
          <cell r="O452" t="str">
            <v/>
          </cell>
          <cell r="S452" t="str">
            <v/>
          </cell>
          <cell r="T452" t="str">
            <v/>
          </cell>
        </row>
        <row r="453">
          <cell r="A453" t="str">
            <v/>
          </cell>
          <cell r="B453">
            <v>1449</v>
          </cell>
          <cell r="D453" t="str">
            <v/>
          </cell>
          <cell r="F453" t="str">
            <v/>
          </cell>
          <cell r="J453">
            <v>0</v>
          </cell>
          <cell r="L453">
            <v>0</v>
          </cell>
          <cell r="M453">
            <v>0</v>
          </cell>
          <cell r="N453">
            <v>0</v>
          </cell>
          <cell r="O453" t="str">
            <v/>
          </cell>
          <cell r="S453" t="str">
            <v/>
          </cell>
          <cell r="T453" t="str">
            <v/>
          </cell>
        </row>
        <row r="454">
          <cell r="A454" t="str">
            <v/>
          </cell>
          <cell r="B454">
            <v>1450</v>
          </cell>
          <cell r="D454" t="str">
            <v/>
          </cell>
          <cell r="F454" t="str">
            <v/>
          </cell>
          <cell r="J454">
            <v>0</v>
          </cell>
          <cell r="L454">
            <v>0</v>
          </cell>
          <cell r="M454">
            <v>0</v>
          </cell>
          <cell r="N454">
            <v>0</v>
          </cell>
          <cell r="O454" t="str">
            <v/>
          </cell>
          <cell r="S454" t="str">
            <v/>
          </cell>
          <cell r="T454" t="str">
            <v/>
          </cell>
        </row>
        <row r="455">
          <cell r="A455" t="str">
            <v/>
          </cell>
          <cell r="B455">
            <v>1451</v>
          </cell>
          <cell r="D455" t="str">
            <v/>
          </cell>
          <cell r="F455" t="str">
            <v/>
          </cell>
          <cell r="J455">
            <v>0</v>
          </cell>
          <cell r="L455">
            <v>0</v>
          </cell>
          <cell r="M455">
            <v>0</v>
          </cell>
          <cell r="N455">
            <v>0</v>
          </cell>
          <cell r="O455" t="str">
            <v/>
          </cell>
          <cell r="S455" t="str">
            <v/>
          </cell>
          <cell r="T455" t="str">
            <v/>
          </cell>
        </row>
        <row r="456">
          <cell r="A456" t="str">
            <v/>
          </cell>
          <cell r="B456">
            <v>1452</v>
          </cell>
          <cell r="D456" t="str">
            <v/>
          </cell>
          <cell r="F456" t="str">
            <v/>
          </cell>
          <cell r="J456">
            <v>0</v>
          </cell>
          <cell r="L456">
            <v>0</v>
          </cell>
          <cell r="M456">
            <v>0</v>
          </cell>
          <cell r="N456">
            <v>0</v>
          </cell>
          <cell r="O456" t="str">
            <v/>
          </cell>
          <cell r="S456" t="str">
            <v/>
          </cell>
          <cell r="T456" t="str">
            <v/>
          </cell>
        </row>
        <row r="457">
          <cell r="A457" t="str">
            <v/>
          </cell>
          <cell r="B457">
            <v>1453</v>
          </cell>
          <cell r="D457" t="str">
            <v/>
          </cell>
          <cell r="F457" t="str">
            <v/>
          </cell>
          <cell r="J457">
            <v>0</v>
          </cell>
          <cell r="L457">
            <v>0</v>
          </cell>
          <cell r="M457">
            <v>0</v>
          </cell>
          <cell r="N457">
            <v>0</v>
          </cell>
          <cell r="O457" t="str">
            <v/>
          </cell>
          <cell r="S457" t="str">
            <v/>
          </cell>
          <cell r="T457" t="str">
            <v/>
          </cell>
        </row>
        <row r="458">
          <cell r="A458" t="str">
            <v/>
          </cell>
          <cell r="B458">
            <v>1454</v>
          </cell>
          <cell r="D458" t="str">
            <v/>
          </cell>
          <cell r="F458" t="str">
            <v/>
          </cell>
          <cell r="J458">
            <v>0</v>
          </cell>
          <cell r="L458">
            <v>0</v>
          </cell>
          <cell r="M458">
            <v>0</v>
          </cell>
          <cell r="N458">
            <v>0</v>
          </cell>
          <cell r="O458" t="str">
            <v/>
          </cell>
          <cell r="S458" t="str">
            <v/>
          </cell>
          <cell r="T458" t="str">
            <v/>
          </cell>
        </row>
        <row r="459">
          <cell r="A459" t="str">
            <v/>
          </cell>
          <cell r="B459">
            <v>1455</v>
          </cell>
          <cell r="D459" t="str">
            <v/>
          </cell>
          <cell r="F459" t="str">
            <v/>
          </cell>
          <cell r="J459">
            <v>0</v>
          </cell>
          <cell r="L459">
            <v>0</v>
          </cell>
          <cell r="M459">
            <v>0</v>
          </cell>
          <cell r="N459">
            <v>0</v>
          </cell>
          <cell r="O459" t="str">
            <v/>
          </cell>
          <cell r="S459" t="str">
            <v/>
          </cell>
          <cell r="T459" t="str">
            <v/>
          </cell>
        </row>
        <row r="460">
          <cell r="A460" t="str">
            <v/>
          </cell>
          <cell r="B460">
            <v>1456</v>
          </cell>
          <cell r="D460" t="str">
            <v/>
          </cell>
          <cell r="F460" t="str">
            <v/>
          </cell>
          <cell r="J460">
            <v>0</v>
          </cell>
          <cell r="L460">
            <v>0</v>
          </cell>
          <cell r="M460">
            <v>0</v>
          </cell>
          <cell r="N460">
            <v>0</v>
          </cell>
          <cell r="O460" t="str">
            <v/>
          </cell>
          <cell r="S460" t="str">
            <v/>
          </cell>
          <cell r="T460" t="str">
            <v/>
          </cell>
        </row>
        <row r="461">
          <cell r="A461" t="str">
            <v/>
          </cell>
          <cell r="B461">
            <v>1457</v>
          </cell>
          <cell r="D461" t="str">
            <v/>
          </cell>
          <cell r="F461" t="str">
            <v/>
          </cell>
          <cell r="J461">
            <v>0</v>
          </cell>
          <cell r="L461">
            <v>0</v>
          </cell>
          <cell r="M461">
            <v>0</v>
          </cell>
          <cell r="N461">
            <v>0</v>
          </cell>
          <cell r="O461" t="str">
            <v/>
          </cell>
          <cell r="S461" t="str">
            <v/>
          </cell>
          <cell r="T461" t="str">
            <v/>
          </cell>
        </row>
        <row r="462">
          <cell r="A462" t="str">
            <v/>
          </cell>
          <cell r="B462">
            <v>1458</v>
          </cell>
          <cell r="D462" t="str">
            <v/>
          </cell>
          <cell r="F462" t="str">
            <v/>
          </cell>
          <cell r="J462">
            <v>0</v>
          </cell>
          <cell r="L462">
            <v>0</v>
          </cell>
          <cell r="M462">
            <v>0</v>
          </cell>
          <cell r="N462">
            <v>0</v>
          </cell>
          <cell r="O462" t="str">
            <v/>
          </cell>
          <cell r="S462" t="str">
            <v/>
          </cell>
          <cell r="T462" t="str">
            <v/>
          </cell>
        </row>
        <row r="463">
          <cell r="A463" t="str">
            <v/>
          </cell>
          <cell r="B463">
            <v>1459</v>
          </cell>
          <cell r="D463" t="str">
            <v/>
          </cell>
          <cell r="F463" t="str">
            <v/>
          </cell>
          <cell r="J463">
            <v>0</v>
          </cell>
          <cell r="L463">
            <v>0</v>
          </cell>
          <cell r="M463">
            <v>0</v>
          </cell>
          <cell r="N463">
            <v>0</v>
          </cell>
          <cell r="O463" t="str">
            <v/>
          </cell>
          <cell r="S463" t="str">
            <v/>
          </cell>
          <cell r="T463" t="str">
            <v/>
          </cell>
        </row>
        <row r="464">
          <cell r="A464" t="str">
            <v/>
          </cell>
          <cell r="B464">
            <v>1460</v>
          </cell>
          <cell r="D464" t="str">
            <v/>
          </cell>
          <cell r="F464" t="str">
            <v/>
          </cell>
          <cell r="J464">
            <v>0</v>
          </cell>
          <cell r="L464">
            <v>0</v>
          </cell>
          <cell r="M464">
            <v>0</v>
          </cell>
          <cell r="N464">
            <v>0</v>
          </cell>
          <cell r="O464" t="str">
            <v/>
          </cell>
          <cell r="S464" t="str">
            <v/>
          </cell>
          <cell r="T464" t="str">
            <v/>
          </cell>
        </row>
        <row r="465">
          <cell r="A465" t="str">
            <v/>
          </cell>
          <cell r="B465">
            <v>1461</v>
          </cell>
          <cell r="D465" t="str">
            <v/>
          </cell>
          <cell r="F465" t="str">
            <v/>
          </cell>
          <cell r="J465">
            <v>0</v>
          </cell>
          <cell r="L465">
            <v>0</v>
          </cell>
          <cell r="M465">
            <v>0</v>
          </cell>
          <cell r="N465">
            <v>0</v>
          </cell>
          <cell r="O465" t="str">
            <v/>
          </cell>
          <cell r="S465" t="str">
            <v/>
          </cell>
          <cell r="T465" t="str">
            <v/>
          </cell>
        </row>
        <row r="466">
          <cell r="A466" t="str">
            <v/>
          </cell>
          <cell r="B466">
            <v>1462</v>
          </cell>
          <cell r="D466" t="str">
            <v/>
          </cell>
          <cell r="F466" t="str">
            <v/>
          </cell>
          <cell r="J466">
            <v>0</v>
          </cell>
          <cell r="L466">
            <v>0</v>
          </cell>
          <cell r="M466">
            <v>0</v>
          </cell>
          <cell r="N466">
            <v>0</v>
          </cell>
          <cell r="O466" t="str">
            <v/>
          </cell>
          <cell r="S466" t="str">
            <v/>
          </cell>
          <cell r="T466" t="str">
            <v/>
          </cell>
        </row>
        <row r="467">
          <cell r="A467" t="str">
            <v/>
          </cell>
          <cell r="B467">
            <v>1463</v>
          </cell>
          <cell r="D467" t="str">
            <v/>
          </cell>
          <cell r="F467" t="str">
            <v/>
          </cell>
          <cell r="J467">
            <v>0</v>
          </cell>
          <cell r="L467">
            <v>0</v>
          </cell>
          <cell r="M467">
            <v>0</v>
          </cell>
          <cell r="N467">
            <v>0</v>
          </cell>
          <cell r="O467" t="str">
            <v/>
          </cell>
          <cell r="S467" t="str">
            <v/>
          </cell>
          <cell r="T467" t="str">
            <v/>
          </cell>
        </row>
        <row r="468">
          <cell r="A468" t="str">
            <v/>
          </cell>
          <cell r="B468">
            <v>1464</v>
          </cell>
          <cell r="D468" t="str">
            <v/>
          </cell>
          <cell r="F468" t="str">
            <v/>
          </cell>
          <cell r="J468">
            <v>0</v>
          </cell>
          <cell r="L468">
            <v>0</v>
          </cell>
          <cell r="M468">
            <v>0</v>
          </cell>
          <cell r="N468">
            <v>0</v>
          </cell>
          <cell r="O468" t="str">
            <v/>
          </cell>
          <cell r="S468" t="str">
            <v/>
          </cell>
          <cell r="T468" t="str">
            <v/>
          </cell>
        </row>
        <row r="469">
          <cell r="A469" t="str">
            <v/>
          </cell>
          <cell r="B469">
            <v>1465</v>
          </cell>
          <cell r="D469" t="str">
            <v/>
          </cell>
          <cell r="F469" t="str">
            <v/>
          </cell>
          <cell r="J469">
            <v>0</v>
          </cell>
          <cell r="L469">
            <v>0</v>
          </cell>
          <cell r="M469">
            <v>0</v>
          </cell>
          <cell r="N469">
            <v>0</v>
          </cell>
          <cell r="O469" t="str">
            <v/>
          </cell>
          <cell r="S469" t="str">
            <v/>
          </cell>
          <cell r="T469" t="str">
            <v/>
          </cell>
        </row>
        <row r="470">
          <cell r="A470" t="str">
            <v/>
          </cell>
          <cell r="B470">
            <v>1466</v>
          </cell>
          <cell r="D470" t="str">
            <v/>
          </cell>
          <cell r="F470" t="str">
            <v/>
          </cell>
          <cell r="J470">
            <v>0</v>
          </cell>
          <cell r="L470">
            <v>0</v>
          </cell>
          <cell r="M470">
            <v>0</v>
          </cell>
          <cell r="N470">
            <v>0</v>
          </cell>
          <cell r="O470" t="str">
            <v/>
          </cell>
          <cell r="S470" t="str">
            <v/>
          </cell>
          <cell r="T470" t="str">
            <v/>
          </cell>
        </row>
        <row r="471">
          <cell r="A471" t="str">
            <v/>
          </cell>
          <cell r="B471">
            <v>1467</v>
          </cell>
          <cell r="D471" t="str">
            <v/>
          </cell>
          <cell r="F471" t="str">
            <v/>
          </cell>
          <cell r="J471">
            <v>0</v>
          </cell>
          <cell r="L471">
            <v>0</v>
          </cell>
          <cell r="M471">
            <v>0</v>
          </cell>
          <cell r="N471">
            <v>0</v>
          </cell>
          <cell r="O471" t="str">
            <v/>
          </cell>
          <cell r="S471" t="str">
            <v/>
          </cell>
          <cell r="T471" t="str">
            <v/>
          </cell>
        </row>
        <row r="472">
          <cell r="A472" t="str">
            <v/>
          </cell>
          <cell r="B472">
            <v>1468</v>
          </cell>
          <cell r="D472" t="str">
            <v/>
          </cell>
          <cell r="F472" t="str">
            <v/>
          </cell>
          <cell r="J472">
            <v>0</v>
          </cell>
          <cell r="L472">
            <v>0</v>
          </cell>
          <cell r="M472">
            <v>0</v>
          </cell>
          <cell r="N472">
            <v>0</v>
          </cell>
          <cell r="O472" t="str">
            <v/>
          </cell>
          <cell r="S472" t="str">
            <v/>
          </cell>
          <cell r="T472" t="str">
            <v/>
          </cell>
        </row>
        <row r="473">
          <cell r="A473" t="str">
            <v/>
          </cell>
          <cell r="B473">
            <v>1469</v>
          </cell>
          <cell r="D473" t="str">
            <v/>
          </cell>
          <cell r="F473" t="str">
            <v/>
          </cell>
          <cell r="J473">
            <v>0</v>
          </cell>
          <cell r="L473">
            <v>0</v>
          </cell>
          <cell r="M473">
            <v>0</v>
          </cell>
          <cell r="N473">
            <v>0</v>
          </cell>
          <cell r="O473" t="str">
            <v/>
          </cell>
          <cell r="S473" t="str">
            <v/>
          </cell>
          <cell r="T473" t="str">
            <v/>
          </cell>
        </row>
        <row r="474">
          <cell r="A474" t="str">
            <v/>
          </cell>
          <cell r="B474">
            <v>1470</v>
          </cell>
          <cell r="D474" t="str">
            <v/>
          </cell>
          <cell r="F474" t="str">
            <v/>
          </cell>
          <cell r="J474">
            <v>0</v>
          </cell>
          <cell r="L474">
            <v>0</v>
          </cell>
          <cell r="M474">
            <v>0</v>
          </cell>
          <cell r="N474">
            <v>0</v>
          </cell>
          <cell r="O474" t="str">
            <v/>
          </cell>
          <cell r="S474" t="str">
            <v/>
          </cell>
          <cell r="T474" t="str">
            <v/>
          </cell>
        </row>
        <row r="475">
          <cell r="A475" t="str">
            <v/>
          </cell>
          <cell r="B475">
            <v>1471</v>
          </cell>
          <cell r="D475" t="str">
            <v/>
          </cell>
          <cell r="F475" t="str">
            <v/>
          </cell>
          <cell r="J475">
            <v>0</v>
          </cell>
          <cell r="L475">
            <v>0</v>
          </cell>
          <cell r="M475">
            <v>0</v>
          </cell>
          <cell r="N475">
            <v>0</v>
          </cell>
          <cell r="O475" t="str">
            <v/>
          </cell>
          <cell r="S475" t="str">
            <v/>
          </cell>
          <cell r="T475" t="str">
            <v/>
          </cell>
        </row>
        <row r="476">
          <cell r="A476" t="str">
            <v/>
          </cell>
          <cell r="B476">
            <v>1472</v>
          </cell>
          <cell r="D476" t="str">
            <v/>
          </cell>
          <cell r="F476" t="str">
            <v/>
          </cell>
          <cell r="J476">
            <v>0</v>
          </cell>
          <cell r="L476">
            <v>0</v>
          </cell>
          <cell r="M476">
            <v>0</v>
          </cell>
          <cell r="N476">
            <v>0</v>
          </cell>
          <cell r="O476" t="str">
            <v/>
          </cell>
          <cell r="S476" t="str">
            <v/>
          </cell>
          <cell r="T476" t="str">
            <v/>
          </cell>
        </row>
        <row r="477">
          <cell r="A477" t="str">
            <v/>
          </cell>
          <cell r="B477">
            <v>1473</v>
          </cell>
          <cell r="D477" t="str">
            <v/>
          </cell>
          <cell r="F477" t="str">
            <v/>
          </cell>
          <cell r="J477">
            <v>0</v>
          </cell>
          <cell r="L477">
            <v>0</v>
          </cell>
          <cell r="M477">
            <v>0</v>
          </cell>
          <cell r="N477">
            <v>0</v>
          </cell>
          <cell r="O477" t="str">
            <v/>
          </cell>
          <cell r="S477" t="str">
            <v/>
          </cell>
          <cell r="T477" t="str">
            <v/>
          </cell>
        </row>
        <row r="478">
          <cell r="A478" t="str">
            <v/>
          </cell>
          <cell r="B478">
            <v>1474</v>
          </cell>
          <cell r="D478" t="str">
            <v/>
          </cell>
          <cell r="F478" t="str">
            <v/>
          </cell>
          <cell r="J478">
            <v>0</v>
          </cell>
          <cell r="L478">
            <v>0</v>
          </cell>
          <cell r="M478">
            <v>0</v>
          </cell>
          <cell r="N478">
            <v>0</v>
          </cell>
          <cell r="O478" t="str">
            <v/>
          </cell>
          <cell r="S478" t="str">
            <v/>
          </cell>
          <cell r="T478" t="str">
            <v/>
          </cell>
        </row>
        <row r="479">
          <cell r="A479" t="str">
            <v/>
          </cell>
          <cell r="B479">
            <v>1475</v>
          </cell>
          <cell r="D479" t="str">
            <v/>
          </cell>
          <cell r="F479" t="str">
            <v/>
          </cell>
          <cell r="J479">
            <v>0</v>
          </cell>
          <cell r="L479">
            <v>0</v>
          </cell>
          <cell r="M479">
            <v>0</v>
          </cell>
          <cell r="N479">
            <v>0</v>
          </cell>
          <cell r="O479" t="str">
            <v/>
          </cell>
          <cell r="S479" t="str">
            <v/>
          </cell>
          <cell r="T479" t="str">
            <v/>
          </cell>
        </row>
        <row r="480">
          <cell r="A480" t="str">
            <v/>
          </cell>
          <cell r="B480">
            <v>1476</v>
          </cell>
          <cell r="D480" t="str">
            <v/>
          </cell>
          <cell r="F480" t="str">
            <v/>
          </cell>
          <cell r="J480">
            <v>0</v>
          </cell>
          <cell r="L480">
            <v>0</v>
          </cell>
          <cell r="M480">
            <v>0</v>
          </cell>
          <cell r="N480">
            <v>0</v>
          </cell>
          <cell r="O480" t="str">
            <v/>
          </cell>
          <cell r="S480" t="str">
            <v/>
          </cell>
          <cell r="T480" t="str">
            <v/>
          </cell>
        </row>
        <row r="481">
          <cell r="A481" t="str">
            <v/>
          </cell>
          <cell r="B481">
            <v>1477</v>
          </cell>
          <cell r="D481" t="str">
            <v/>
          </cell>
          <cell r="F481" t="str">
            <v/>
          </cell>
          <cell r="J481">
            <v>0</v>
          </cell>
          <cell r="L481">
            <v>0</v>
          </cell>
          <cell r="M481">
            <v>0</v>
          </cell>
          <cell r="N481">
            <v>0</v>
          </cell>
          <cell r="O481" t="str">
            <v/>
          </cell>
          <cell r="S481" t="str">
            <v/>
          </cell>
          <cell r="T481" t="str">
            <v/>
          </cell>
        </row>
        <row r="482">
          <cell r="A482" t="str">
            <v/>
          </cell>
          <cell r="B482">
            <v>1478</v>
          </cell>
          <cell r="D482" t="str">
            <v/>
          </cell>
          <cell r="F482" t="str">
            <v/>
          </cell>
          <cell r="J482">
            <v>0</v>
          </cell>
          <cell r="L482">
            <v>0</v>
          </cell>
          <cell r="M482">
            <v>0</v>
          </cell>
          <cell r="N482">
            <v>0</v>
          </cell>
          <cell r="O482" t="str">
            <v/>
          </cell>
          <cell r="S482" t="str">
            <v/>
          </cell>
          <cell r="T482" t="str">
            <v/>
          </cell>
        </row>
        <row r="483">
          <cell r="A483" t="str">
            <v/>
          </cell>
          <cell r="B483">
            <v>1479</v>
          </cell>
          <cell r="D483" t="str">
            <v/>
          </cell>
          <cell r="F483" t="str">
            <v/>
          </cell>
          <cell r="J483">
            <v>0</v>
          </cell>
          <cell r="L483">
            <v>0</v>
          </cell>
          <cell r="M483">
            <v>0</v>
          </cell>
          <cell r="N483">
            <v>0</v>
          </cell>
          <cell r="O483" t="str">
            <v/>
          </cell>
          <cell r="S483" t="str">
            <v/>
          </cell>
          <cell r="T483" t="str">
            <v/>
          </cell>
        </row>
        <row r="484">
          <cell r="A484" t="str">
            <v/>
          </cell>
          <cell r="B484">
            <v>1480</v>
          </cell>
          <cell r="D484" t="str">
            <v/>
          </cell>
          <cell r="F484" t="str">
            <v/>
          </cell>
          <cell r="J484">
            <v>0</v>
          </cell>
          <cell r="L484">
            <v>0</v>
          </cell>
          <cell r="M484">
            <v>0</v>
          </cell>
          <cell r="N484">
            <v>0</v>
          </cell>
          <cell r="O484" t="str">
            <v/>
          </cell>
          <cell r="S484" t="str">
            <v/>
          </cell>
          <cell r="T484" t="str">
            <v/>
          </cell>
        </row>
        <row r="485">
          <cell r="A485" t="str">
            <v/>
          </cell>
          <cell r="B485">
            <v>1481</v>
          </cell>
          <cell r="D485" t="str">
            <v/>
          </cell>
          <cell r="F485" t="str">
            <v/>
          </cell>
          <cell r="J485">
            <v>0</v>
          </cell>
          <cell r="L485">
            <v>0</v>
          </cell>
          <cell r="M485">
            <v>0</v>
          </cell>
          <cell r="N485">
            <v>0</v>
          </cell>
          <cell r="O485" t="str">
            <v/>
          </cell>
          <cell r="S485" t="str">
            <v/>
          </cell>
          <cell r="T485" t="str">
            <v/>
          </cell>
        </row>
        <row r="486">
          <cell r="A486" t="str">
            <v/>
          </cell>
          <cell r="B486">
            <v>1482</v>
          </cell>
          <cell r="D486" t="str">
            <v/>
          </cell>
          <cell r="F486" t="str">
            <v/>
          </cell>
          <cell r="J486">
            <v>0</v>
          </cell>
          <cell r="L486">
            <v>0</v>
          </cell>
          <cell r="M486">
            <v>0</v>
          </cell>
          <cell r="N486">
            <v>0</v>
          </cell>
          <cell r="O486" t="str">
            <v/>
          </cell>
          <cell r="S486" t="str">
            <v/>
          </cell>
          <cell r="T486" t="str">
            <v/>
          </cell>
        </row>
        <row r="487">
          <cell r="A487" t="str">
            <v/>
          </cell>
          <cell r="B487">
            <v>1483</v>
          </cell>
          <cell r="D487" t="str">
            <v/>
          </cell>
          <cell r="F487" t="str">
            <v/>
          </cell>
          <cell r="J487">
            <v>0</v>
          </cell>
          <cell r="L487">
            <v>0</v>
          </cell>
          <cell r="M487">
            <v>0</v>
          </cell>
          <cell r="N487">
            <v>0</v>
          </cell>
          <cell r="O487" t="str">
            <v/>
          </cell>
          <cell r="S487" t="str">
            <v/>
          </cell>
          <cell r="T487" t="str">
            <v/>
          </cell>
        </row>
        <row r="488">
          <cell r="A488" t="str">
            <v/>
          </cell>
          <cell r="B488">
            <v>1484</v>
          </cell>
          <cell r="D488" t="str">
            <v/>
          </cell>
          <cell r="F488" t="str">
            <v/>
          </cell>
          <cell r="J488">
            <v>0</v>
          </cell>
          <cell r="L488">
            <v>0</v>
          </cell>
          <cell r="M488">
            <v>0</v>
          </cell>
          <cell r="N488">
            <v>0</v>
          </cell>
          <cell r="O488" t="str">
            <v/>
          </cell>
          <cell r="S488" t="str">
            <v/>
          </cell>
          <cell r="T488" t="str">
            <v/>
          </cell>
        </row>
        <row r="489">
          <cell r="A489" t="str">
            <v/>
          </cell>
          <cell r="B489">
            <v>1485</v>
          </cell>
          <cell r="D489" t="str">
            <v/>
          </cell>
          <cell r="F489" t="str">
            <v/>
          </cell>
          <cell r="J489">
            <v>0</v>
          </cell>
          <cell r="L489">
            <v>0</v>
          </cell>
          <cell r="M489">
            <v>0</v>
          </cell>
          <cell r="N489">
            <v>0</v>
          </cell>
          <cell r="O489" t="str">
            <v/>
          </cell>
          <cell r="S489" t="str">
            <v/>
          </cell>
          <cell r="T489" t="str">
            <v/>
          </cell>
        </row>
        <row r="490">
          <cell r="A490" t="str">
            <v/>
          </cell>
          <cell r="B490">
            <v>1486</v>
          </cell>
          <cell r="D490" t="str">
            <v/>
          </cell>
          <cell r="F490" t="str">
            <v/>
          </cell>
          <cell r="J490">
            <v>0</v>
          </cell>
          <cell r="L490">
            <v>0</v>
          </cell>
          <cell r="M490">
            <v>0</v>
          </cell>
          <cell r="N490">
            <v>0</v>
          </cell>
          <cell r="O490" t="str">
            <v/>
          </cell>
          <cell r="S490" t="str">
            <v/>
          </cell>
          <cell r="T490" t="str">
            <v/>
          </cell>
        </row>
        <row r="491">
          <cell r="A491" t="str">
            <v/>
          </cell>
          <cell r="B491">
            <v>1487</v>
          </cell>
          <cell r="D491" t="str">
            <v/>
          </cell>
          <cell r="F491" t="str">
            <v/>
          </cell>
          <cell r="J491">
            <v>0</v>
          </cell>
          <cell r="L491">
            <v>0</v>
          </cell>
          <cell r="M491">
            <v>0</v>
          </cell>
          <cell r="N491">
            <v>0</v>
          </cell>
          <cell r="O491" t="str">
            <v/>
          </cell>
          <cell r="S491" t="str">
            <v/>
          </cell>
          <cell r="T491" t="str">
            <v/>
          </cell>
        </row>
        <row r="492">
          <cell r="A492" t="str">
            <v/>
          </cell>
          <cell r="B492">
            <v>1488</v>
          </cell>
          <cell r="D492" t="str">
            <v/>
          </cell>
          <cell r="F492" t="str">
            <v/>
          </cell>
          <cell r="J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/>
          </cell>
          <cell r="S492" t="str">
            <v/>
          </cell>
          <cell r="T492" t="str">
            <v/>
          </cell>
        </row>
        <row r="493">
          <cell r="A493" t="str">
            <v/>
          </cell>
          <cell r="B493">
            <v>1489</v>
          </cell>
          <cell r="D493" t="str">
            <v/>
          </cell>
          <cell r="F493" t="str">
            <v/>
          </cell>
          <cell r="J493">
            <v>0</v>
          </cell>
          <cell r="L493">
            <v>0</v>
          </cell>
          <cell r="M493">
            <v>0</v>
          </cell>
          <cell r="N493">
            <v>0</v>
          </cell>
          <cell r="O493" t="str">
            <v/>
          </cell>
          <cell r="S493" t="str">
            <v/>
          </cell>
          <cell r="T493" t="str">
            <v/>
          </cell>
        </row>
        <row r="494">
          <cell r="A494" t="str">
            <v/>
          </cell>
          <cell r="B494">
            <v>1490</v>
          </cell>
          <cell r="D494" t="str">
            <v/>
          </cell>
          <cell r="F494" t="str">
            <v/>
          </cell>
          <cell r="J494">
            <v>0</v>
          </cell>
          <cell r="L494">
            <v>0</v>
          </cell>
          <cell r="M494">
            <v>0</v>
          </cell>
          <cell r="N494">
            <v>0</v>
          </cell>
          <cell r="O494" t="str">
            <v/>
          </cell>
          <cell r="S494" t="str">
            <v/>
          </cell>
          <cell r="T494" t="str">
            <v/>
          </cell>
        </row>
        <row r="495">
          <cell r="A495" t="str">
            <v/>
          </cell>
          <cell r="B495">
            <v>1491</v>
          </cell>
          <cell r="D495" t="str">
            <v/>
          </cell>
          <cell r="F495" t="str">
            <v/>
          </cell>
          <cell r="J495">
            <v>0</v>
          </cell>
          <cell r="L495">
            <v>0</v>
          </cell>
          <cell r="M495">
            <v>0</v>
          </cell>
          <cell r="N495">
            <v>0</v>
          </cell>
          <cell r="O495" t="str">
            <v/>
          </cell>
          <cell r="S495" t="str">
            <v/>
          </cell>
          <cell r="T495" t="str">
            <v/>
          </cell>
        </row>
        <row r="496">
          <cell r="A496" t="str">
            <v/>
          </cell>
          <cell r="B496">
            <v>1492</v>
          </cell>
          <cell r="D496" t="str">
            <v/>
          </cell>
          <cell r="F496" t="str">
            <v/>
          </cell>
          <cell r="J496">
            <v>0</v>
          </cell>
          <cell r="L496">
            <v>0</v>
          </cell>
          <cell r="M496">
            <v>0</v>
          </cell>
          <cell r="N496">
            <v>0</v>
          </cell>
          <cell r="O496" t="str">
            <v/>
          </cell>
          <cell r="S496" t="str">
            <v/>
          </cell>
          <cell r="T496" t="str">
            <v/>
          </cell>
        </row>
        <row r="497">
          <cell r="A497" t="str">
            <v/>
          </cell>
          <cell r="B497">
            <v>1493</v>
          </cell>
          <cell r="D497" t="str">
            <v/>
          </cell>
          <cell r="F497" t="str">
            <v/>
          </cell>
          <cell r="J497">
            <v>0</v>
          </cell>
          <cell r="L497">
            <v>0</v>
          </cell>
          <cell r="M497">
            <v>0</v>
          </cell>
          <cell r="N497">
            <v>0</v>
          </cell>
          <cell r="O497" t="str">
            <v/>
          </cell>
          <cell r="S497" t="str">
            <v/>
          </cell>
          <cell r="T497" t="str">
            <v/>
          </cell>
        </row>
        <row r="498">
          <cell r="A498" t="str">
            <v/>
          </cell>
          <cell r="B498">
            <v>1494</v>
          </cell>
          <cell r="D498" t="str">
            <v/>
          </cell>
          <cell r="F498" t="str">
            <v/>
          </cell>
          <cell r="J498">
            <v>0</v>
          </cell>
          <cell r="L498">
            <v>0</v>
          </cell>
          <cell r="M498">
            <v>0</v>
          </cell>
          <cell r="N498">
            <v>0</v>
          </cell>
          <cell r="O498" t="str">
            <v/>
          </cell>
          <cell r="S498" t="str">
            <v/>
          </cell>
          <cell r="T498" t="str">
            <v/>
          </cell>
        </row>
        <row r="499">
          <cell r="A499" t="str">
            <v/>
          </cell>
          <cell r="B499">
            <v>1495</v>
          </cell>
          <cell r="D499" t="str">
            <v/>
          </cell>
          <cell r="F499" t="str">
            <v/>
          </cell>
          <cell r="J499">
            <v>0</v>
          </cell>
          <cell r="L499">
            <v>0</v>
          </cell>
          <cell r="M499">
            <v>0</v>
          </cell>
          <cell r="N499">
            <v>0</v>
          </cell>
          <cell r="O499" t="str">
            <v/>
          </cell>
          <cell r="S499" t="str">
            <v/>
          </cell>
          <cell r="T499" t="str">
            <v/>
          </cell>
        </row>
        <row r="500">
          <cell r="A500" t="str">
            <v/>
          </cell>
          <cell r="B500">
            <v>1496</v>
          </cell>
          <cell r="D500" t="str">
            <v/>
          </cell>
          <cell r="F500" t="str">
            <v/>
          </cell>
          <cell r="J500">
            <v>0</v>
          </cell>
          <cell r="L500">
            <v>0</v>
          </cell>
          <cell r="M500">
            <v>0</v>
          </cell>
          <cell r="N500">
            <v>0</v>
          </cell>
          <cell r="O500" t="str">
            <v/>
          </cell>
          <cell r="S500" t="str">
            <v/>
          </cell>
          <cell r="T500" t="str">
            <v/>
          </cell>
        </row>
        <row r="501">
          <cell r="A501" t="str">
            <v/>
          </cell>
          <cell r="B501">
            <v>1497</v>
          </cell>
          <cell r="D501" t="str">
            <v/>
          </cell>
          <cell r="F501" t="str">
            <v/>
          </cell>
          <cell r="J501">
            <v>0</v>
          </cell>
          <cell r="L501">
            <v>0</v>
          </cell>
          <cell r="M501">
            <v>0</v>
          </cell>
          <cell r="N501">
            <v>0</v>
          </cell>
          <cell r="O501" t="str">
            <v/>
          </cell>
          <cell r="S501" t="str">
            <v/>
          </cell>
          <cell r="T501" t="str">
            <v/>
          </cell>
        </row>
        <row r="502">
          <cell r="A502" t="str">
            <v/>
          </cell>
          <cell r="B502">
            <v>1498</v>
          </cell>
          <cell r="D502" t="str">
            <v/>
          </cell>
          <cell r="F502" t="str">
            <v/>
          </cell>
          <cell r="J502">
            <v>0</v>
          </cell>
          <cell r="L502">
            <v>0</v>
          </cell>
          <cell r="M502">
            <v>0</v>
          </cell>
          <cell r="N502">
            <v>0</v>
          </cell>
          <cell r="O502" t="str">
            <v/>
          </cell>
          <cell r="S502" t="str">
            <v/>
          </cell>
          <cell r="T502" t="str">
            <v/>
          </cell>
        </row>
        <row r="503">
          <cell r="A503" t="str">
            <v/>
          </cell>
          <cell r="B503">
            <v>1499</v>
          </cell>
          <cell r="D503" t="str">
            <v/>
          </cell>
          <cell r="F503" t="str">
            <v/>
          </cell>
          <cell r="J503">
            <v>0</v>
          </cell>
          <cell r="L503">
            <v>0</v>
          </cell>
          <cell r="M503">
            <v>0</v>
          </cell>
          <cell r="N503">
            <v>0</v>
          </cell>
          <cell r="O503" t="str">
            <v/>
          </cell>
          <cell r="S503" t="str">
            <v/>
          </cell>
          <cell r="T503" t="str">
            <v/>
          </cell>
        </row>
        <row r="504">
          <cell r="A504" t="str">
            <v/>
          </cell>
          <cell r="B504">
            <v>1500</v>
          </cell>
          <cell r="D504" t="str">
            <v/>
          </cell>
          <cell r="F504" t="str">
            <v/>
          </cell>
          <cell r="J504">
            <v>0</v>
          </cell>
          <cell r="L504">
            <v>0</v>
          </cell>
          <cell r="M504">
            <v>0</v>
          </cell>
          <cell r="N504">
            <v>0</v>
          </cell>
          <cell r="O504" t="str">
            <v/>
          </cell>
          <cell r="S504" t="str">
            <v/>
          </cell>
          <cell r="T504" t="str">
            <v/>
          </cell>
        </row>
        <row r="505">
          <cell r="A505" t="str">
            <v/>
          </cell>
          <cell r="B505">
            <v>1501</v>
          </cell>
          <cell r="D505" t="str">
            <v/>
          </cell>
          <cell r="F505" t="str">
            <v/>
          </cell>
          <cell r="J505">
            <v>0</v>
          </cell>
          <cell r="L505">
            <v>0</v>
          </cell>
          <cell r="M505">
            <v>0</v>
          </cell>
          <cell r="N505">
            <v>0</v>
          </cell>
          <cell r="O505" t="str">
            <v/>
          </cell>
          <cell r="S505" t="str">
            <v/>
          </cell>
          <cell r="T505" t="str">
            <v/>
          </cell>
        </row>
        <row r="506">
          <cell r="A506" t="str">
            <v/>
          </cell>
          <cell r="B506">
            <v>1502</v>
          </cell>
          <cell r="D506" t="str">
            <v/>
          </cell>
          <cell r="F506" t="str">
            <v/>
          </cell>
          <cell r="J506">
            <v>0</v>
          </cell>
          <cell r="L506">
            <v>0</v>
          </cell>
          <cell r="M506">
            <v>0</v>
          </cell>
          <cell r="N506">
            <v>0</v>
          </cell>
          <cell r="O506" t="str">
            <v/>
          </cell>
          <cell r="S506" t="str">
            <v/>
          </cell>
          <cell r="T506" t="str">
            <v/>
          </cell>
        </row>
        <row r="507">
          <cell r="A507" t="str">
            <v/>
          </cell>
          <cell r="B507">
            <v>1503</v>
          </cell>
          <cell r="D507" t="str">
            <v/>
          </cell>
          <cell r="F507" t="str">
            <v/>
          </cell>
          <cell r="J507">
            <v>0</v>
          </cell>
          <cell r="L507">
            <v>0</v>
          </cell>
          <cell r="M507">
            <v>0</v>
          </cell>
          <cell r="N507">
            <v>0</v>
          </cell>
          <cell r="O507" t="str">
            <v/>
          </cell>
          <cell r="S507" t="str">
            <v/>
          </cell>
          <cell r="T507" t="str">
            <v/>
          </cell>
        </row>
        <row r="508">
          <cell r="A508" t="str">
            <v/>
          </cell>
          <cell r="B508">
            <v>1504</v>
          </cell>
          <cell r="D508" t="str">
            <v/>
          </cell>
          <cell r="F508" t="str">
            <v/>
          </cell>
          <cell r="J508">
            <v>0</v>
          </cell>
          <cell r="L508">
            <v>0</v>
          </cell>
          <cell r="M508">
            <v>0</v>
          </cell>
          <cell r="N508">
            <v>0</v>
          </cell>
          <cell r="O508" t="str">
            <v/>
          </cell>
          <cell r="S508" t="str">
            <v/>
          </cell>
          <cell r="T508" t="str">
            <v/>
          </cell>
        </row>
        <row r="509">
          <cell r="A509" t="str">
            <v/>
          </cell>
          <cell r="B509">
            <v>1505</v>
          </cell>
          <cell r="D509" t="str">
            <v/>
          </cell>
          <cell r="F509" t="str">
            <v/>
          </cell>
          <cell r="J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/>
          </cell>
          <cell r="S509" t="str">
            <v/>
          </cell>
          <cell r="T509" t="str">
            <v/>
          </cell>
        </row>
        <row r="510">
          <cell r="A510" t="str">
            <v/>
          </cell>
          <cell r="B510">
            <v>1506</v>
          </cell>
          <cell r="D510" t="str">
            <v/>
          </cell>
          <cell r="F510" t="str">
            <v/>
          </cell>
          <cell r="J510">
            <v>0</v>
          </cell>
          <cell r="L510">
            <v>0</v>
          </cell>
          <cell r="M510">
            <v>0</v>
          </cell>
          <cell r="N510">
            <v>0</v>
          </cell>
          <cell r="O510" t="str">
            <v/>
          </cell>
          <cell r="S510" t="str">
            <v/>
          </cell>
          <cell r="T510" t="str">
            <v/>
          </cell>
        </row>
        <row r="511">
          <cell r="A511" t="str">
            <v/>
          </cell>
          <cell r="B511">
            <v>1507</v>
          </cell>
          <cell r="D511" t="str">
            <v/>
          </cell>
          <cell r="F511" t="str">
            <v/>
          </cell>
          <cell r="J511">
            <v>0</v>
          </cell>
          <cell r="L511">
            <v>0</v>
          </cell>
          <cell r="M511">
            <v>0</v>
          </cell>
          <cell r="N511">
            <v>0</v>
          </cell>
          <cell r="O511" t="str">
            <v/>
          </cell>
          <cell r="S511" t="str">
            <v/>
          </cell>
          <cell r="T511" t="str">
            <v/>
          </cell>
        </row>
        <row r="512">
          <cell r="A512" t="str">
            <v/>
          </cell>
          <cell r="B512">
            <v>1508</v>
          </cell>
          <cell r="D512" t="str">
            <v/>
          </cell>
          <cell r="F512" t="str">
            <v/>
          </cell>
          <cell r="J512">
            <v>0</v>
          </cell>
          <cell r="L512">
            <v>0</v>
          </cell>
          <cell r="M512">
            <v>0</v>
          </cell>
          <cell r="N512">
            <v>0</v>
          </cell>
          <cell r="O512" t="str">
            <v/>
          </cell>
          <cell r="S512" t="str">
            <v/>
          </cell>
          <cell r="T512" t="str">
            <v/>
          </cell>
        </row>
        <row r="513">
          <cell r="A513" t="str">
            <v/>
          </cell>
          <cell r="B513">
            <v>1509</v>
          </cell>
          <cell r="D513" t="str">
            <v/>
          </cell>
          <cell r="F513" t="str">
            <v/>
          </cell>
          <cell r="J513">
            <v>0</v>
          </cell>
          <cell r="L513">
            <v>0</v>
          </cell>
          <cell r="M513">
            <v>0</v>
          </cell>
          <cell r="N513">
            <v>0</v>
          </cell>
          <cell r="O513" t="str">
            <v/>
          </cell>
          <cell r="S513" t="str">
            <v/>
          </cell>
          <cell r="T513" t="str">
            <v/>
          </cell>
        </row>
        <row r="514">
          <cell r="A514" t="str">
            <v/>
          </cell>
          <cell r="B514">
            <v>1510</v>
          </cell>
          <cell r="D514" t="str">
            <v/>
          </cell>
          <cell r="F514" t="str">
            <v/>
          </cell>
          <cell r="J514">
            <v>0</v>
          </cell>
          <cell r="L514">
            <v>0</v>
          </cell>
          <cell r="M514">
            <v>0</v>
          </cell>
          <cell r="N514">
            <v>0</v>
          </cell>
          <cell r="O514" t="str">
            <v/>
          </cell>
          <cell r="S514" t="str">
            <v/>
          </cell>
          <cell r="T514" t="str">
            <v/>
          </cell>
        </row>
        <row r="515">
          <cell r="A515" t="str">
            <v/>
          </cell>
          <cell r="B515">
            <v>1511</v>
          </cell>
          <cell r="D515" t="str">
            <v/>
          </cell>
          <cell r="F515" t="str">
            <v/>
          </cell>
          <cell r="J515">
            <v>0</v>
          </cell>
          <cell r="L515">
            <v>0</v>
          </cell>
          <cell r="M515">
            <v>0</v>
          </cell>
          <cell r="N515">
            <v>0</v>
          </cell>
          <cell r="O515" t="str">
            <v/>
          </cell>
          <cell r="S515" t="str">
            <v/>
          </cell>
          <cell r="T515" t="str">
            <v/>
          </cell>
        </row>
        <row r="516">
          <cell r="A516" t="str">
            <v/>
          </cell>
          <cell r="B516">
            <v>1512</v>
          </cell>
          <cell r="D516" t="str">
            <v/>
          </cell>
          <cell r="F516" t="str">
            <v/>
          </cell>
          <cell r="J516">
            <v>0</v>
          </cell>
          <cell r="L516">
            <v>0</v>
          </cell>
          <cell r="M516">
            <v>0</v>
          </cell>
          <cell r="N516">
            <v>0</v>
          </cell>
          <cell r="O516" t="str">
            <v/>
          </cell>
          <cell r="S516" t="str">
            <v/>
          </cell>
          <cell r="T516" t="str">
            <v/>
          </cell>
        </row>
        <row r="517">
          <cell r="A517" t="str">
            <v/>
          </cell>
          <cell r="B517">
            <v>1513</v>
          </cell>
          <cell r="D517" t="str">
            <v/>
          </cell>
          <cell r="F517" t="str">
            <v/>
          </cell>
          <cell r="J517">
            <v>0</v>
          </cell>
          <cell r="L517">
            <v>0</v>
          </cell>
          <cell r="M517">
            <v>0</v>
          </cell>
          <cell r="N517">
            <v>0</v>
          </cell>
          <cell r="O517" t="str">
            <v/>
          </cell>
          <cell r="S517" t="str">
            <v/>
          </cell>
          <cell r="T517" t="str">
            <v/>
          </cell>
        </row>
        <row r="518">
          <cell r="A518" t="str">
            <v/>
          </cell>
          <cell r="B518">
            <v>1514</v>
          </cell>
          <cell r="D518" t="str">
            <v/>
          </cell>
          <cell r="F518" t="str">
            <v/>
          </cell>
          <cell r="J518">
            <v>0</v>
          </cell>
          <cell r="L518">
            <v>0</v>
          </cell>
          <cell r="M518">
            <v>0</v>
          </cell>
          <cell r="N518">
            <v>0</v>
          </cell>
          <cell r="O518" t="str">
            <v/>
          </cell>
          <cell r="S518" t="str">
            <v/>
          </cell>
          <cell r="T518" t="str">
            <v/>
          </cell>
        </row>
        <row r="519">
          <cell r="A519" t="str">
            <v/>
          </cell>
          <cell r="B519">
            <v>1515</v>
          </cell>
          <cell r="D519" t="str">
            <v/>
          </cell>
          <cell r="F519" t="str">
            <v/>
          </cell>
          <cell r="J519">
            <v>0</v>
          </cell>
          <cell r="L519">
            <v>0</v>
          </cell>
          <cell r="M519">
            <v>0</v>
          </cell>
          <cell r="N519">
            <v>0</v>
          </cell>
          <cell r="O519" t="str">
            <v/>
          </cell>
          <cell r="S519" t="str">
            <v/>
          </cell>
          <cell r="T519" t="str">
            <v/>
          </cell>
        </row>
        <row r="520">
          <cell r="A520" t="str">
            <v/>
          </cell>
          <cell r="B520">
            <v>1516</v>
          </cell>
          <cell r="D520" t="str">
            <v/>
          </cell>
          <cell r="F520" t="str">
            <v/>
          </cell>
          <cell r="J520">
            <v>0</v>
          </cell>
          <cell r="L520">
            <v>0</v>
          </cell>
          <cell r="M520">
            <v>0</v>
          </cell>
          <cell r="N520">
            <v>0</v>
          </cell>
          <cell r="O520" t="str">
            <v/>
          </cell>
          <cell r="S520" t="str">
            <v/>
          </cell>
          <cell r="T520" t="str">
            <v/>
          </cell>
        </row>
        <row r="521">
          <cell r="A521" t="str">
            <v/>
          </cell>
          <cell r="B521">
            <v>1517</v>
          </cell>
          <cell r="D521" t="str">
            <v/>
          </cell>
          <cell r="F521" t="str">
            <v/>
          </cell>
          <cell r="J521">
            <v>0</v>
          </cell>
          <cell r="L521">
            <v>0</v>
          </cell>
          <cell r="M521">
            <v>0</v>
          </cell>
          <cell r="N521">
            <v>0</v>
          </cell>
          <cell r="O521" t="str">
            <v/>
          </cell>
          <cell r="S521" t="str">
            <v/>
          </cell>
          <cell r="T521" t="str">
            <v/>
          </cell>
        </row>
        <row r="522">
          <cell r="A522" t="str">
            <v/>
          </cell>
          <cell r="B522">
            <v>1518</v>
          </cell>
          <cell r="D522" t="str">
            <v/>
          </cell>
          <cell r="F522" t="str">
            <v/>
          </cell>
          <cell r="J522">
            <v>0</v>
          </cell>
          <cell r="L522">
            <v>0</v>
          </cell>
          <cell r="M522">
            <v>0</v>
          </cell>
          <cell r="N522">
            <v>0</v>
          </cell>
          <cell r="O522" t="str">
            <v/>
          </cell>
          <cell r="S522" t="str">
            <v/>
          </cell>
          <cell r="T522" t="str">
            <v/>
          </cell>
        </row>
        <row r="523">
          <cell r="A523" t="str">
            <v/>
          </cell>
          <cell r="B523">
            <v>1519</v>
          </cell>
          <cell r="D523" t="str">
            <v/>
          </cell>
          <cell r="F523" t="str">
            <v/>
          </cell>
          <cell r="J523">
            <v>0</v>
          </cell>
          <cell r="L523">
            <v>0</v>
          </cell>
          <cell r="M523">
            <v>0</v>
          </cell>
          <cell r="N523">
            <v>0</v>
          </cell>
          <cell r="O523" t="str">
            <v/>
          </cell>
          <cell r="S523" t="str">
            <v/>
          </cell>
          <cell r="T523" t="str">
            <v/>
          </cell>
        </row>
        <row r="524">
          <cell r="A524" t="str">
            <v/>
          </cell>
          <cell r="B524">
            <v>1520</v>
          </cell>
          <cell r="D524" t="str">
            <v/>
          </cell>
          <cell r="F524" t="str">
            <v/>
          </cell>
          <cell r="J524">
            <v>0</v>
          </cell>
          <cell r="L524">
            <v>0</v>
          </cell>
          <cell r="M524">
            <v>0</v>
          </cell>
          <cell r="N524">
            <v>0</v>
          </cell>
          <cell r="O524" t="str">
            <v/>
          </cell>
          <cell r="S524" t="str">
            <v/>
          </cell>
          <cell r="T524" t="str">
            <v/>
          </cell>
        </row>
        <row r="525">
          <cell r="A525" t="str">
            <v/>
          </cell>
          <cell r="B525">
            <v>1521</v>
          </cell>
          <cell r="D525" t="str">
            <v/>
          </cell>
          <cell r="F525" t="str">
            <v/>
          </cell>
          <cell r="J525">
            <v>0</v>
          </cell>
          <cell r="L525">
            <v>0</v>
          </cell>
          <cell r="M525">
            <v>0</v>
          </cell>
          <cell r="N525">
            <v>0</v>
          </cell>
          <cell r="O525" t="str">
            <v/>
          </cell>
          <cell r="S525" t="str">
            <v/>
          </cell>
          <cell r="T525" t="str">
            <v/>
          </cell>
        </row>
        <row r="526">
          <cell r="A526" t="str">
            <v/>
          </cell>
          <cell r="B526">
            <v>1522</v>
          </cell>
          <cell r="D526" t="str">
            <v/>
          </cell>
          <cell r="F526" t="str">
            <v/>
          </cell>
          <cell r="J526">
            <v>0</v>
          </cell>
          <cell r="L526">
            <v>0</v>
          </cell>
          <cell r="M526">
            <v>0</v>
          </cell>
          <cell r="N526">
            <v>0</v>
          </cell>
          <cell r="O526" t="str">
            <v/>
          </cell>
          <cell r="S526" t="str">
            <v/>
          </cell>
          <cell r="T526" t="str">
            <v/>
          </cell>
        </row>
        <row r="527">
          <cell r="A527" t="str">
            <v/>
          </cell>
          <cell r="B527">
            <v>1523</v>
          </cell>
          <cell r="D527" t="str">
            <v/>
          </cell>
          <cell r="F527" t="str">
            <v/>
          </cell>
          <cell r="J527">
            <v>0</v>
          </cell>
          <cell r="L527">
            <v>0</v>
          </cell>
          <cell r="M527">
            <v>0</v>
          </cell>
          <cell r="N527">
            <v>0</v>
          </cell>
          <cell r="O527" t="str">
            <v/>
          </cell>
          <cell r="S527" t="str">
            <v/>
          </cell>
          <cell r="T527" t="str">
            <v/>
          </cell>
        </row>
        <row r="528">
          <cell r="A528" t="str">
            <v/>
          </cell>
          <cell r="B528">
            <v>1524</v>
          </cell>
          <cell r="D528" t="str">
            <v/>
          </cell>
          <cell r="F528" t="str">
            <v/>
          </cell>
          <cell r="J528">
            <v>0</v>
          </cell>
          <cell r="L528">
            <v>0</v>
          </cell>
          <cell r="M528">
            <v>0</v>
          </cell>
          <cell r="N528">
            <v>0</v>
          </cell>
          <cell r="O528" t="str">
            <v/>
          </cell>
          <cell r="S528" t="str">
            <v/>
          </cell>
          <cell r="T528" t="str">
            <v/>
          </cell>
        </row>
        <row r="529">
          <cell r="A529" t="str">
            <v/>
          </cell>
          <cell r="B529">
            <v>1525</v>
          </cell>
          <cell r="D529" t="str">
            <v/>
          </cell>
          <cell r="F529" t="str">
            <v/>
          </cell>
          <cell r="J529">
            <v>0</v>
          </cell>
          <cell r="L529">
            <v>0</v>
          </cell>
          <cell r="M529">
            <v>0</v>
          </cell>
          <cell r="N529">
            <v>0</v>
          </cell>
          <cell r="O529" t="str">
            <v/>
          </cell>
          <cell r="S529" t="str">
            <v/>
          </cell>
          <cell r="T529" t="str">
            <v/>
          </cell>
        </row>
        <row r="530">
          <cell r="A530" t="str">
            <v/>
          </cell>
          <cell r="B530">
            <v>1526</v>
          </cell>
          <cell r="D530" t="str">
            <v/>
          </cell>
          <cell r="F530" t="str">
            <v/>
          </cell>
          <cell r="J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/>
          </cell>
          <cell r="S530" t="str">
            <v/>
          </cell>
          <cell r="T530" t="str">
            <v/>
          </cell>
        </row>
        <row r="531">
          <cell r="A531" t="str">
            <v/>
          </cell>
          <cell r="B531">
            <v>1527</v>
          </cell>
          <cell r="D531" t="str">
            <v/>
          </cell>
          <cell r="F531" t="str">
            <v/>
          </cell>
          <cell r="J531">
            <v>0</v>
          </cell>
          <cell r="L531">
            <v>0</v>
          </cell>
          <cell r="M531">
            <v>0</v>
          </cell>
          <cell r="N531">
            <v>0</v>
          </cell>
          <cell r="O531" t="str">
            <v/>
          </cell>
          <cell r="S531" t="str">
            <v/>
          </cell>
          <cell r="T531" t="str">
            <v/>
          </cell>
        </row>
        <row r="532">
          <cell r="A532" t="str">
            <v/>
          </cell>
          <cell r="B532">
            <v>1528</v>
          </cell>
          <cell r="D532" t="str">
            <v/>
          </cell>
          <cell r="F532" t="str">
            <v/>
          </cell>
          <cell r="J532">
            <v>0</v>
          </cell>
          <cell r="L532">
            <v>0</v>
          </cell>
          <cell r="M532">
            <v>0</v>
          </cell>
          <cell r="N532">
            <v>0</v>
          </cell>
          <cell r="O532" t="str">
            <v/>
          </cell>
          <cell r="S532" t="str">
            <v/>
          </cell>
          <cell r="T532" t="str">
            <v/>
          </cell>
        </row>
        <row r="533">
          <cell r="A533" t="str">
            <v/>
          </cell>
          <cell r="B533">
            <v>1529</v>
          </cell>
          <cell r="D533" t="str">
            <v/>
          </cell>
          <cell r="F533" t="str">
            <v/>
          </cell>
          <cell r="J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/>
          </cell>
          <cell r="S533" t="str">
            <v/>
          </cell>
          <cell r="T533" t="str">
            <v/>
          </cell>
        </row>
        <row r="534">
          <cell r="A534" t="str">
            <v/>
          </cell>
          <cell r="B534">
            <v>1530</v>
          </cell>
          <cell r="D534" t="str">
            <v/>
          </cell>
          <cell r="F534" t="str">
            <v/>
          </cell>
          <cell r="J534">
            <v>0</v>
          </cell>
          <cell r="L534">
            <v>0</v>
          </cell>
          <cell r="M534">
            <v>0</v>
          </cell>
          <cell r="N534">
            <v>0</v>
          </cell>
          <cell r="O534" t="str">
            <v/>
          </cell>
          <cell r="S534" t="str">
            <v/>
          </cell>
          <cell r="T534" t="str">
            <v/>
          </cell>
        </row>
        <row r="535">
          <cell r="A535" t="str">
            <v/>
          </cell>
          <cell r="B535">
            <v>1531</v>
          </cell>
          <cell r="D535" t="str">
            <v/>
          </cell>
          <cell r="F535" t="str">
            <v/>
          </cell>
          <cell r="J535">
            <v>0</v>
          </cell>
          <cell r="L535">
            <v>0</v>
          </cell>
          <cell r="M535">
            <v>0</v>
          </cell>
          <cell r="N535">
            <v>0</v>
          </cell>
          <cell r="O535" t="str">
            <v/>
          </cell>
          <cell r="S535" t="str">
            <v/>
          </cell>
          <cell r="T535" t="str">
            <v/>
          </cell>
        </row>
        <row r="536">
          <cell r="A536" t="str">
            <v/>
          </cell>
          <cell r="B536">
            <v>1532</v>
          </cell>
          <cell r="D536" t="str">
            <v/>
          </cell>
          <cell r="F536" t="str">
            <v/>
          </cell>
          <cell r="J536">
            <v>0</v>
          </cell>
          <cell r="L536">
            <v>0</v>
          </cell>
          <cell r="M536">
            <v>0</v>
          </cell>
          <cell r="N536">
            <v>0</v>
          </cell>
          <cell r="O536" t="str">
            <v/>
          </cell>
          <cell r="S536" t="str">
            <v/>
          </cell>
          <cell r="T536" t="str">
            <v/>
          </cell>
        </row>
        <row r="537">
          <cell r="A537" t="str">
            <v/>
          </cell>
          <cell r="B537">
            <v>1533</v>
          </cell>
          <cell r="D537" t="str">
            <v/>
          </cell>
          <cell r="F537" t="str">
            <v/>
          </cell>
          <cell r="J537">
            <v>0</v>
          </cell>
          <cell r="L537">
            <v>0</v>
          </cell>
          <cell r="M537">
            <v>0</v>
          </cell>
          <cell r="N537">
            <v>0</v>
          </cell>
          <cell r="O537" t="str">
            <v/>
          </cell>
          <cell r="S537" t="str">
            <v/>
          </cell>
          <cell r="T537" t="str">
            <v/>
          </cell>
        </row>
        <row r="538">
          <cell r="A538" t="str">
            <v/>
          </cell>
          <cell r="B538">
            <v>1534</v>
          </cell>
          <cell r="D538" t="str">
            <v/>
          </cell>
          <cell r="F538" t="str">
            <v/>
          </cell>
          <cell r="J538">
            <v>0</v>
          </cell>
          <cell r="L538">
            <v>0</v>
          </cell>
          <cell r="M538">
            <v>0</v>
          </cell>
          <cell r="N538">
            <v>0</v>
          </cell>
          <cell r="O538" t="str">
            <v/>
          </cell>
          <cell r="S538" t="str">
            <v/>
          </cell>
          <cell r="T538" t="str">
            <v/>
          </cell>
        </row>
        <row r="539">
          <cell r="A539" t="str">
            <v/>
          </cell>
          <cell r="B539">
            <v>1535</v>
          </cell>
          <cell r="D539" t="str">
            <v/>
          </cell>
          <cell r="F539" t="str">
            <v/>
          </cell>
          <cell r="J539">
            <v>0</v>
          </cell>
          <cell r="L539">
            <v>0</v>
          </cell>
          <cell r="M539">
            <v>0</v>
          </cell>
          <cell r="N539">
            <v>0</v>
          </cell>
          <cell r="O539" t="str">
            <v/>
          </cell>
          <cell r="S539" t="str">
            <v/>
          </cell>
          <cell r="T539" t="str">
            <v/>
          </cell>
        </row>
        <row r="540">
          <cell r="A540" t="str">
            <v/>
          </cell>
          <cell r="B540">
            <v>1536</v>
          </cell>
          <cell r="D540" t="str">
            <v/>
          </cell>
          <cell r="F540" t="str">
            <v/>
          </cell>
          <cell r="J540">
            <v>0</v>
          </cell>
          <cell r="L540">
            <v>0</v>
          </cell>
          <cell r="M540">
            <v>0</v>
          </cell>
          <cell r="N540">
            <v>0</v>
          </cell>
          <cell r="O540" t="str">
            <v/>
          </cell>
          <cell r="S540" t="str">
            <v/>
          </cell>
          <cell r="T540" t="str">
            <v/>
          </cell>
        </row>
        <row r="541">
          <cell r="A541" t="str">
            <v/>
          </cell>
          <cell r="B541">
            <v>1537</v>
          </cell>
          <cell r="D541" t="str">
            <v/>
          </cell>
          <cell r="F541" t="str">
            <v/>
          </cell>
          <cell r="J541">
            <v>0</v>
          </cell>
          <cell r="L541">
            <v>0</v>
          </cell>
          <cell r="M541">
            <v>0</v>
          </cell>
          <cell r="N541">
            <v>0</v>
          </cell>
          <cell r="O541" t="str">
            <v/>
          </cell>
          <cell r="S541" t="str">
            <v/>
          </cell>
          <cell r="T541" t="str">
            <v/>
          </cell>
        </row>
        <row r="542">
          <cell r="A542" t="str">
            <v/>
          </cell>
          <cell r="B542">
            <v>1538</v>
          </cell>
          <cell r="D542" t="str">
            <v/>
          </cell>
          <cell r="F542" t="str">
            <v/>
          </cell>
          <cell r="J542">
            <v>0</v>
          </cell>
          <cell r="L542">
            <v>0</v>
          </cell>
          <cell r="M542">
            <v>0</v>
          </cell>
          <cell r="N542">
            <v>0</v>
          </cell>
          <cell r="O542" t="str">
            <v/>
          </cell>
          <cell r="S542" t="str">
            <v/>
          </cell>
          <cell r="T542" t="str">
            <v/>
          </cell>
        </row>
        <row r="543">
          <cell r="A543" t="str">
            <v/>
          </cell>
          <cell r="B543">
            <v>1539</v>
          </cell>
          <cell r="D543" t="str">
            <v/>
          </cell>
          <cell r="F543" t="str">
            <v/>
          </cell>
          <cell r="J543">
            <v>0</v>
          </cell>
          <cell r="L543">
            <v>0</v>
          </cell>
          <cell r="M543">
            <v>0</v>
          </cell>
          <cell r="N543">
            <v>0</v>
          </cell>
          <cell r="O543" t="str">
            <v/>
          </cell>
          <cell r="S543" t="str">
            <v/>
          </cell>
          <cell r="T543" t="str">
            <v/>
          </cell>
        </row>
        <row r="544">
          <cell r="A544" t="str">
            <v/>
          </cell>
          <cell r="B544">
            <v>1540</v>
          </cell>
          <cell r="D544" t="str">
            <v/>
          </cell>
          <cell r="F544" t="str">
            <v/>
          </cell>
          <cell r="J544">
            <v>0</v>
          </cell>
          <cell r="L544">
            <v>0</v>
          </cell>
          <cell r="M544">
            <v>0</v>
          </cell>
          <cell r="N544">
            <v>0</v>
          </cell>
          <cell r="O544" t="str">
            <v/>
          </cell>
          <cell r="S544" t="str">
            <v/>
          </cell>
          <cell r="T544" t="str">
            <v/>
          </cell>
        </row>
        <row r="545">
          <cell r="A545" t="str">
            <v/>
          </cell>
          <cell r="B545">
            <v>1541</v>
          </cell>
          <cell r="D545" t="str">
            <v/>
          </cell>
          <cell r="F545" t="str">
            <v/>
          </cell>
          <cell r="J545">
            <v>0</v>
          </cell>
          <cell r="L545">
            <v>0</v>
          </cell>
          <cell r="M545">
            <v>0</v>
          </cell>
          <cell r="N545">
            <v>0</v>
          </cell>
          <cell r="O545" t="str">
            <v/>
          </cell>
          <cell r="S545" t="str">
            <v/>
          </cell>
          <cell r="T545" t="str">
            <v/>
          </cell>
        </row>
        <row r="546">
          <cell r="A546" t="str">
            <v/>
          </cell>
          <cell r="B546">
            <v>1542</v>
          </cell>
          <cell r="D546" t="str">
            <v/>
          </cell>
          <cell r="F546" t="str">
            <v/>
          </cell>
          <cell r="J546">
            <v>0</v>
          </cell>
          <cell r="L546">
            <v>0</v>
          </cell>
          <cell r="M546">
            <v>0</v>
          </cell>
          <cell r="N546">
            <v>0</v>
          </cell>
          <cell r="O546" t="str">
            <v/>
          </cell>
          <cell r="S546" t="str">
            <v/>
          </cell>
          <cell r="T546" t="str">
            <v/>
          </cell>
        </row>
        <row r="547">
          <cell r="A547" t="str">
            <v/>
          </cell>
          <cell r="B547">
            <v>1543</v>
          </cell>
          <cell r="D547" t="str">
            <v/>
          </cell>
          <cell r="F547" t="str">
            <v/>
          </cell>
          <cell r="J547">
            <v>0</v>
          </cell>
          <cell r="L547">
            <v>0</v>
          </cell>
          <cell r="M547">
            <v>0</v>
          </cell>
          <cell r="N547">
            <v>0</v>
          </cell>
          <cell r="O547" t="str">
            <v/>
          </cell>
          <cell r="S547" t="str">
            <v/>
          </cell>
          <cell r="T547" t="str">
            <v/>
          </cell>
        </row>
        <row r="548">
          <cell r="A548" t="str">
            <v/>
          </cell>
          <cell r="B548">
            <v>1544</v>
          </cell>
          <cell r="D548" t="str">
            <v/>
          </cell>
          <cell r="F548" t="str">
            <v/>
          </cell>
          <cell r="J548">
            <v>0</v>
          </cell>
          <cell r="L548">
            <v>0</v>
          </cell>
          <cell r="M548">
            <v>0</v>
          </cell>
          <cell r="N548">
            <v>0</v>
          </cell>
          <cell r="O548" t="str">
            <v/>
          </cell>
          <cell r="S548" t="str">
            <v/>
          </cell>
          <cell r="T548" t="str">
            <v/>
          </cell>
        </row>
        <row r="549">
          <cell r="A549" t="str">
            <v/>
          </cell>
          <cell r="B549">
            <v>1545</v>
          </cell>
          <cell r="D549" t="str">
            <v/>
          </cell>
          <cell r="F549" t="str">
            <v/>
          </cell>
          <cell r="J549">
            <v>0</v>
          </cell>
          <cell r="L549">
            <v>0</v>
          </cell>
          <cell r="M549">
            <v>0</v>
          </cell>
          <cell r="N549">
            <v>0</v>
          </cell>
          <cell r="O549" t="str">
            <v/>
          </cell>
          <cell r="S549" t="str">
            <v/>
          </cell>
          <cell r="T549" t="str">
            <v/>
          </cell>
        </row>
        <row r="550">
          <cell r="A550" t="str">
            <v/>
          </cell>
          <cell r="B550">
            <v>1546</v>
          </cell>
          <cell r="D550" t="str">
            <v/>
          </cell>
          <cell r="F550" t="str">
            <v/>
          </cell>
          <cell r="J550">
            <v>0</v>
          </cell>
          <cell r="L550">
            <v>0</v>
          </cell>
          <cell r="M550">
            <v>0</v>
          </cell>
          <cell r="N550">
            <v>0</v>
          </cell>
          <cell r="O550" t="str">
            <v/>
          </cell>
          <cell r="S550" t="str">
            <v/>
          </cell>
          <cell r="T550" t="str">
            <v/>
          </cell>
        </row>
        <row r="551">
          <cell r="A551" t="str">
            <v/>
          </cell>
          <cell r="B551">
            <v>1547</v>
          </cell>
          <cell r="D551" t="str">
            <v/>
          </cell>
          <cell r="F551" t="str">
            <v/>
          </cell>
          <cell r="J551">
            <v>0</v>
          </cell>
          <cell r="L551">
            <v>0</v>
          </cell>
          <cell r="M551">
            <v>0</v>
          </cell>
          <cell r="N551">
            <v>0</v>
          </cell>
          <cell r="O551" t="str">
            <v/>
          </cell>
          <cell r="S551" t="str">
            <v/>
          </cell>
          <cell r="T551" t="str">
            <v/>
          </cell>
        </row>
        <row r="552">
          <cell r="A552" t="str">
            <v/>
          </cell>
          <cell r="B552">
            <v>1548</v>
          </cell>
          <cell r="D552" t="str">
            <v/>
          </cell>
          <cell r="F552" t="str">
            <v/>
          </cell>
          <cell r="J552">
            <v>0</v>
          </cell>
          <cell r="L552">
            <v>0</v>
          </cell>
          <cell r="M552">
            <v>0</v>
          </cell>
          <cell r="N552">
            <v>0</v>
          </cell>
          <cell r="O552" t="str">
            <v/>
          </cell>
          <cell r="S552" t="str">
            <v/>
          </cell>
          <cell r="T552" t="str">
            <v/>
          </cell>
        </row>
        <row r="553">
          <cell r="A553" t="str">
            <v/>
          </cell>
          <cell r="B553">
            <v>1549</v>
          </cell>
          <cell r="D553" t="str">
            <v/>
          </cell>
          <cell r="F553" t="str">
            <v/>
          </cell>
          <cell r="J553">
            <v>0</v>
          </cell>
          <cell r="L553">
            <v>0</v>
          </cell>
          <cell r="M553">
            <v>0</v>
          </cell>
          <cell r="N553">
            <v>0</v>
          </cell>
          <cell r="O553" t="str">
            <v/>
          </cell>
          <cell r="S553" t="str">
            <v/>
          </cell>
          <cell r="T553" t="str">
            <v/>
          </cell>
        </row>
        <row r="554">
          <cell r="A554" t="str">
            <v/>
          </cell>
          <cell r="B554">
            <v>1550</v>
          </cell>
          <cell r="D554" t="str">
            <v/>
          </cell>
          <cell r="F554" t="str">
            <v/>
          </cell>
          <cell r="J554">
            <v>0</v>
          </cell>
          <cell r="L554">
            <v>0</v>
          </cell>
          <cell r="M554">
            <v>0</v>
          </cell>
          <cell r="N554">
            <v>0</v>
          </cell>
          <cell r="O554" t="str">
            <v/>
          </cell>
          <cell r="S554" t="str">
            <v/>
          </cell>
          <cell r="T554" t="str">
            <v/>
          </cell>
        </row>
        <row r="555">
          <cell r="A555" t="str">
            <v/>
          </cell>
          <cell r="B555">
            <v>1551</v>
          </cell>
          <cell r="D555" t="str">
            <v/>
          </cell>
          <cell r="F555" t="str">
            <v/>
          </cell>
          <cell r="J555">
            <v>0</v>
          </cell>
          <cell r="L555">
            <v>0</v>
          </cell>
          <cell r="M555">
            <v>0</v>
          </cell>
          <cell r="N555">
            <v>0</v>
          </cell>
          <cell r="O555" t="str">
            <v/>
          </cell>
          <cell r="S555" t="str">
            <v/>
          </cell>
          <cell r="T555" t="str">
            <v/>
          </cell>
        </row>
        <row r="556">
          <cell r="A556" t="str">
            <v/>
          </cell>
          <cell r="B556">
            <v>1552</v>
          </cell>
          <cell r="D556" t="str">
            <v/>
          </cell>
          <cell r="F556" t="str">
            <v/>
          </cell>
          <cell r="J556">
            <v>0</v>
          </cell>
          <cell r="L556">
            <v>0</v>
          </cell>
          <cell r="M556">
            <v>0</v>
          </cell>
          <cell r="N556">
            <v>0</v>
          </cell>
          <cell r="O556" t="str">
            <v/>
          </cell>
          <cell r="S556" t="str">
            <v/>
          </cell>
          <cell r="T556" t="str">
            <v/>
          </cell>
        </row>
        <row r="557">
          <cell r="A557" t="str">
            <v/>
          </cell>
          <cell r="B557">
            <v>1553</v>
          </cell>
          <cell r="D557" t="str">
            <v/>
          </cell>
          <cell r="F557" t="str">
            <v/>
          </cell>
          <cell r="J557">
            <v>0</v>
          </cell>
          <cell r="L557">
            <v>0</v>
          </cell>
          <cell r="M557">
            <v>0</v>
          </cell>
          <cell r="N557">
            <v>0</v>
          </cell>
          <cell r="O557" t="str">
            <v/>
          </cell>
          <cell r="S557" t="str">
            <v/>
          </cell>
          <cell r="T557" t="str">
            <v/>
          </cell>
        </row>
        <row r="558">
          <cell r="A558" t="str">
            <v/>
          </cell>
          <cell r="B558">
            <v>1554</v>
          </cell>
          <cell r="D558" t="str">
            <v/>
          </cell>
          <cell r="F558" t="str">
            <v/>
          </cell>
          <cell r="J558">
            <v>0</v>
          </cell>
          <cell r="L558">
            <v>0</v>
          </cell>
          <cell r="M558">
            <v>0</v>
          </cell>
          <cell r="N558">
            <v>0</v>
          </cell>
          <cell r="O558" t="str">
            <v/>
          </cell>
          <cell r="S558" t="str">
            <v/>
          </cell>
          <cell r="T558" t="str">
            <v/>
          </cell>
        </row>
        <row r="559">
          <cell r="A559" t="str">
            <v/>
          </cell>
          <cell r="B559">
            <v>1555</v>
          </cell>
          <cell r="D559" t="str">
            <v/>
          </cell>
          <cell r="F559" t="str">
            <v/>
          </cell>
          <cell r="J559">
            <v>0</v>
          </cell>
          <cell r="L559">
            <v>0</v>
          </cell>
          <cell r="M559">
            <v>0</v>
          </cell>
          <cell r="N559">
            <v>0</v>
          </cell>
          <cell r="O559" t="str">
            <v/>
          </cell>
          <cell r="S559" t="str">
            <v/>
          </cell>
          <cell r="T559" t="str">
            <v/>
          </cell>
        </row>
        <row r="560">
          <cell r="A560" t="str">
            <v/>
          </cell>
          <cell r="B560">
            <v>1556</v>
          </cell>
          <cell r="D560" t="str">
            <v/>
          </cell>
          <cell r="F560" t="str">
            <v/>
          </cell>
          <cell r="J560">
            <v>0</v>
          </cell>
          <cell r="L560">
            <v>0</v>
          </cell>
          <cell r="M560">
            <v>0</v>
          </cell>
          <cell r="N560">
            <v>0</v>
          </cell>
          <cell r="O560" t="str">
            <v/>
          </cell>
          <cell r="S560" t="str">
            <v/>
          </cell>
          <cell r="T560" t="str">
            <v/>
          </cell>
        </row>
        <row r="561">
          <cell r="A561" t="str">
            <v/>
          </cell>
          <cell r="B561">
            <v>1557</v>
          </cell>
          <cell r="D561" t="str">
            <v/>
          </cell>
          <cell r="F561" t="str">
            <v/>
          </cell>
          <cell r="J561">
            <v>0</v>
          </cell>
          <cell r="L561">
            <v>0</v>
          </cell>
          <cell r="M561">
            <v>0</v>
          </cell>
          <cell r="N561">
            <v>0</v>
          </cell>
          <cell r="O561" t="str">
            <v/>
          </cell>
          <cell r="S561" t="str">
            <v/>
          </cell>
          <cell r="T561" t="str">
            <v/>
          </cell>
        </row>
        <row r="562">
          <cell r="A562" t="str">
            <v/>
          </cell>
          <cell r="B562">
            <v>1558</v>
          </cell>
          <cell r="D562" t="str">
            <v/>
          </cell>
          <cell r="F562" t="str">
            <v/>
          </cell>
          <cell r="J562">
            <v>0</v>
          </cell>
          <cell r="L562">
            <v>0</v>
          </cell>
          <cell r="M562">
            <v>0</v>
          </cell>
          <cell r="N562">
            <v>0</v>
          </cell>
          <cell r="O562" t="str">
            <v/>
          </cell>
          <cell r="S562" t="str">
            <v/>
          </cell>
          <cell r="T562" t="str">
            <v/>
          </cell>
        </row>
        <row r="563">
          <cell r="A563" t="str">
            <v/>
          </cell>
          <cell r="B563">
            <v>1559</v>
          </cell>
          <cell r="D563" t="str">
            <v/>
          </cell>
          <cell r="F563" t="str">
            <v/>
          </cell>
          <cell r="J563">
            <v>0</v>
          </cell>
          <cell r="L563">
            <v>0</v>
          </cell>
          <cell r="M563">
            <v>0</v>
          </cell>
          <cell r="N563">
            <v>0</v>
          </cell>
          <cell r="O563" t="str">
            <v/>
          </cell>
          <cell r="S563" t="str">
            <v/>
          </cell>
          <cell r="T563" t="str">
            <v/>
          </cell>
        </row>
        <row r="564">
          <cell r="A564" t="str">
            <v/>
          </cell>
          <cell r="B564">
            <v>1560</v>
          </cell>
          <cell r="D564" t="str">
            <v/>
          </cell>
          <cell r="F564" t="str">
            <v/>
          </cell>
          <cell r="J564">
            <v>0</v>
          </cell>
          <cell r="L564">
            <v>0</v>
          </cell>
          <cell r="M564">
            <v>0</v>
          </cell>
          <cell r="N564">
            <v>0</v>
          </cell>
          <cell r="O564" t="str">
            <v/>
          </cell>
          <cell r="S564" t="str">
            <v/>
          </cell>
          <cell r="T564" t="str">
            <v/>
          </cell>
        </row>
        <row r="565">
          <cell r="A565" t="str">
            <v/>
          </cell>
          <cell r="B565">
            <v>1561</v>
          </cell>
          <cell r="D565" t="str">
            <v/>
          </cell>
          <cell r="F565" t="str">
            <v/>
          </cell>
          <cell r="J565">
            <v>0</v>
          </cell>
          <cell r="L565">
            <v>0</v>
          </cell>
          <cell r="M565">
            <v>0</v>
          </cell>
          <cell r="N565">
            <v>0</v>
          </cell>
          <cell r="O565" t="str">
            <v/>
          </cell>
          <cell r="S565" t="str">
            <v/>
          </cell>
          <cell r="T565" t="str">
            <v/>
          </cell>
        </row>
        <row r="566">
          <cell r="A566" t="str">
            <v/>
          </cell>
          <cell r="B566">
            <v>1562</v>
          </cell>
          <cell r="D566" t="str">
            <v/>
          </cell>
          <cell r="F566" t="str">
            <v/>
          </cell>
          <cell r="J566">
            <v>0</v>
          </cell>
          <cell r="L566">
            <v>0</v>
          </cell>
          <cell r="M566">
            <v>0</v>
          </cell>
          <cell r="N566">
            <v>0</v>
          </cell>
          <cell r="O566" t="str">
            <v/>
          </cell>
          <cell r="S566" t="str">
            <v/>
          </cell>
          <cell r="T566" t="str">
            <v/>
          </cell>
        </row>
        <row r="567">
          <cell r="A567" t="str">
            <v/>
          </cell>
          <cell r="B567">
            <v>1563</v>
          </cell>
          <cell r="D567" t="str">
            <v/>
          </cell>
          <cell r="F567" t="str">
            <v/>
          </cell>
          <cell r="J567">
            <v>0</v>
          </cell>
          <cell r="L567">
            <v>0</v>
          </cell>
          <cell r="M567">
            <v>0</v>
          </cell>
          <cell r="N567">
            <v>0</v>
          </cell>
          <cell r="O567" t="str">
            <v/>
          </cell>
          <cell r="S567" t="str">
            <v/>
          </cell>
          <cell r="T567" t="str">
            <v/>
          </cell>
        </row>
        <row r="568">
          <cell r="A568" t="str">
            <v/>
          </cell>
          <cell r="B568">
            <v>1564</v>
          </cell>
          <cell r="D568" t="str">
            <v/>
          </cell>
          <cell r="F568" t="str">
            <v/>
          </cell>
          <cell r="J568">
            <v>0</v>
          </cell>
          <cell r="L568">
            <v>0</v>
          </cell>
          <cell r="M568">
            <v>0</v>
          </cell>
          <cell r="N568">
            <v>0</v>
          </cell>
          <cell r="O568" t="str">
            <v/>
          </cell>
          <cell r="S568" t="str">
            <v/>
          </cell>
          <cell r="T568" t="str">
            <v/>
          </cell>
        </row>
        <row r="569">
          <cell r="A569" t="str">
            <v/>
          </cell>
          <cell r="B569">
            <v>1565</v>
          </cell>
          <cell r="D569" t="str">
            <v/>
          </cell>
          <cell r="F569" t="str">
            <v/>
          </cell>
          <cell r="J569">
            <v>0</v>
          </cell>
          <cell r="L569">
            <v>0</v>
          </cell>
          <cell r="M569">
            <v>0</v>
          </cell>
          <cell r="N569">
            <v>0</v>
          </cell>
          <cell r="O569" t="str">
            <v/>
          </cell>
          <cell r="S569" t="str">
            <v/>
          </cell>
          <cell r="T569" t="str">
            <v/>
          </cell>
        </row>
        <row r="570">
          <cell r="A570" t="str">
            <v/>
          </cell>
          <cell r="B570">
            <v>1566</v>
          </cell>
          <cell r="D570" t="str">
            <v/>
          </cell>
          <cell r="F570" t="str">
            <v/>
          </cell>
          <cell r="J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/>
          </cell>
          <cell r="S570" t="str">
            <v/>
          </cell>
          <cell r="T570" t="str">
            <v/>
          </cell>
        </row>
        <row r="571">
          <cell r="A571" t="str">
            <v/>
          </cell>
          <cell r="B571">
            <v>1567</v>
          </cell>
          <cell r="D571" t="str">
            <v/>
          </cell>
          <cell r="F571" t="str">
            <v/>
          </cell>
          <cell r="J571">
            <v>0</v>
          </cell>
          <cell r="L571">
            <v>0</v>
          </cell>
          <cell r="M571">
            <v>0</v>
          </cell>
          <cell r="N571">
            <v>0</v>
          </cell>
          <cell r="O571" t="str">
            <v/>
          </cell>
          <cell r="S571" t="str">
            <v/>
          </cell>
          <cell r="T571" t="str">
            <v/>
          </cell>
        </row>
        <row r="572">
          <cell r="A572" t="str">
            <v/>
          </cell>
          <cell r="B572">
            <v>1568</v>
          </cell>
          <cell r="D572" t="str">
            <v/>
          </cell>
          <cell r="F572" t="str">
            <v/>
          </cell>
          <cell r="J572">
            <v>0</v>
          </cell>
          <cell r="L572">
            <v>0</v>
          </cell>
          <cell r="M572">
            <v>0</v>
          </cell>
          <cell r="N572">
            <v>0</v>
          </cell>
          <cell r="O572" t="str">
            <v/>
          </cell>
          <cell r="S572" t="str">
            <v/>
          </cell>
          <cell r="T572" t="str">
            <v/>
          </cell>
        </row>
        <row r="573">
          <cell r="A573" t="str">
            <v/>
          </cell>
          <cell r="B573">
            <v>1569</v>
          </cell>
          <cell r="D573" t="str">
            <v/>
          </cell>
          <cell r="F573" t="str">
            <v/>
          </cell>
          <cell r="J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/>
          </cell>
          <cell r="S573" t="str">
            <v/>
          </cell>
          <cell r="T573" t="str">
            <v/>
          </cell>
        </row>
        <row r="574">
          <cell r="A574" t="str">
            <v/>
          </cell>
          <cell r="B574">
            <v>1570</v>
          </cell>
          <cell r="D574" t="str">
            <v/>
          </cell>
          <cell r="F574" t="str">
            <v/>
          </cell>
          <cell r="J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/>
          </cell>
          <cell r="S574" t="str">
            <v/>
          </cell>
          <cell r="T574" t="str">
            <v/>
          </cell>
        </row>
        <row r="575">
          <cell r="A575" t="str">
            <v/>
          </cell>
          <cell r="B575">
            <v>1571</v>
          </cell>
          <cell r="D575" t="str">
            <v/>
          </cell>
          <cell r="F575" t="str">
            <v/>
          </cell>
          <cell r="J575">
            <v>0</v>
          </cell>
          <cell r="L575">
            <v>0</v>
          </cell>
          <cell r="M575">
            <v>0</v>
          </cell>
          <cell r="N575">
            <v>0</v>
          </cell>
          <cell r="O575" t="str">
            <v/>
          </cell>
          <cell r="S575" t="str">
            <v/>
          </cell>
          <cell r="T575" t="str">
            <v/>
          </cell>
        </row>
        <row r="576">
          <cell r="A576" t="str">
            <v/>
          </cell>
          <cell r="B576">
            <v>1572</v>
          </cell>
          <cell r="D576" t="str">
            <v/>
          </cell>
          <cell r="F576" t="str">
            <v/>
          </cell>
          <cell r="J576">
            <v>0</v>
          </cell>
          <cell r="L576">
            <v>0</v>
          </cell>
          <cell r="M576">
            <v>0</v>
          </cell>
          <cell r="N576">
            <v>0</v>
          </cell>
          <cell r="O576" t="str">
            <v/>
          </cell>
          <cell r="S576" t="str">
            <v/>
          </cell>
          <cell r="T576" t="str">
            <v/>
          </cell>
        </row>
        <row r="577">
          <cell r="A577" t="str">
            <v/>
          </cell>
          <cell r="B577">
            <v>1573</v>
          </cell>
          <cell r="D577" t="str">
            <v/>
          </cell>
          <cell r="F577" t="str">
            <v/>
          </cell>
          <cell r="J577">
            <v>0</v>
          </cell>
          <cell r="L577">
            <v>0</v>
          </cell>
          <cell r="M577">
            <v>0</v>
          </cell>
          <cell r="N577">
            <v>0</v>
          </cell>
          <cell r="O577" t="str">
            <v/>
          </cell>
          <cell r="S577" t="str">
            <v/>
          </cell>
          <cell r="T577" t="str">
            <v/>
          </cell>
        </row>
        <row r="578">
          <cell r="A578" t="str">
            <v/>
          </cell>
          <cell r="B578">
            <v>1574</v>
          </cell>
          <cell r="D578" t="str">
            <v/>
          </cell>
          <cell r="F578" t="str">
            <v/>
          </cell>
          <cell r="J578">
            <v>0</v>
          </cell>
          <cell r="L578">
            <v>0</v>
          </cell>
          <cell r="M578">
            <v>0</v>
          </cell>
          <cell r="N578">
            <v>0</v>
          </cell>
          <cell r="O578" t="str">
            <v/>
          </cell>
          <cell r="S578" t="str">
            <v/>
          </cell>
          <cell r="T578" t="str">
            <v/>
          </cell>
        </row>
        <row r="579">
          <cell r="A579" t="str">
            <v/>
          </cell>
          <cell r="B579">
            <v>1575</v>
          </cell>
          <cell r="D579" t="str">
            <v/>
          </cell>
          <cell r="F579" t="str">
            <v/>
          </cell>
          <cell r="J579">
            <v>0</v>
          </cell>
          <cell r="L579">
            <v>0</v>
          </cell>
          <cell r="M579">
            <v>0</v>
          </cell>
          <cell r="N579">
            <v>0</v>
          </cell>
          <cell r="O579" t="str">
            <v/>
          </cell>
          <cell r="S579" t="str">
            <v/>
          </cell>
          <cell r="T579" t="str">
            <v/>
          </cell>
        </row>
        <row r="580">
          <cell r="A580" t="str">
            <v/>
          </cell>
          <cell r="B580">
            <v>1576</v>
          </cell>
          <cell r="D580" t="str">
            <v/>
          </cell>
          <cell r="F580" t="str">
            <v/>
          </cell>
          <cell r="J580">
            <v>0</v>
          </cell>
          <cell r="L580">
            <v>0</v>
          </cell>
          <cell r="M580">
            <v>0</v>
          </cell>
          <cell r="N580">
            <v>0</v>
          </cell>
          <cell r="O580" t="str">
            <v/>
          </cell>
          <cell r="S580" t="str">
            <v/>
          </cell>
          <cell r="T580" t="str">
            <v/>
          </cell>
        </row>
        <row r="581">
          <cell r="A581" t="str">
            <v/>
          </cell>
          <cell r="B581">
            <v>1577</v>
          </cell>
          <cell r="D581" t="str">
            <v/>
          </cell>
          <cell r="F581" t="str">
            <v/>
          </cell>
          <cell r="J581">
            <v>0</v>
          </cell>
          <cell r="L581">
            <v>0</v>
          </cell>
          <cell r="M581">
            <v>0</v>
          </cell>
          <cell r="N581">
            <v>0</v>
          </cell>
          <cell r="O581" t="str">
            <v/>
          </cell>
          <cell r="S581" t="str">
            <v/>
          </cell>
          <cell r="T581" t="str">
            <v/>
          </cell>
        </row>
        <row r="582">
          <cell r="A582" t="str">
            <v/>
          </cell>
          <cell r="B582">
            <v>1578</v>
          </cell>
          <cell r="D582" t="str">
            <v/>
          </cell>
          <cell r="F582" t="str">
            <v/>
          </cell>
          <cell r="J582">
            <v>0</v>
          </cell>
          <cell r="L582">
            <v>0</v>
          </cell>
          <cell r="M582">
            <v>0</v>
          </cell>
          <cell r="N582">
            <v>0</v>
          </cell>
          <cell r="O582" t="str">
            <v/>
          </cell>
          <cell r="S582" t="str">
            <v/>
          </cell>
          <cell r="T582" t="str">
            <v/>
          </cell>
        </row>
        <row r="583">
          <cell r="A583" t="str">
            <v/>
          </cell>
          <cell r="B583">
            <v>1579</v>
          </cell>
          <cell r="D583" t="str">
            <v/>
          </cell>
          <cell r="F583" t="str">
            <v/>
          </cell>
          <cell r="J583">
            <v>0</v>
          </cell>
          <cell r="L583">
            <v>0</v>
          </cell>
          <cell r="M583">
            <v>0</v>
          </cell>
          <cell r="N583">
            <v>0</v>
          </cell>
          <cell r="O583" t="str">
            <v/>
          </cell>
          <cell r="S583" t="str">
            <v/>
          </cell>
          <cell r="T583" t="str">
            <v/>
          </cell>
        </row>
        <row r="584">
          <cell r="A584" t="str">
            <v/>
          </cell>
          <cell r="B584">
            <v>1580</v>
          </cell>
          <cell r="D584" t="str">
            <v/>
          </cell>
          <cell r="F584" t="str">
            <v/>
          </cell>
          <cell r="J584">
            <v>0</v>
          </cell>
          <cell r="L584">
            <v>0</v>
          </cell>
          <cell r="M584">
            <v>0</v>
          </cell>
          <cell r="N584">
            <v>0</v>
          </cell>
          <cell r="O584" t="str">
            <v/>
          </cell>
          <cell r="S584" t="str">
            <v/>
          </cell>
          <cell r="T584" t="str">
            <v/>
          </cell>
        </row>
        <row r="585">
          <cell r="A585" t="str">
            <v/>
          </cell>
          <cell r="B585">
            <v>1581</v>
          </cell>
          <cell r="D585" t="str">
            <v/>
          </cell>
          <cell r="F585" t="str">
            <v/>
          </cell>
          <cell r="J585">
            <v>0</v>
          </cell>
          <cell r="L585">
            <v>0</v>
          </cell>
          <cell r="M585">
            <v>0</v>
          </cell>
          <cell r="N585">
            <v>0</v>
          </cell>
          <cell r="O585" t="str">
            <v/>
          </cell>
          <cell r="S585" t="str">
            <v/>
          </cell>
          <cell r="T585" t="str">
            <v/>
          </cell>
        </row>
        <row r="586">
          <cell r="A586" t="str">
            <v/>
          </cell>
          <cell r="B586">
            <v>1582</v>
          </cell>
          <cell r="D586" t="str">
            <v/>
          </cell>
          <cell r="F586" t="str">
            <v/>
          </cell>
          <cell r="J586">
            <v>0</v>
          </cell>
          <cell r="L586">
            <v>0</v>
          </cell>
          <cell r="M586">
            <v>0</v>
          </cell>
          <cell r="N586">
            <v>0</v>
          </cell>
          <cell r="O586" t="str">
            <v/>
          </cell>
          <cell r="S586" t="str">
            <v/>
          </cell>
          <cell r="T586" t="str">
            <v/>
          </cell>
        </row>
        <row r="587">
          <cell r="A587" t="str">
            <v/>
          </cell>
          <cell r="B587">
            <v>1583</v>
          </cell>
          <cell r="D587" t="str">
            <v/>
          </cell>
          <cell r="F587" t="str">
            <v/>
          </cell>
          <cell r="J587">
            <v>0</v>
          </cell>
          <cell r="L587">
            <v>0</v>
          </cell>
          <cell r="M587">
            <v>0</v>
          </cell>
          <cell r="N587">
            <v>0</v>
          </cell>
          <cell r="O587" t="str">
            <v/>
          </cell>
          <cell r="S587" t="str">
            <v/>
          </cell>
          <cell r="T587" t="str">
            <v/>
          </cell>
        </row>
        <row r="588">
          <cell r="A588" t="str">
            <v/>
          </cell>
          <cell r="B588">
            <v>1584</v>
          </cell>
          <cell r="D588" t="str">
            <v/>
          </cell>
          <cell r="F588" t="str">
            <v/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O588" t="str">
            <v/>
          </cell>
          <cell r="S588" t="str">
            <v/>
          </cell>
          <cell r="T588" t="str">
            <v/>
          </cell>
        </row>
        <row r="589">
          <cell r="A589" t="str">
            <v/>
          </cell>
          <cell r="B589">
            <v>1585</v>
          </cell>
          <cell r="D589" t="str">
            <v/>
          </cell>
          <cell r="F589" t="str">
            <v/>
          </cell>
          <cell r="J589">
            <v>0</v>
          </cell>
          <cell r="L589">
            <v>0</v>
          </cell>
          <cell r="M589">
            <v>0</v>
          </cell>
          <cell r="N589">
            <v>0</v>
          </cell>
          <cell r="O589" t="str">
            <v/>
          </cell>
          <cell r="S589" t="str">
            <v/>
          </cell>
          <cell r="T589" t="str">
            <v/>
          </cell>
        </row>
        <row r="590">
          <cell r="A590" t="str">
            <v/>
          </cell>
          <cell r="B590">
            <v>1586</v>
          </cell>
          <cell r="D590" t="str">
            <v/>
          </cell>
          <cell r="F590" t="str">
            <v/>
          </cell>
          <cell r="J590">
            <v>0</v>
          </cell>
          <cell r="L590">
            <v>0</v>
          </cell>
          <cell r="M590">
            <v>0</v>
          </cell>
          <cell r="N590">
            <v>0</v>
          </cell>
          <cell r="O590" t="str">
            <v/>
          </cell>
          <cell r="S590" t="str">
            <v/>
          </cell>
          <cell r="T590" t="str">
            <v/>
          </cell>
        </row>
        <row r="591">
          <cell r="A591" t="str">
            <v/>
          </cell>
          <cell r="B591">
            <v>1587</v>
          </cell>
          <cell r="D591" t="str">
            <v/>
          </cell>
          <cell r="F591" t="str">
            <v/>
          </cell>
          <cell r="J591">
            <v>0</v>
          </cell>
          <cell r="L591">
            <v>0</v>
          </cell>
          <cell r="M591">
            <v>0</v>
          </cell>
          <cell r="N591">
            <v>0</v>
          </cell>
          <cell r="O591" t="str">
            <v/>
          </cell>
          <cell r="S591" t="str">
            <v/>
          </cell>
          <cell r="T591" t="str">
            <v/>
          </cell>
        </row>
        <row r="592">
          <cell r="A592" t="str">
            <v/>
          </cell>
          <cell r="B592">
            <v>1588</v>
          </cell>
          <cell r="D592" t="str">
            <v/>
          </cell>
          <cell r="F592" t="str">
            <v/>
          </cell>
          <cell r="J592">
            <v>0</v>
          </cell>
          <cell r="L592">
            <v>0</v>
          </cell>
          <cell r="M592">
            <v>0</v>
          </cell>
          <cell r="N592">
            <v>0</v>
          </cell>
          <cell r="O592" t="str">
            <v/>
          </cell>
          <cell r="S592" t="str">
            <v/>
          </cell>
          <cell r="T592" t="str">
            <v/>
          </cell>
        </row>
        <row r="593">
          <cell r="A593" t="str">
            <v/>
          </cell>
          <cell r="B593">
            <v>1589</v>
          </cell>
          <cell r="D593" t="str">
            <v/>
          </cell>
          <cell r="F593" t="str">
            <v/>
          </cell>
          <cell r="J593">
            <v>0</v>
          </cell>
          <cell r="L593">
            <v>0</v>
          </cell>
          <cell r="M593">
            <v>0</v>
          </cell>
          <cell r="N593">
            <v>0</v>
          </cell>
          <cell r="O593" t="str">
            <v/>
          </cell>
          <cell r="S593" t="str">
            <v/>
          </cell>
          <cell r="T593" t="str">
            <v/>
          </cell>
        </row>
        <row r="594">
          <cell r="A594" t="str">
            <v/>
          </cell>
          <cell r="B594">
            <v>1590</v>
          </cell>
          <cell r="D594" t="str">
            <v/>
          </cell>
          <cell r="F594" t="str">
            <v/>
          </cell>
          <cell r="J594">
            <v>0</v>
          </cell>
          <cell r="L594">
            <v>0</v>
          </cell>
          <cell r="M594">
            <v>0</v>
          </cell>
          <cell r="N594">
            <v>0</v>
          </cell>
          <cell r="O594" t="str">
            <v/>
          </cell>
          <cell r="S594" t="str">
            <v/>
          </cell>
          <cell r="T594" t="str">
            <v/>
          </cell>
        </row>
        <row r="595">
          <cell r="A595" t="str">
            <v/>
          </cell>
          <cell r="B595">
            <v>1591</v>
          </cell>
          <cell r="D595" t="str">
            <v/>
          </cell>
          <cell r="F595" t="str">
            <v/>
          </cell>
          <cell r="J595">
            <v>0</v>
          </cell>
          <cell r="L595">
            <v>0</v>
          </cell>
          <cell r="M595">
            <v>0</v>
          </cell>
          <cell r="N595">
            <v>0</v>
          </cell>
          <cell r="O595" t="str">
            <v/>
          </cell>
          <cell r="S595" t="str">
            <v/>
          </cell>
          <cell r="T595" t="str">
            <v/>
          </cell>
        </row>
        <row r="596">
          <cell r="A596" t="str">
            <v/>
          </cell>
          <cell r="B596">
            <v>1592</v>
          </cell>
          <cell r="D596" t="str">
            <v/>
          </cell>
          <cell r="F596" t="str">
            <v/>
          </cell>
          <cell r="J596">
            <v>0</v>
          </cell>
          <cell r="L596">
            <v>0</v>
          </cell>
          <cell r="M596">
            <v>0</v>
          </cell>
          <cell r="N596">
            <v>0</v>
          </cell>
          <cell r="O596" t="str">
            <v/>
          </cell>
          <cell r="S596" t="str">
            <v/>
          </cell>
          <cell r="T596" t="str">
            <v/>
          </cell>
        </row>
        <row r="597">
          <cell r="A597" t="str">
            <v/>
          </cell>
          <cell r="B597">
            <v>1593</v>
          </cell>
          <cell r="D597" t="str">
            <v/>
          </cell>
          <cell r="F597" t="str">
            <v/>
          </cell>
          <cell r="J597">
            <v>0</v>
          </cell>
          <cell r="L597">
            <v>0</v>
          </cell>
          <cell r="M597">
            <v>0</v>
          </cell>
          <cell r="N597">
            <v>0</v>
          </cell>
          <cell r="O597" t="str">
            <v/>
          </cell>
          <cell r="S597" t="str">
            <v/>
          </cell>
          <cell r="T597" t="str">
            <v/>
          </cell>
        </row>
        <row r="598">
          <cell r="A598" t="str">
            <v/>
          </cell>
          <cell r="B598">
            <v>1594</v>
          </cell>
          <cell r="D598" t="str">
            <v/>
          </cell>
          <cell r="F598" t="str">
            <v/>
          </cell>
          <cell r="J598">
            <v>0</v>
          </cell>
          <cell r="L598">
            <v>0</v>
          </cell>
          <cell r="M598">
            <v>0</v>
          </cell>
          <cell r="N598">
            <v>0</v>
          </cell>
          <cell r="O598" t="str">
            <v/>
          </cell>
          <cell r="S598" t="str">
            <v/>
          </cell>
          <cell r="T598" t="str">
            <v/>
          </cell>
        </row>
        <row r="599">
          <cell r="A599" t="str">
            <v/>
          </cell>
          <cell r="B599">
            <v>1595</v>
          </cell>
          <cell r="D599" t="str">
            <v/>
          </cell>
          <cell r="F599" t="str">
            <v/>
          </cell>
          <cell r="J599">
            <v>0</v>
          </cell>
          <cell r="L599">
            <v>0</v>
          </cell>
          <cell r="M599">
            <v>0</v>
          </cell>
          <cell r="N599">
            <v>0</v>
          </cell>
          <cell r="O599" t="str">
            <v/>
          </cell>
          <cell r="S599" t="str">
            <v/>
          </cell>
          <cell r="T599" t="str">
            <v/>
          </cell>
        </row>
        <row r="600">
          <cell r="A600" t="str">
            <v/>
          </cell>
          <cell r="B600">
            <v>1596</v>
          </cell>
          <cell r="D600" t="str">
            <v/>
          </cell>
          <cell r="F600" t="str">
            <v/>
          </cell>
          <cell r="J600">
            <v>0</v>
          </cell>
          <cell r="L600">
            <v>0</v>
          </cell>
          <cell r="M600">
            <v>0</v>
          </cell>
          <cell r="N600">
            <v>0</v>
          </cell>
          <cell r="O600" t="str">
            <v/>
          </cell>
          <cell r="S600" t="str">
            <v/>
          </cell>
          <cell r="T600" t="str">
            <v/>
          </cell>
        </row>
        <row r="601">
          <cell r="A601" t="str">
            <v/>
          </cell>
          <cell r="B601">
            <v>1597</v>
          </cell>
          <cell r="D601" t="str">
            <v/>
          </cell>
          <cell r="F601" t="str">
            <v/>
          </cell>
          <cell r="J601">
            <v>0</v>
          </cell>
          <cell r="L601">
            <v>0</v>
          </cell>
          <cell r="M601">
            <v>0</v>
          </cell>
          <cell r="N601">
            <v>0</v>
          </cell>
          <cell r="O601" t="str">
            <v/>
          </cell>
          <cell r="S601" t="str">
            <v/>
          </cell>
          <cell r="T601" t="str">
            <v/>
          </cell>
        </row>
        <row r="602">
          <cell r="A602" t="str">
            <v/>
          </cell>
          <cell r="B602">
            <v>1598</v>
          </cell>
          <cell r="D602" t="str">
            <v/>
          </cell>
          <cell r="F602" t="str">
            <v/>
          </cell>
          <cell r="J602">
            <v>0</v>
          </cell>
          <cell r="L602">
            <v>0</v>
          </cell>
          <cell r="M602">
            <v>0</v>
          </cell>
          <cell r="N602">
            <v>0</v>
          </cell>
          <cell r="O602" t="str">
            <v/>
          </cell>
          <cell r="S602" t="str">
            <v/>
          </cell>
          <cell r="T602" t="str">
            <v/>
          </cell>
        </row>
        <row r="603">
          <cell r="A603" t="str">
            <v/>
          </cell>
          <cell r="B603">
            <v>1599</v>
          </cell>
          <cell r="D603" t="str">
            <v/>
          </cell>
          <cell r="F603" t="str">
            <v/>
          </cell>
          <cell r="J603">
            <v>0</v>
          </cell>
          <cell r="L603">
            <v>0</v>
          </cell>
          <cell r="M603">
            <v>0</v>
          </cell>
          <cell r="N603">
            <v>0</v>
          </cell>
          <cell r="O603" t="str">
            <v/>
          </cell>
          <cell r="S603" t="str">
            <v/>
          </cell>
          <cell r="T603" t="str">
            <v/>
          </cell>
        </row>
        <row r="604">
          <cell r="A604" t="str">
            <v/>
          </cell>
          <cell r="B604">
            <v>1600</v>
          </cell>
          <cell r="D604" t="str">
            <v/>
          </cell>
          <cell r="F604" t="str">
            <v/>
          </cell>
          <cell r="J604">
            <v>0</v>
          </cell>
          <cell r="L604">
            <v>0</v>
          </cell>
          <cell r="M604">
            <v>0</v>
          </cell>
          <cell r="N604">
            <v>0</v>
          </cell>
          <cell r="O604" t="str">
            <v/>
          </cell>
          <cell r="S604" t="str">
            <v/>
          </cell>
          <cell r="T604" t="str">
            <v/>
          </cell>
        </row>
        <row r="605">
          <cell r="A605" t="str">
            <v/>
          </cell>
          <cell r="B605">
            <v>1601</v>
          </cell>
          <cell r="D605" t="str">
            <v/>
          </cell>
          <cell r="F605" t="str">
            <v/>
          </cell>
          <cell r="J605">
            <v>0</v>
          </cell>
          <cell r="L605">
            <v>0</v>
          </cell>
          <cell r="M605">
            <v>0</v>
          </cell>
          <cell r="N605">
            <v>0</v>
          </cell>
          <cell r="O605" t="str">
            <v/>
          </cell>
          <cell r="S605" t="str">
            <v/>
          </cell>
          <cell r="T605" t="str">
            <v/>
          </cell>
        </row>
        <row r="606">
          <cell r="A606" t="str">
            <v/>
          </cell>
          <cell r="B606">
            <v>1602</v>
          </cell>
          <cell r="D606" t="str">
            <v/>
          </cell>
          <cell r="F606" t="str">
            <v/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  <cell r="O606" t="str">
            <v/>
          </cell>
          <cell r="S606" t="str">
            <v/>
          </cell>
          <cell r="T606" t="str">
            <v/>
          </cell>
        </row>
        <row r="607">
          <cell r="A607" t="str">
            <v/>
          </cell>
          <cell r="B607">
            <v>1603</v>
          </cell>
          <cell r="D607" t="str">
            <v/>
          </cell>
          <cell r="F607" t="str">
            <v/>
          </cell>
          <cell r="J607">
            <v>0</v>
          </cell>
          <cell r="L607">
            <v>0</v>
          </cell>
          <cell r="M607">
            <v>0</v>
          </cell>
          <cell r="N607">
            <v>0</v>
          </cell>
          <cell r="O607" t="str">
            <v/>
          </cell>
          <cell r="S607" t="str">
            <v/>
          </cell>
          <cell r="T607" t="str">
            <v/>
          </cell>
        </row>
        <row r="608">
          <cell r="A608" t="str">
            <v/>
          </cell>
          <cell r="B608">
            <v>1604</v>
          </cell>
          <cell r="D608" t="str">
            <v/>
          </cell>
          <cell r="F608" t="str">
            <v/>
          </cell>
          <cell r="J608">
            <v>0</v>
          </cell>
          <cell r="L608">
            <v>0</v>
          </cell>
          <cell r="M608">
            <v>0</v>
          </cell>
          <cell r="N608">
            <v>0</v>
          </cell>
          <cell r="O608" t="str">
            <v/>
          </cell>
          <cell r="S608" t="str">
            <v/>
          </cell>
          <cell r="T608" t="str">
            <v/>
          </cell>
        </row>
        <row r="609">
          <cell r="A609" t="str">
            <v/>
          </cell>
          <cell r="B609">
            <v>1605</v>
          </cell>
          <cell r="D609" t="str">
            <v/>
          </cell>
          <cell r="F609" t="str">
            <v/>
          </cell>
          <cell r="J609">
            <v>0</v>
          </cell>
          <cell r="L609">
            <v>0</v>
          </cell>
          <cell r="M609">
            <v>0</v>
          </cell>
          <cell r="N609">
            <v>0</v>
          </cell>
          <cell r="O609" t="str">
            <v/>
          </cell>
          <cell r="S609" t="str">
            <v/>
          </cell>
          <cell r="T609" t="str">
            <v/>
          </cell>
        </row>
        <row r="610">
          <cell r="A610" t="str">
            <v/>
          </cell>
          <cell r="B610">
            <v>1606</v>
          </cell>
          <cell r="D610" t="str">
            <v/>
          </cell>
          <cell r="F610" t="str">
            <v/>
          </cell>
          <cell r="J610">
            <v>0</v>
          </cell>
          <cell r="L610">
            <v>0</v>
          </cell>
          <cell r="M610">
            <v>0</v>
          </cell>
          <cell r="N610">
            <v>0</v>
          </cell>
          <cell r="O610" t="str">
            <v/>
          </cell>
          <cell r="S610" t="str">
            <v/>
          </cell>
          <cell r="T610" t="str">
            <v/>
          </cell>
        </row>
        <row r="611">
          <cell r="A611" t="str">
            <v/>
          </cell>
          <cell r="B611">
            <v>1607</v>
          </cell>
          <cell r="D611" t="str">
            <v/>
          </cell>
          <cell r="F611" t="str">
            <v/>
          </cell>
          <cell r="J611">
            <v>0</v>
          </cell>
          <cell r="L611">
            <v>0</v>
          </cell>
          <cell r="M611">
            <v>0</v>
          </cell>
          <cell r="N611">
            <v>0</v>
          </cell>
          <cell r="O611" t="str">
            <v/>
          </cell>
          <cell r="S611" t="str">
            <v/>
          </cell>
          <cell r="T611" t="str">
            <v/>
          </cell>
        </row>
        <row r="612">
          <cell r="A612" t="str">
            <v/>
          </cell>
          <cell r="B612">
            <v>1608</v>
          </cell>
          <cell r="D612" t="str">
            <v/>
          </cell>
          <cell r="F612" t="str">
            <v/>
          </cell>
          <cell r="J612">
            <v>0</v>
          </cell>
          <cell r="L612">
            <v>0</v>
          </cell>
          <cell r="M612">
            <v>0</v>
          </cell>
          <cell r="N612">
            <v>0</v>
          </cell>
          <cell r="O612" t="str">
            <v/>
          </cell>
          <cell r="S612" t="str">
            <v/>
          </cell>
          <cell r="T612" t="str">
            <v/>
          </cell>
        </row>
        <row r="613">
          <cell r="A613" t="str">
            <v/>
          </cell>
          <cell r="B613">
            <v>1609</v>
          </cell>
          <cell r="D613" t="str">
            <v/>
          </cell>
          <cell r="F613" t="str">
            <v/>
          </cell>
          <cell r="J613">
            <v>0</v>
          </cell>
          <cell r="L613">
            <v>0</v>
          </cell>
          <cell r="M613">
            <v>0</v>
          </cell>
          <cell r="N613">
            <v>0</v>
          </cell>
          <cell r="O613" t="str">
            <v/>
          </cell>
          <cell r="S613" t="str">
            <v/>
          </cell>
          <cell r="T613" t="str">
            <v/>
          </cell>
        </row>
        <row r="614">
          <cell r="A614" t="str">
            <v/>
          </cell>
          <cell r="B614">
            <v>1610</v>
          </cell>
          <cell r="D614" t="str">
            <v/>
          </cell>
          <cell r="F614" t="str">
            <v/>
          </cell>
          <cell r="J614">
            <v>0</v>
          </cell>
          <cell r="L614">
            <v>0</v>
          </cell>
          <cell r="M614">
            <v>0</v>
          </cell>
          <cell r="N614">
            <v>0</v>
          </cell>
          <cell r="O614" t="str">
            <v/>
          </cell>
          <cell r="S614" t="str">
            <v/>
          </cell>
          <cell r="T614" t="str">
            <v/>
          </cell>
        </row>
        <row r="615">
          <cell r="A615" t="str">
            <v/>
          </cell>
          <cell r="B615">
            <v>1611</v>
          </cell>
          <cell r="D615" t="str">
            <v/>
          </cell>
          <cell r="F615" t="str">
            <v/>
          </cell>
          <cell r="J615">
            <v>0</v>
          </cell>
          <cell r="L615">
            <v>0</v>
          </cell>
          <cell r="M615">
            <v>0</v>
          </cell>
          <cell r="N615">
            <v>0</v>
          </cell>
          <cell r="O615" t="str">
            <v/>
          </cell>
          <cell r="S615" t="str">
            <v/>
          </cell>
          <cell r="T615" t="str">
            <v/>
          </cell>
        </row>
        <row r="616">
          <cell r="A616" t="str">
            <v/>
          </cell>
          <cell r="B616">
            <v>1612</v>
          </cell>
          <cell r="D616" t="str">
            <v/>
          </cell>
          <cell r="F616" t="str">
            <v/>
          </cell>
          <cell r="J616">
            <v>0</v>
          </cell>
          <cell r="L616">
            <v>0</v>
          </cell>
          <cell r="M616">
            <v>0</v>
          </cell>
          <cell r="N616">
            <v>0</v>
          </cell>
          <cell r="O616" t="str">
            <v/>
          </cell>
          <cell r="S616" t="str">
            <v/>
          </cell>
          <cell r="T616" t="str">
            <v/>
          </cell>
        </row>
        <row r="617">
          <cell r="A617" t="str">
            <v/>
          </cell>
          <cell r="B617">
            <v>1613</v>
          </cell>
          <cell r="D617" t="str">
            <v/>
          </cell>
          <cell r="F617" t="str">
            <v/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O617" t="str">
            <v/>
          </cell>
          <cell r="S617" t="str">
            <v/>
          </cell>
          <cell r="T617" t="str">
            <v/>
          </cell>
        </row>
        <row r="618">
          <cell r="A618" t="str">
            <v/>
          </cell>
          <cell r="B618">
            <v>1614</v>
          </cell>
          <cell r="D618" t="str">
            <v/>
          </cell>
          <cell r="F618" t="str">
            <v/>
          </cell>
          <cell r="J618">
            <v>0</v>
          </cell>
          <cell r="L618">
            <v>0</v>
          </cell>
          <cell r="M618">
            <v>0</v>
          </cell>
          <cell r="N618">
            <v>0</v>
          </cell>
          <cell r="O618" t="str">
            <v/>
          </cell>
          <cell r="S618" t="str">
            <v/>
          </cell>
          <cell r="T618" t="str">
            <v/>
          </cell>
        </row>
        <row r="619">
          <cell r="A619" t="str">
            <v/>
          </cell>
          <cell r="B619">
            <v>1615</v>
          </cell>
          <cell r="D619" t="str">
            <v/>
          </cell>
          <cell r="F619" t="str">
            <v/>
          </cell>
          <cell r="J619">
            <v>0</v>
          </cell>
          <cell r="L619">
            <v>0</v>
          </cell>
          <cell r="M619">
            <v>0</v>
          </cell>
          <cell r="N619">
            <v>0</v>
          </cell>
          <cell r="O619" t="str">
            <v/>
          </cell>
          <cell r="S619" t="str">
            <v/>
          </cell>
          <cell r="T619" t="str">
            <v/>
          </cell>
        </row>
        <row r="620">
          <cell r="A620" t="str">
            <v/>
          </cell>
          <cell r="B620">
            <v>1616</v>
          </cell>
          <cell r="D620" t="str">
            <v/>
          </cell>
          <cell r="F620" t="str">
            <v/>
          </cell>
          <cell r="J620">
            <v>0</v>
          </cell>
          <cell r="L620">
            <v>0</v>
          </cell>
          <cell r="M620">
            <v>0</v>
          </cell>
          <cell r="N620">
            <v>0</v>
          </cell>
          <cell r="O620" t="str">
            <v/>
          </cell>
          <cell r="S620" t="str">
            <v/>
          </cell>
          <cell r="T620" t="str">
            <v/>
          </cell>
        </row>
        <row r="621">
          <cell r="A621" t="str">
            <v/>
          </cell>
          <cell r="B621">
            <v>1617</v>
          </cell>
          <cell r="D621" t="str">
            <v/>
          </cell>
          <cell r="F621" t="str">
            <v/>
          </cell>
          <cell r="J621">
            <v>0</v>
          </cell>
          <cell r="L621">
            <v>0</v>
          </cell>
          <cell r="M621">
            <v>0</v>
          </cell>
          <cell r="N621">
            <v>0</v>
          </cell>
          <cell r="O621" t="str">
            <v/>
          </cell>
          <cell r="S621" t="str">
            <v/>
          </cell>
          <cell r="T621" t="str">
            <v/>
          </cell>
        </row>
        <row r="622">
          <cell r="A622" t="str">
            <v/>
          </cell>
          <cell r="B622">
            <v>1618</v>
          </cell>
          <cell r="D622" t="str">
            <v/>
          </cell>
          <cell r="F622" t="str">
            <v/>
          </cell>
          <cell r="J622">
            <v>0</v>
          </cell>
          <cell r="L622">
            <v>0</v>
          </cell>
          <cell r="M622">
            <v>0</v>
          </cell>
          <cell r="N622">
            <v>0</v>
          </cell>
          <cell r="O622" t="str">
            <v/>
          </cell>
          <cell r="S622" t="str">
            <v/>
          </cell>
          <cell r="T622" t="str">
            <v/>
          </cell>
        </row>
        <row r="623">
          <cell r="A623" t="str">
            <v/>
          </cell>
          <cell r="B623">
            <v>1619</v>
          </cell>
          <cell r="D623" t="str">
            <v/>
          </cell>
          <cell r="F623" t="str">
            <v/>
          </cell>
          <cell r="J623">
            <v>0</v>
          </cell>
          <cell r="L623">
            <v>0</v>
          </cell>
          <cell r="M623">
            <v>0</v>
          </cell>
          <cell r="N623">
            <v>0</v>
          </cell>
          <cell r="O623" t="str">
            <v/>
          </cell>
          <cell r="S623" t="str">
            <v/>
          </cell>
          <cell r="T623" t="str">
            <v/>
          </cell>
        </row>
        <row r="624">
          <cell r="A624" t="str">
            <v/>
          </cell>
          <cell r="B624">
            <v>1620</v>
          </cell>
          <cell r="D624" t="str">
            <v/>
          </cell>
          <cell r="F624" t="str">
            <v/>
          </cell>
          <cell r="J624">
            <v>0</v>
          </cell>
          <cell r="L624">
            <v>0</v>
          </cell>
          <cell r="M624">
            <v>0</v>
          </cell>
          <cell r="N624">
            <v>0</v>
          </cell>
          <cell r="O624" t="str">
            <v/>
          </cell>
          <cell r="S624" t="str">
            <v/>
          </cell>
          <cell r="T624" t="str">
            <v/>
          </cell>
        </row>
        <row r="625">
          <cell r="A625" t="str">
            <v/>
          </cell>
          <cell r="B625">
            <v>1621</v>
          </cell>
          <cell r="D625" t="str">
            <v/>
          </cell>
          <cell r="F625" t="str">
            <v/>
          </cell>
          <cell r="J625">
            <v>0</v>
          </cell>
          <cell r="L625">
            <v>0</v>
          </cell>
          <cell r="M625">
            <v>0</v>
          </cell>
          <cell r="N625">
            <v>0</v>
          </cell>
          <cell r="O625" t="str">
            <v/>
          </cell>
          <cell r="S625" t="str">
            <v/>
          </cell>
          <cell r="T625" t="str">
            <v/>
          </cell>
        </row>
        <row r="626">
          <cell r="A626" t="str">
            <v/>
          </cell>
          <cell r="B626">
            <v>1622</v>
          </cell>
          <cell r="D626" t="str">
            <v/>
          </cell>
          <cell r="F626" t="str">
            <v/>
          </cell>
          <cell r="J626">
            <v>0</v>
          </cell>
          <cell r="L626">
            <v>0</v>
          </cell>
          <cell r="M626">
            <v>0</v>
          </cell>
          <cell r="N626">
            <v>0</v>
          </cell>
          <cell r="O626" t="str">
            <v/>
          </cell>
          <cell r="S626" t="str">
            <v/>
          </cell>
          <cell r="T626" t="str">
            <v/>
          </cell>
        </row>
        <row r="627">
          <cell r="A627" t="str">
            <v/>
          </cell>
          <cell r="B627">
            <v>1623</v>
          </cell>
          <cell r="D627" t="str">
            <v/>
          </cell>
          <cell r="F627" t="str">
            <v/>
          </cell>
          <cell r="J627">
            <v>0</v>
          </cell>
          <cell r="L627">
            <v>0</v>
          </cell>
          <cell r="M627">
            <v>0</v>
          </cell>
          <cell r="N627">
            <v>0</v>
          </cell>
          <cell r="O627" t="str">
            <v/>
          </cell>
          <cell r="S627" t="str">
            <v/>
          </cell>
          <cell r="T627" t="str">
            <v/>
          </cell>
        </row>
        <row r="628">
          <cell r="A628" t="str">
            <v/>
          </cell>
          <cell r="B628">
            <v>1624</v>
          </cell>
          <cell r="D628" t="str">
            <v/>
          </cell>
          <cell r="F628" t="str">
            <v/>
          </cell>
          <cell r="J628">
            <v>0</v>
          </cell>
          <cell r="L628">
            <v>0</v>
          </cell>
          <cell r="M628">
            <v>0</v>
          </cell>
          <cell r="N628">
            <v>0</v>
          </cell>
          <cell r="O628" t="str">
            <v/>
          </cell>
          <cell r="S628" t="str">
            <v/>
          </cell>
          <cell r="T628" t="str">
            <v/>
          </cell>
        </row>
        <row r="629">
          <cell r="A629" t="str">
            <v/>
          </cell>
          <cell r="B629">
            <v>1625</v>
          </cell>
          <cell r="D629" t="str">
            <v/>
          </cell>
          <cell r="F629" t="str">
            <v/>
          </cell>
          <cell r="J629">
            <v>0</v>
          </cell>
          <cell r="L629">
            <v>0</v>
          </cell>
          <cell r="M629">
            <v>0</v>
          </cell>
          <cell r="N629">
            <v>0</v>
          </cell>
          <cell r="O629" t="str">
            <v/>
          </cell>
          <cell r="S629" t="str">
            <v/>
          </cell>
          <cell r="T629" t="str">
            <v/>
          </cell>
        </row>
        <row r="630">
          <cell r="A630" t="str">
            <v/>
          </cell>
          <cell r="B630">
            <v>1626</v>
          </cell>
          <cell r="D630" t="str">
            <v/>
          </cell>
          <cell r="F630" t="str">
            <v/>
          </cell>
          <cell r="J630">
            <v>0</v>
          </cell>
          <cell r="L630">
            <v>0</v>
          </cell>
          <cell r="M630">
            <v>0</v>
          </cell>
          <cell r="N630">
            <v>0</v>
          </cell>
          <cell r="O630" t="str">
            <v/>
          </cell>
          <cell r="S630" t="str">
            <v/>
          </cell>
          <cell r="T630" t="str">
            <v/>
          </cell>
        </row>
        <row r="631">
          <cell r="A631" t="str">
            <v/>
          </cell>
          <cell r="B631">
            <v>1627</v>
          </cell>
          <cell r="D631" t="str">
            <v/>
          </cell>
          <cell r="F631" t="str">
            <v/>
          </cell>
          <cell r="J631">
            <v>0</v>
          </cell>
          <cell r="L631">
            <v>0</v>
          </cell>
          <cell r="M631">
            <v>0</v>
          </cell>
          <cell r="N631">
            <v>0</v>
          </cell>
          <cell r="O631" t="str">
            <v/>
          </cell>
          <cell r="S631" t="str">
            <v/>
          </cell>
          <cell r="T631" t="str">
            <v/>
          </cell>
        </row>
        <row r="632">
          <cell r="A632" t="str">
            <v/>
          </cell>
          <cell r="B632">
            <v>1628</v>
          </cell>
          <cell r="D632" t="str">
            <v/>
          </cell>
          <cell r="F632" t="str">
            <v/>
          </cell>
          <cell r="J632">
            <v>0</v>
          </cell>
          <cell r="L632">
            <v>0</v>
          </cell>
          <cell r="M632">
            <v>0</v>
          </cell>
          <cell r="N632">
            <v>0</v>
          </cell>
          <cell r="O632" t="str">
            <v/>
          </cell>
          <cell r="S632" t="str">
            <v/>
          </cell>
          <cell r="T632" t="str">
            <v/>
          </cell>
        </row>
        <row r="633">
          <cell r="A633" t="str">
            <v/>
          </cell>
          <cell r="B633">
            <v>1629</v>
          </cell>
          <cell r="D633" t="str">
            <v/>
          </cell>
          <cell r="F633" t="str">
            <v/>
          </cell>
          <cell r="J633">
            <v>0</v>
          </cell>
          <cell r="L633">
            <v>0</v>
          </cell>
          <cell r="M633">
            <v>0</v>
          </cell>
          <cell r="N633">
            <v>0</v>
          </cell>
          <cell r="O633" t="str">
            <v/>
          </cell>
          <cell r="S633" t="str">
            <v/>
          </cell>
          <cell r="T633" t="str">
            <v/>
          </cell>
        </row>
        <row r="634">
          <cell r="A634" t="str">
            <v/>
          </cell>
          <cell r="B634">
            <v>1630</v>
          </cell>
          <cell r="D634" t="str">
            <v/>
          </cell>
          <cell r="F634" t="str">
            <v/>
          </cell>
          <cell r="J634">
            <v>0</v>
          </cell>
          <cell r="L634">
            <v>0</v>
          </cell>
          <cell r="M634">
            <v>0</v>
          </cell>
          <cell r="N634">
            <v>0</v>
          </cell>
          <cell r="O634" t="str">
            <v/>
          </cell>
          <cell r="S634" t="str">
            <v/>
          </cell>
          <cell r="T634" t="str">
            <v/>
          </cell>
        </row>
        <row r="635">
          <cell r="A635" t="str">
            <v/>
          </cell>
          <cell r="B635">
            <v>1631</v>
          </cell>
          <cell r="D635" t="str">
            <v/>
          </cell>
          <cell r="F635" t="str">
            <v/>
          </cell>
          <cell r="J635">
            <v>0</v>
          </cell>
          <cell r="L635">
            <v>0</v>
          </cell>
          <cell r="M635">
            <v>0</v>
          </cell>
          <cell r="N635">
            <v>0</v>
          </cell>
          <cell r="O635" t="str">
            <v/>
          </cell>
          <cell r="S635" t="str">
            <v/>
          </cell>
          <cell r="T635" t="str">
            <v/>
          </cell>
        </row>
        <row r="636">
          <cell r="A636" t="str">
            <v/>
          </cell>
          <cell r="B636">
            <v>1632</v>
          </cell>
          <cell r="D636" t="str">
            <v/>
          </cell>
          <cell r="F636" t="str">
            <v/>
          </cell>
          <cell r="J636">
            <v>0</v>
          </cell>
          <cell r="L636">
            <v>0</v>
          </cell>
          <cell r="M636">
            <v>0</v>
          </cell>
          <cell r="N636">
            <v>0</v>
          </cell>
          <cell r="O636" t="str">
            <v/>
          </cell>
          <cell r="S636" t="str">
            <v/>
          </cell>
          <cell r="T636" t="str">
            <v/>
          </cell>
        </row>
        <row r="637">
          <cell r="A637" t="str">
            <v/>
          </cell>
          <cell r="B637">
            <v>1633</v>
          </cell>
          <cell r="D637" t="str">
            <v/>
          </cell>
          <cell r="F637" t="str">
            <v/>
          </cell>
          <cell r="J637">
            <v>0</v>
          </cell>
          <cell r="L637">
            <v>0</v>
          </cell>
          <cell r="M637">
            <v>0</v>
          </cell>
          <cell r="N637">
            <v>0</v>
          </cell>
          <cell r="O637" t="str">
            <v/>
          </cell>
          <cell r="S637" t="str">
            <v/>
          </cell>
          <cell r="T637" t="str">
            <v/>
          </cell>
        </row>
        <row r="638">
          <cell r="A638" t="str">
            <v/>
          </cell>
          <cell r="B638">
            <v>1634</v>
          </cell>
          <cell r="D638" t="str">
            <v/>
          </cell>
          <cell r="F638" t="str">
            <v/>
          </cell>
          <cell r="J638">
            <v>0</v>
          </cell>
          <cell r="L638">
            <v>0</v>
          </cell>
          <cell r="M638">
            <v>0</v>
          </cell>
          <cell r="N638">
            <v>0</v>
          </cell>
          <cell r="O638" t="str">
            <v/>
          </cell>
          <cell r="S638" t="str">
            <v/>
          </cell>
          <cell r="T638" t="str">
            <v/>
          </cell>
        </row>
        <row r="639">
          <cell r="A639" t="str">
            <v/>
          </cell>
          <cell r="B639">
            <v>1635</v>
          </cell>
          <cell r="D639" t="str">
            <v/>
          </cell>
          <cell r="F639" t="str">
            <v/>
          </cell>
          <cell r="J639">
            <v>0</v>
          </cell>
          <cell r="L639">
            <v>0</v>
          </cell>
          <cell r="M639">
            <v>0</v>
          </cell>
          <cell r="N639">
            <v>0</v>
          </cell>
          <cell r="O639" t="str">
            <v/>
          </cell>
          <cell r="S639" t="str">
            <v/>
          </cell>
          <cell r="T639" t="str">
            <v/>
          </cell>
        </row>
        <row r="640">
          <cell r="A640" t="str">
            <v/>
          </cell>
          <cell r="B640">
            <v>1636</v>
          </cell>
          <cell r="D640" t="str">
            <v/>
          </cell>
          <cell r="F640" t="str">
            <v/>
          </cell>
          <cell r="J640">
            <v>0</v>
          </cell>
          <cell r="L640">
            <v>0</v>
          </cell>
          <cell r="M640">
            <v>0</v>
          </cell>
          <cell r="N640">
            <v>0</v>
          </cell>
          <cell r="O640" t="str">
            <v/>
          </cell>
          <cell r="S640" t="str">
            <v/>
          </cell>
          <cell r="T640" t="str">
            <v/>
          </cell>
        </row>
        <row r="641">
          <cell r="A641" t="str">
            <v/>
          </cell>
          <cell r="B641">
            <v>1637</v>
          </cell>
          <cell r="D641" t="str">
            <v/>
          </cell>
          <cell r="F641" t="str">
            <v/>
          </cell>
          <cell r="J641">
            <v>0</v>
          </cell>
          <cell r="L641">
            <v>0</v>
          </cell>
          <cell r="M641">
            <v>0</v>
          </cell>
          <cell r="N641">
            <v>0</v>
          </cell>
          <cell r="O641" t="str">
            <v/>
          </cell>
          <cell r="S641" t="str">
            <v/>
          </cell>
          <cell r="T641" t="str">
            <v/>
          </cell>
        </row>
        <row r="642">
          <cell r="A642" t="str">
            <v/>
          </cell>
          <cell r="B642">
            <v>1638</v>
          </cell>
          <cell r="D642" t="str">
            <v/>
          </cell>
          <cell r="F642" t="str">
            <v/>
          </cell>
          <cell r="J642">
            <v>0</v>
          </cell>
          <cell r="L642">
            <v>0</v>
          </cell>
          <cell r="M642">
            <v>0</v>
          </cell>
          <cell r="N642">
            <v>0</v>
          </cell>
          <cell r="O642" t="str">
            <v/>
          </cell>
          <cell r="S642" t="str">
            <v/>
          </cell>
          <cell r="T642" t="str">
            <v/>
          </cell>
        </row>
        <row r="643">
          <cell r="A643" t="str">
            <v/>
          </cell>
          <cell r="B643">
            <v>1639</v>
          </cell>
          <cell r="D643" t="str">
            <v/>
          </cell>
          <cell r="F643" t="str">
            <v/>
          </cell>
          <cell r="J643">
            <v>0</v>
          </cell>
          <cell r="L643">
            <v>0</v>
          </cell>
          <cell r="M643">
            <v>0</v>
          </cell>
          <cell r="N643">
            <v>0</v>
          </cell>
          <cell r="O643" t="str">
            <v/>
          </cell>
          <cell r="S643" t="str">
            <v/>
          </cell>
          <cell r="T643" t="str">
            <v/>
          </cell>
        </row>
        <row r="644">
          <cell r="A644" t="str">
            <v/>
          </cell>
          <cell r="B644">
            <v>1640</v>
          </cell>
          <cell r="D644" t="str">
            <v/>
          </cell>
          <cell r="F644" t="str">
            <v/>
          </cell>
          <cell r="J644">
            <v>0</v>
          </cell>
          <cell r="L644">
            <v>0</v>
          </cell>
          <cell r="M644">
            <v>0</v>
          </cell>
          <cell r="N644">
            <v>0</v>
          </cell>
          <cell r="O644" t="str">
            <v/>
          </cell>
          <cell r="S644" t="str">
            <v/>
          </cell>
          <cell r="T644" t="str">
            <v/>
          </cell>
        </row>
        <row r="645">
          <cell r="A645" t="str">
            <v/>
          </cell>
          <cell r="B645">
            <v>1641</v>
          </cell>
          <cell r="D645" t="str">
            <v/>
          </cell>
          <cell r="F645" t="str">
            <v/>
          </cell>
          <cell r="J645">
            <v>0</v>
          </cell>
          <cell r="L645">
            <v>0</v>
          </cell>
          <cell r="M645">
            <v>0</v>
          </cell>
          <cell r="N645">
            <v>0</v>
          </cell>
          <cell r="O645" t="str">
            <v/>
          </cell>
          <cell r="S645" t="str">
            <v/>
          </cell>
          <cell r="T645" t="str">
            <v/>
          </cell>
        </row>
        <row r="646">
          <cell r="A646" t="str">
            <v/>
          </cell>
          <cell r="B646">
            <v>1642</v>
          </cell>
          <cell r="D646" t="str">
            <v/>
          </cell>
          <cell r="F646" t="str">
            <v/>
          </cell>
          <cell r="J646">
            <v>0</v>
          </cell>
          <cell r="L646">
            <v>0</v>
          </cell>
          <cell r="M646">
            <v>0</v>
          </cell>
          <cell r="N646">
            <v>0</v>
          </cell>
          <cell r="O646" t="str">
            <v/>
          </cell>
          <cell r="S646" t="str">
            <v/>
          </cell>
          <cell r="T646" t="str">
            <v/>
          </cell>
        </row>
        <row r="647">
          <cell r="A647" t="str">
            <v/>
          </cell>
          <cell r="B647">
            <v>1643</v>
          </cell>
          <cell r="D647" t="str">
            <v/>
          </cell>
          <cell r="F647" t="str">
            <v/>
          </cell>
          <cell r="J647">
            <v>0</v>
          </cell>
          <cell r="L647">
            <v>0</v>
          </cell>
          <cell r="M647">
            <v>0</v>
          </cell>
          <cell r="N647">
            <v>0</v>
          </cell>
          <cell r="O647" t="str">
            <v/>
          </cell>
          <cell r="S647" t="str">
            <v/>
          </cell>
          <cell r="T647" t="str">
            <v/>
          </cell>
        </row>
        <row r="648">
          <cell r="A648" t="str">
            <v/>
          </cell>
          <cell r="B648">
            <v>1644</v>
          </cell>
          <cell r="D648" t="str">
            <v/>
          </cell>
          <cell r="F648" t="str">
            <v/>
          </cell>
          <cell r="J648">
            <v>0</v>
          </cell>
          <cell r="L648">
            <v>0</v>
          </cell>
          <cell r="M648">
            <v>0</v>
          </cell>
          <cell r="N648">
            <v>0</v>
          </cell>
          <cell r="O648" t="str">
            <v/>
          </cell>
          <cell r="S648" t="str">
            <v/>
          </cell>
          <cell r="T648" t="str">
            <v/>
          </cell>
        </row>
        <row r="649">
          <cell r="A649" t="str">
            <v/>
          </cell>
          <cell r="B649">
            <v>1645</v>
          </cell>
          <cell r="D649" t="str">
            <v/>
          </cell>
          <cell r="F649" t="str">
            <v/>
          </cell>
          <cell r="J649">
            <v>0</v>
          </cell>
          <cell r="L649">
            <v>0</v>
          </cell>
          <cell r="M649">
            <v>0</v>
          </cell>
          <cell r="N649">
            <v>0</v>
          </cell>
          <cell r="O649" t="str">
            <v/>
          </cell>
          <cell r="S649" t="str">
            <v/>
          </cell>
          <cell r="T649" t="str">
            <v/>
          </cell>
        </row>
        <row r="650">
          <cell r="A650" t="str">
            <v/>
          </cell>
          <cell r="B650">
            <v>1646</v>
          </cell>
          <cell r="D650" t="str">
            <v/>
          </cell>
          <cell r="F650" t="str">
            <v/>
          </cell>
          <cell r="J650">
            <v>0</v>
          </cell>
          <cell r="L650">
            <v>0</v>
          </cell>
          <cell r="M650">
            <v>0</v>
          </cell>
          <cell r="N650">
            <v>0</v>
          </cell>
          <cell r="O650" t="str">
            <v/>
          </cell>
          <cell r="S650" t="str">
            <v/>
          </cell>
          <cell r="T650" t="str">
            <v/>
          </cell>
        </row>
        <row r="651">
          <cell r="A651" t="str">
            <v/>
          </cell>
          <cell r="B651">
            <v>1647</v>
          </cell>
          <cell r="D651" t="str">
            <v/>
          </cell>
          <cell r="F651" t="str">
            <v/>
          </cell>
          <cell r="J651">
            <v>0</v>
          </cell>
          <cell r="L651">
            <v>0</v>
          </cell>
          <cell r="M651">
            <v>0</v>
          </cell>
          <cell r="N651">
            <v>0</v>
          </cell>
          <cell r="O651" t="str">
            <v/>
          </cell>
          <cell r="S651" t="str">
            <v/>
          </cell>
          <cell r="T651" t="str">
            <v/>
          </cell>
        </row>
        <row r="652">
          <cell r="A652" t="str">
            <v/>
          </cell>
          <cell r="B652">
            <v>1648</v>
          </cell>
          <cell r="D652" t="str">
            <v/>
          </cell>
          <cell r="F652" t="str">
            <v/>
          </cell>
          <cell r="J652">
            <v>0</v>
          </cell>
          <cell r="L652">
            <v>0</v>
          </cell>
          <cell r="M652">
            <v>0</v>
          </cell>
          <cell r="N652">
            <v>0</v>
          </cell>
          <cell r="O652" t="str">
            <v/>
          </cell>
          <cell r="S652" t="str">
            <v/>
          </cell>
          <cell r="T652" t="str">
            <v/>
          </cell>
        </row>
        <row r="653">
          <cell r="A653" t="str">
            <v/>
          </cell>
          <cell r="B653">
            <v>1649</v>
          </cell>
          <cell r="D653" t="str">
            <v/>
          </cell>
          <cell r="F653" t="str">
            <v/>
          </cell>
          <cell r="J653">
            <v>0</v>
          </cell>
          <cell r="L653">
            <v>0</v>
          </cell>
          <cell r="M653">
            <v>0</v>
          </cell>
          <cell r="N653">
            <v>0</v>
          </cell>
          <cell r="O653" t="str">
            <v/>
          </cell>
          <cell r="S653" t="str">
            <v/>
          </cell>
          <cell r="T653" t="str">
            <v/>
          </cell>
        </row>
        <row r="654">
          <cell r="A654" t="str">
            <v/>
          </cell>
          <cell r="B654">
            <v>1650</v>
          </cell>
          <cell r="D654" t="str">
            <v/>
          </cell>
          <cell r="F654" t="str">
            <v/>
          </cell>
          <cell r="J654">
            <v>0</v>
          </cell>
          <cell r="L654">
            <v>0</v>
          </cell>
          <cell r="M654">
            <v>0</v>
          </cell>
          <cell r="N654">
            <v>0</v>
          </cell>
          <cell r="O654" t="str">
            <v/>
          </cell>
          <cell r="S654" t="str">
            <v/>
          </cell>
          <cell r="T654" t="str">
            <v/>
          </cell>
        </row>
        <row r="655">
          <cell r="A655" t="str">
            <v/>
          </cell>
          <cell r="B655">
            <v>1651</v>
          </cell>
          <cell r="D655" t="str">
            <v/>
          </cell>
          <cell r="F655" t="str">
            <v/>
          </cell>
          <cell r="J655">
            <v>0</v>
          </cell>
          <cell r="L655">
            <v>0</v>
          </cell>
          <cell r="M655">
            <v>0</v>
          </cell>
          <cell r="N655">
            <v>0</v>
          </cell>
          <cell r="O655" t="str">
            <v/>
          </cell>
          <cell r="S655" t="str">
            <v/>
          </cell>
          <cell r="T655" t="str">
            <v/>
          </cell>
        </row>
        <row r="656">
          <cell r="A656" t="str">
            <v/>
          </cell>
          <cell r="B656">
            <v>1652</v>
          </cell>
          <cell r="D656" t="str">
            <v/>
          </cell>
          <cell r="F656" t="str">
            <v/>
          </cell>
          <cell r="J656">
            <v>0</v>
          </cell>
          <cell r="L656">
            <v>0</v>
          </cell>
          <cell r="M656">
            <v>0</v>
          </cell>
          <cell r="N656">
            <v>0</v>
          </cell>
          <cell r="O656" t="str">
            <v/>
          </cell>
          <cell r="S656" t="str">
            <v/>
          </cell>
          <cell r="T656" t="str">
            <v/>
          </cell>
        </row>
        <row r="657">
          <cell r="A657" t="str">
            <v/>
          </cell>
          <cell r="B657">
            <v>1653</v>
          </cell>
          <cell r="D657" t="str">
            <v/>
          </cell>
          <cell r="F657" t="str">
            <v/>
          </cell>
          <cell r="J657">
            <v>0</v>
          </cell>
          <cell r="L657">
            <v>0</v>
          </cell>
          <cell r="M657">
            <v>0</v>
          </cell>
          <cell r="N657">
            <v>0</v>
          </cell>
          <cell r="O657" t="str">
            <v/>
          </cell>
          <cell r="S657" t="str">
            <v/>
          </cell>
          <cell r="T657" t="str">
            <v/>
          </cell>
        </row>
        <row r="658">
          <cell r="A658" t="str">
            <v/>
          </cell>
          <cell r="B658">
            <v>1654</v>
          </cell>
          <cell r="D658" t="str">
            <v/>
          </cell>
          <cell r="F658" t="str">
            <v/>
          </cell>
          <cell r="J658">
            <v>0</v>
          </cell>
          <cell r="L658">
            <v>0</v>
          </cell>
          <cell r="M658">
            <v>0</v>
          </cell>
          <cell r="N658">
            <v>0</v>
          </cell>
          <cell r="O658" t="str">
            <v/>
          </cell>
          <cell r="S658" t="str">
            <v/>
          </cell>
          <cell r="T658" t="str">
            <v/>
          </cell>
        </row>
        <row r="659">
          <cell r="A659" t="str">
            <v/>
          </cell>
          <cell r="B659">
            <v>1655</v>
          </cell>
          <cell r="D659" t="str">
            <v/>
          </cell>
          <cell r="F659" t="str">
            <v/>
          </cell>
          <cell r="J659">
            <v>0</v>
          </cell>
          <cell r="L659">
            <v>0</v>
          </cell>
          <cell r="M659">
            <v>0</v>
          </cell>
          <cell r="N659">
            <v>0</v>
          </cell>
          <cell r="O659" t="str">
            <v/>
          </cell>
          <cell r="S659" t="str">
            <v/>
          </cell>
          <cell r="T659" t="str">
            <v/>
          </cell>
        </row>
        <row r="660">
          <cell r="A660" t="str">
            <v/>
          </cell>
          <cell r="B660">
            <v>1656</v>
          </cell>
          <cell r="D660" t="str">
            <v/>
          </cell>
          <cell r="F660" t="str">
            <v/>
          </cell>
          <cell r="J660">
            <v>0</v>
          </cell>
          <cell r="L660">
            <v>0</v>
          </cell>
          <cell r="M660">
            <v>0</v>
          </cell>
          <cell r="N660">
            <v>0</v>
          </cell>
          <cell r="O660" t="str">
            <v/>
          </cell>
          <cell r="S660" t="str">
            <v/>
          </cell>
          <cell r="T660" t="str">
            <v/>
          </cell>
        </row>
        <row r="661">
          <cell r="A661" t="str">
            <v/>
          </cell>
          <cell r="B661">
            <v>1657</v>
          </cell>
          <cell r="D661" t="str">
            <v/>
          </cell>
          <cell r="F661" t="str">
            <v/>
          </cell>
          <cell r="J661">
            <v>0</v>
          </cell>
          <cell r="L661">
            <v>0</v>
          </cell>
          <cell r="M661">
            <v>0</v>
          </cell>
          <cell r="N661">
            <v>0</v>
          </cell>
          <cell r="O661" t="str">
            <v/>
          </cell>
          <cell r="S661" t="str">
            <v/>
          </cell>
          <cell r="T661" t="str">
            <v/>
          </cell>
        </row>
        <row r="662">
          <cell r="A662" t="str">
            <v/>
          </cell>
          <cell r="B662">
            <v>1658</v>
          </cell>
          <cell r="D662" t="str">
            <v/>
          </cell>
          <cell r="F662" t="str">
            <v/>
          </cell>
          <cell r="J662">
            <v>0</v>
          </cell>
          <cell r="L662">
            <v>0</v>
          </cell>
          <cell r="M662">
            <v>0</v>
          </cell>
          <cell r="N662">
            <v>0</v>
          </cell>
          <cell r="O662" t="str">
            <v/>
          </cell>
          <cell r="S662" t="str">
            <v/>
          </cell>
          <cell r="T662" t="str">
            <v/>
          </cell>
        </row>
        <row r="663">
          <cell r="A663" t="str">
            <v/>
          </cell>
          <cell r="B663">
            <v>1659</v>
          </cell>
          <cell r="D663" t="str">
            <v/>
          </cell>
          <cell r="F663" t="str">
            <v/>
          </cell>
          <cell r="J663">
            <v>0</v>
          </cell>
          <cell r="L663">
            <v>0</v>
          </cell>
          <cell r="M663">
            <v>0</v>
          </cell>
          <cell r="N663">
            <v>0</v>
          </cell>
          <cell r="O663" t="str">
            <v/>
          </cell>
          <cell r="S663" t="str">
            <v/>
          </cell>
          <cell r="T663" t="str">
            <v/>
          </cell>
        </row>
        <row r="664">
          <cell r="A664" t="str">
            <v/>
          </cell>
          <cell r="B664">
            <v>1660</v>
          </cell>
          <cell r="D664" t="str">
            <v/>
          </cell>
          <cell r="F664" t="str">
            <v/>
          </cell>
          <cell r="J664">
            <v>0</v>
          </cell>
          <cell r="L664">
            <v>0</v>
          </cell>
          <cell r="M664">
            <v>0</v>
          </cell>
          <cell r="N664">
            <v>0</v>
          </cell>
          <cell r="O664" t="str">
            <v/>
          </cell>
          <cell r="S664" t="str">
            <v/>
          </cell>
          <cell r="T664" t="str">
            <v/>
          </cell>
        </row>
        <row r="665">
          <cell r="A665" t="str">
            <v/>
          </cell>
          <cell r="B665">
            <v>1661</v>
          </cell>
          <cell r="D665" t="str">
            <v/>
          </cell>
          <cell r="F665" t="str">
            <v/>
          </cell>
          <cell r="J665">
            <v>0</v>
          </cell>
          <cell r="L665">
            <v>0</v>
          </cell>
          <cell r="M665">
            <v>0</v>
          </cell>
          <cell r="N665">
            <v>0</v>
          </cell>
          <cell r="O665" t="str">
            <v/>
          </cell>
          <cell r="S665" t="str">
            <v/>
          </cell>
          <cell r="T665" t="str">
            <v/>
          </cell>
        </row>
        <row r="666">
          <cell r="A666" t="str">
            <v/>
          </cell>
          <cell r="B666">
            <v>1662</v>
          </cell>
          <cell r="D666" t="str">
            <v/>
          </cell>
          <cell r="F666" t="str">
            <v/>
          </cell>
          <cell r="J666">
            <v>0</v>
          </cell>
          <cell r="L666">
            <v>0</v>
          </cell>
          <cell r="M666">
            <v>0</v>
          </cell>
          <cell r="N666">
            <v>0</v>
          </cell>
          <cell r="O666" t="str">
            <v/>
          </cell>
          <cell r="S666" t="str">
            <v/>
          </cell>
          <cell r="T666" t="str">
            <v/>
          </cell>
        </row>
        <row r="667">
          <cell r="A667" t="str">
            <v/>
          </cell>
          <cell r="B667">
            <v>1663</v>
          </cell>
          <cell r="D667" t="str">
            <v/>
          </cell>
          <cell r="F667" t="str">
            <v/>
          </cell>
          <cell r="J667">
            <v>0</v>
          </cell>
          <cell r="L667">
            <v>0</v>
          </cell>
          <cell r="M667">
            <v>0</v>
          </cell>
          <cell r="N667">
            <v>0</v>
          </cell>
          <cell r="O667" t="str">
            <v/>
          </cell>
          <cell r="S667" t="str">
            <v/>
          </cell>
          <cell r="T667" t="str">
            <v/>
          </cell>
        </row>
        <row r="668">
          <cell r="A668" t="str">
            <v/>
          </cell>
          <cell r="B668">
            <v>1664</v>
          </cell>
          <cell r="D668" t="str">
            <v/>
          </cell>
          <cell r="F668" t="str">
            <v/>
          </cell>
          <cell r="J668">
            <v>0</v>
          </cell>
          <cell r="L668">
            <v>0</v>
          </cell>
          <cell r="M668">
            <v>0</v>
          </cell>
          <cell r="N668">
            <v>0</v>
          </cell>
          <cell r="O668" t="str">
            <v/>
          </cell>
          <cell r="S668" t="str">
            <v/>
          </cell>
          <cell r="T668" t="str">
            <v/>
          </cell>
        </row>
        <row r="669">
          <cell r="A669" t="str">
            <v/>
          </cell>
          <cell r="B669">
            <v>1665</v>
          </cell>
          <cell r="D669" t="str">
            <v/>
          </cell>
          <cell r="F669" t="str">
            <v/>
          </cell>
          <cell r="J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/>
          </cell>
          <cell r="S669" t="str">
            <v/>
          </cell>
          <cell r="T669" t="str">
            <v/>
          </cell>
        </row>
        <row r="670">
          <cell r="A670" t="str">
            <v/>
          </cell>
          <cell r="B670">
            <v>1666</v>
          </cell>
          <cell r="D670" t="str">
            <v/>
          </cell>
          <cell r="F670" t="str">
            <v/>
          </cell>
          <cell r="J670">
            <v>0</v>
          </cell>
          <cell r="L670">
            <v>0</v>
          </cell>
          <cell r="M670">
            <v>0</v>
          </cell>
          <cell r="N670">
            <v>0</v>
          </cell>
          <cell r="O670" t="str">
            <v/>
          </cell>
          <cell r="S670" t="str">
            <v/>
          </cell>
          <cell r="T670" t="str">
            <v/>
          </cell>
        </row>
        <row r="671">
          <cell r="A671" t="str">
            <v/>
          </cell>
          <cell r="B671">
            <v>1667</v>
          </cell>
          <cell r="D671" t="str">
            <v/>
          </cell>
          <cell r="F671" t="str">
            <v/>
          </cell>
          <cell r="J671">
            <v>0</v>
          </cell>
          <cell r="L671">
            <v>0</v>
          </cell>
          <cell r="M671">
            <v>0</v>
          </cell>
          <cell r="N671">
            <v>0</v>
          </cell>
          <cell r="O671" t="str">
            <v/>
          </cell>
          <cell r="S671" t="str">
            <v/>
          </cell>
          <cell r="T671" t="str">
            <v/>
          </cell>
        </row>
        <row r="672">
          <cell r="A672" t="str">
            <v/>
          </cell>
          <cell r="B672">
            <v>1668</v>
          </cell>
          <cell r="D672" t="str">
            <v/>
          </cell>
          <cell r="F672" t="str">
            <v/>
          </cell>
          <cell r="J672">
            <v>0</v>
          </cell>
          <cell r="L672">
            <v>0</v>
          </cell>
          <cell r="M672">
            <v>0</v>
          </cell>
          <cell r="N672">
            <v>0</v>
          </cell>
          <cell r="O672" t="str">
            <v/>
          </cell>
          <cell r="S672" t="str">
            <v/>
          </cell>
          <cell r="T672" t="str">
            <v/>
          </cell>
        </row>
        <row r="673">
          <cell r="A673" t="str">
            <v/>
          </cell>
          <cell r="B673">
            <v>1669</v>
          </cell>
          <cell r="D673" t="str">
            <v/>
          </cell>
          <cell r="F673" t="str">
            <v/>
          </cell>
          <cell r="J673">
            <v>0</v>
          </cell>
          <cell r="L673">
            <v>0</v>
          </cell>
          <cell r="M673">
            <v>0</v>
          </cell>
          <cell r="N673">
            <v>0</v>
          </cell>
          <cell r="O673" t="str">
            <v/>
          </cell>
          <cell r="S673" t="str">
            <v/>
          </cell>
          <cell r="T673" t="str">
            <v/>
          </cell>
        </row>
        <row r="674">
          <cell r="A674" t="str">
            <v/>
          </cell>
          <cell r="B674">
            <v>1670</v>
          </cell>
          <cell r="D674" t="str">
            <v/>
          </cell>
          <cell r="F674" t="str">
            <v/>
          </cell>
          <cell r="J674">
            <v>0</v>
          </cell>
          <cell r="L674">
            <v>0</v>
          </cell>
          <cell r="M674">
            <v>0</v>
          </cell>
          <cell r="N674">
            <v>0</v>
          </cell>
          <cell r="O674" t="str">
            <v/>
          </cell>
          <cell r="S674" t="str">
            <v/>
          </cell>
          <cell r="T674" t="str">
            <v/>
          </cell>
        </row>
        <row r="675">
          <cell r="A675" t="str">
            <v/>
          </cell>
          <cell r="B675">
            <v>1671</v>
          </cell>
          <cell r="D675" t="str">
            <v/>
          </cell>
          <cell r="F675" t="str">
            <v/>
          </cell>
          <cell r="J675">
            <v>0</v>
          </cell>
          <cell r="L675">
            <v>0</v>
          </cell>
          <cell r="M675">
            <v>0</v>
          </cell>
          <cell r="N675">
            <v>0</v>
          </cell>
          <cell r="O675" t="str">
            <v/>
          </cell>
          <cell r="S675" t="str">
            <v/>
          </cell>
          <cell r="T675" t="str">
            <v/>
          </cell>
        </row>
        <row r="676">
          <cell r="A676" t="str">
            <v/>
          </cell>
          <cell r="B676">
            <v>1672</v>
          </cell>
          <cell r="D676" t="str">
            <v/>
          </cell>
          <cell r="F676" t="str">
            <v/>
          </cell>
          <cell r="J676">
            <v>0</v>
          </cell>
          <cell r="L676">
            <v>0</v>
          </cell>
          <cell r="M676">
            <v>0</v>
          </cell>
          <cell r="N676">
            <v>0</v>
          </cell>
          <cell r="O676" t="str">
            <v/>
          </cell>
          <cell r="S676" t="str">
            <v/>
          </cell>
          <cell r="T676" t="str">
            <v/>
          </cell>
        </row>
        <row r="677">
          <cell r="A677" t="str">
            <v/>
          </cell>
          <cell r="B677">
            <v>1673</v>
          </cell>
          <cell r="D677" t="str">
            <v/>
          </cell>
          <cell r="F677" t="str">
            <v/>
          </cell>
          <cell r="J677">
            <v>0</v>
          </cell>
          <cell r="L677">
            <v>0</v>
          </cell>
          <cell r="M677">
            <v>0</v>
          </cell>
          <cell r="N677">
            <v>0</v>
          </cell>
          <cell r="O677" t="str">
            <v/>
          </cell>
          <cell r="S677" t="str">
            <v/>
          </cell>
          <cell r="T677" t="str">
            <v/>
          </cell>
        </row>
        <row r="678">
          <cell r="A678" t="str">
            <v/>
          </cell>
          <cell r="B678">
            <v>1674</v>
          </cell>
          <cell r="D678" t="str">
            <v/>
          </cell>
          <cell r="F678" t="str">
            <v/>
          </cell>
          <cell r="J678">
            <v>0</v>
          </cell>
          <cell r="L678">
            <v>0</v>
          </cell>
          <cell r="M678">
            <v>0</v>
          </cell>
          <cell r="N678">
            <v>0</v>
          </cell>
          <cell r="O678" t="str">
            <v/>
          </cell>
          <cell r="S678" t="str">
            <v/>
          </cell>
          <cell r="T678" t="str">
            <v/>
          </cell>
        </row>
        <row r="679">
          <cell r="A679" t="str">
            <v/>
          </cell>
          <cell r="B679">
            <v>1675</v>
          </cell>
          <cell r="D679" t="str">
            <v/>
          </cell>
          <cell r="F679" t="str">
            <v/>
          </cell>
          <cell r="J679">
            <v>0</v>
          </cell>
          <cell r="L679">
            <v>0</v>
          </cell>
          <cell r="M679">
            <v>0</v>
          </cell>
          <cell r="N679">
            <v>0</v>
          </cell>
          <cell r="O679" t="str">
            <v/>
          </cell>
          <cell r="S679" t="str">
            <v/>
          </cell>
          <cell r="T679" t="str">
            <v/>
          </cell>
        </row>
        <row r="680">
          <cell r="A680" t="str">
            <v/>
          </cell>
          <cell r="B680">
            <v>1676</v>
          </cell>
          <cell r="D680" t="str">
            <v/>
          </cell>
          <cell r="F680" t="str">
            <v/>
          </cell>
          <cell r="J680">
            <v>0</v>
          </cell>
          <cell r="L680">
            <v>0</v>
          </cell>
          <cell r="M680">
            <v>0</v>
          </cell>
          <cell r="N680">
            <v>0</v>
          </cell>
          <cell r="O680" t="str">
            <v/>
          </cell>
          <cell r="S680" t="str">
            <v/>
          </cell>
          <cell r="T680" t="str">
            <v/>
          </cell>
        </row>
        <row r="681">
          <cell r="A681" t="str">
            <v/>
          </cell>
          <cell r="B681">
            <v>1677</v>
          </cell>
          <cell r="D681" t="str">
            <v/>
          </cell>
          <cell r="F681" t="str">
            <v/>
          </cell>
          <cell r="J681">
            <v>0</v>
          </cell>
          <cell r="L681">
            <v>0</v>
          </cell>
          <cell r="M681">
            <v>0</v>
          </cell>
          <cell r="N681">
            <v>0</v>
          </cell>
          <cell r="O681" t="str">
            <v/>
          </cell>
          <cell r="S681" t="str">
            <v/>
          </cell>
          <cell r="T681" t="str">
            <v/>
          </cell>
        </row>
        <row r="682">
          <cell r="A682" t="str">
            <v/>
          </cell>
          <cell r="B682">
            <v>1678</v>
          </cell>
          <cell r="D682" t="str">
            <v/>
          </cell>
          <cell r="F682" t="str">
            <v/>
          </cell>
          <cell r="J682">
            <v>0</v>
          </cell>
          <cell r="L682">
            <v>0</v>
          </cell>
          <cell r="M682">
            <v>0</v>
          </cell>
          <cell r="N682">
            <v>0</v>
          </cell>
          <cell r="O682" t="str">
            <v/>
          </cell>
          <cell r="S682" t="str">
            <v/>
          </cell>
          <cell r="T682" t="str">
            <v/>
          </cell>
        </row>
        <row r="683">
          <cell r="A683" t="str">
            <v/>
          </cell>
          <cell r="B683">
            <v>1679</v>
          </cell>
          <cell r="D683" t="str">
            <v/>
          </cell>
          <cell r="F683" t="str">
            <v/>
          </cell>
          <cell r="J683">
            <v>0</v>
          </cell>
          <cell r="L683">
            <v>0</v>
          </cell>
          <cell r="M683">
            <v>0</v>
          </cell>
          <cell r="N683">
            <v>0</v>
          </cell>
          <cell r="O683" t="str">
            <v/>
          </cell>
          <cell r="S683" t="str">
            <v/>
          </cell>
          <cell r="T683" t="str">
            <v/>
          </cell>
        </row>
        <row r="684">
          <cell r="A684" t="str">
            <v/>
          </cell>
          <cell r="B684">
            <v>1680</v>
          </cell>
          <cell r="D684" t="str">
            <v/>
          </cell>
          <cell r="F684" t="str">
            <v/>
          </cell>
          <cell r="J684">
            <v>0</v>
          </cell>
          <cell r="L684">
            <v>0</v>
          </cell>
          <cell r="M684">
            <v>0</v>
          </cell>
          <cell r="N684">
            <v>0</v>
          </cell>
          <cell r="O684" t="str">
            <v/>
          </cell>
          <cell r="S684" t="str">
            <v/>
          </cell>
          <cell r="T684" t="str">
            <v/>
          </cell>
        </row>
        <row r="685">
          <cell r="A685" t="str">
            <v/>
          </cell>
          <cell r="B685">
            <v>1681</v>
          </cell>
          <cell r="D685" t="str">
            <v/>
          </cell>
          <cell r="F685" t="str">
            <v/>
          </cell>
          <cell r="J685">
            <v>0</v>
          </cell>
          <cell r="L685">
            <v>0</v>
          </cell>
          <cell r="M685">
            <v>0</v>
          </cell>
          <cell r="N685">
            <v>0</v>
          </cell>
          <cell r="O685" t="str">
            <v/>
          </cell>
          <cell r="S685" t="str">
            <v/>
          </cell>
          <cell r="T685" t="str">
            <v/>
          </cell>
        </row>
        <row r="686">
          <cell r="A686" t="str">
            <v/>
          </cell>
          <cell r="B686">
            <v>1682</v>
          </cell>
          <cell r="D686" t="str">
            <v/>
          </cell>
          <cell r="F686" t="str">
            <v/>
          </cell>
          <cell r="J686">
            <v>0</v>
          </cell>
          <cell r="L686">
            <v>0</v>
          </cell>
          <cell r="M686">
            <v>0</v>
          </cell>
          <cell r="N686">
            <v>0</v>
          </cell>
          <cell r="O686" t="str">
            <v/>
          </cell>
          <cell r="S686" t="str">
            <v/>
          </cell>
          <cell r="T686" t="str">
            <v/>
          </cell>
        </row>
        <row r="687">
          <cell r="A687" t="str">
            <v/>
          </cell>
          <cell r="B687">
            <v>1683</v>
          </cell>
          <cell r="D687" t="str">
            <v/>
          </cell>
          <cell r="F687" t="str">
            <v/>
          </cell>
          <cell r="J687">
            <v>0</v>
          </cell>
          <cell r="L687">
            <v>0</v>
          </cell>
          <cell r="M687">
            <v>0</v>
          </cell>
          <cell r="N687">
            <v>0</v>
          </cell>
          <cell r="O687" t="str">
            <v/>
          </cell>
          <cell r="S687" t="str">
            <v/>
          </cell>
          <cell r="T687" t="str">
            <v/>
          </cell>
        </row>
        <row r="688">
          <cell r="A688" t="str">
            <v/>
          </cell>
          <cell r="B688">
            <v>1684</v>
          </cell>
          <cell r="D688" t="str">
            <v/>
          </cell>
          <cell r="F688" t="str">
            <v/>
          </cell>
          <cell r="J688">
            <v>0</v>
          </cell>
          <cell r="L688">
            <v>0</v>
          </cell>
          <cell r="M688">
            <v>0</v>
          </cell>
          <cell r="N688">
            <v>0</v>
          </cell>
          <cell r="O688" t="str">
            <v/>
          </cell>
          <cell r="S688" t="str">
            <v/>
          </cell>
          <cell r="T688" t="str">
            <v/>
          </cell>
        </row>
        <row r="689">
          <cell r="A689" t="str">
            <v/>
          </cell>
          <cell r="B689">
            <v>1685</v>
          </cell>
          <cell r="D689" t="str">
            <v/>
          </cell>
          <cell r="F689" t="str">
            <v/>
          </cell>
          <cell r="J689">
            <v>0</v>
          </cell>
          <cell r="L689">
            <v>0</v>
          </cell>
          <cell r="M689">
            <v>0</v>
          </cell>
          <cell r="N689">
            <v>0</v>
          </cell>
          <cell r="O689" t="str">
            <v/>
          </cell>
          <cell r="S689" t="str">
            <v/>
          </cell>
          <cell r="T689" t="str">
            <v/>
          </cell>
        </row>
        <row r="690">
          <cell r="A690" t="str">
            <v/>
          </cell>
          <cell r="B690">
            <v>1686</v>
          </cell>
          <cell r="D690" t="str">
            <v/>
          </cell>
          <cell r="F690" t="str">
            <v/>
          </cell>
          <cell r="J690">
            <v>0</v>
          </cell>
          <cell r="L690">
            <v>0</v>
          </cell>
          <cell r="M690">
            <v>0</v>
          </cell>
          <cell r="N690">
            <v>0</v>
          </cell>
          <cell r="O690" t="str">
            <v/>
          </cell>
          <cell r="S690" t="str">
            <v/>
          </cell>
          <cell r="T690" t="str">
            <v/>
          </cell>
        </row>
        <row r="691">
          <cell r="A691" t="str">
            <v/>
          </cell>
          <cell r="B691">
            <v>1687</v>
          </cell>
          <cell r="D691" t="str">
            <v/>
          </cell>
          <cell r="F691" t="str">
            <v/>
          </cell>
          <cell r="J691">
            <v>0</v>
          </cell>
          <cell r="L691">
            <v>0</v>
          </cell>
          <cell r="M691">
            <v>0</v>
          </cell>
          <cell r="N691">
            <v>0</v>
          </cell>
          <cell r="O691" t="str">
            <v/>
          </cell>
          <cell r="S691" t="str">
            <v/>
          </cell>
          <cell r="T691" t="str">
            <v/>
          </cell>
        </row>
        <row r="692">
          <cell r="A692" t="str">
            <v/>
          </cell>
          <cell r="B692">
            <v>1688</v>
          </cell>
          <cell r="D692" t="str">
            <v/>
          </cell>
          <cell r="F692" t="str">
            <v/>
          </cell>
          <cell r="J692">
            <v>0</v>
          </cell>
          <cell r="L692">
            <v>0</v>
          </cell>
          <cell r="M692">
            <v>0</v>
          </cell>
          <cell r="N692">
            <v>0</v>
          </cell>
          <cell r="O692" t="str">
            <v/>
          </cell>
          <cell r="S692" t="str">
            <v/>
          </cell>
          <cell r="T692" t="str">
            <v/>
          </cell>
        </row>
        <row r="693">
          <cell r="A693" t="str">
            <v/>
          </cell>
          <cell r="B693">
            <v>1689</v>
          </cell>
          <cell r="D693" t="str">
            <v/>
          </cell>
          <cell r="F693" t="str">
            <v/>
          </cell>
          <cell r="J693">
            <v>0</v>
          </cell>
          <cell r="L693">
            <v>0</v>
          </cell>
          <cell r="M693">
            <v>0</v>
          </cell>
          <cell r="N693">
            <v>0</v>
          </cell>
          <cell r="O693" t="str">
            <v/>
          </cell>
          <cell r="S693" t="str">
            <v/>
          </cell>
          <cell r="T693" t="str">
            <v/>
          </cell>
        </row>
        <row r="694">
          <cell r="A694" t="str">
            <v/>
          </cell>
          <cell r="B694">
            <v>1690</v>
          </cell>
          <cell r="D694" t="str">
            <v/>
          </cell>
          <cell r="F694" t="str">
            <v/>
          </cell>
          <cell r="J694">
            <v>0</v>
          </cell>
          <cell r="L694">
            <v>0</v>
          </cell>
          <cell r="M694">
            <v>0</v>
          </cell>
          <cell r="N694">
            <v>0</v>
          </cell>
          <cell r="O694" t="str">
            <v/>
          </cell>
          <cell r="S694" t="str">
            <v/>
          </cell>
          <cell r="T694" t="str">
            <v/>
          </cell>
        </row>
        <row r="695">
          <cell r="A695" t="str">
            <v/>
          </cell>
          <cell r="B695">
            <v>1691</v>
          </cell>
          <cell r="D695" t="str">
            <v/>
          </cell>
          <cell r="F695" t="str">
            <v/>
          </cell>
          <cell r="J695">
            <v>0</v>
          </cell>
          <cell r="L695">
            <v>0</v>
          </cell>
          <cell r="M695">
            <v>0</v>
          </cell>
          <cell r="N695">
            <v>0</v>
          </cell>
          <cell r="O695" t="str">
            <v/>
          </cell>
          <cell r="S695" t="str">
            <v/>
          </cell>
          <cell r="T695" t="str">
            <v/>
          </cell>
        </row>
        <row r="696">
          <cell r="A696" t="str">
            <v/>
          </cell>
          <cell r="B696">
            <v>1692</v>
          </cell>
          <cell r="D696" t="str">
            <v/>
          </cell>
          <cell r="F696" t="str">
            <v/>
          </cell>
          <cell r="J696">
            <v>0</v>
          </cell>
          <cell r="L696">
            <v>0</v>
          </cell>
          <cell r="M696">
            <v>0</v>
          </cell>
          <cell r="N696">
            <v>0</v>
          </cell>
          <cell r="O696" t="str">
            <v/>
          </cell>
          <cell r="S696" t="str">
            <v/>
          </cell>
          <cell r="T696" t="str">
            <v/>
          </cell>
        </row>
        <row r="697">
          <cell r="A697" t="str">
            <v/>
          </cell>
          <cell r="B697">
            <v>1693</v>
          </cell>
          <cell r="D697" t="str">
            <v/>
          </cell>
          <cell r="F697" t="str">
            <v/>
          </cell>
          <cell r="J697">
            <v>0</v>
          </cell>
          <cell r="L697">
            <v>0</v>
          </cell>
          <cell r="M697">
            <v>0</v>
          </cell>
          <cell r="N697">
            <v>0</v>
          </cell>
          <cell r="O697" t="str">
            <v/>
          </cell>
          <cell r="S697" t="str">
            <v/>
          </cell>
          <cell r="T697" t="str">
            <v/>
          </cell>
        </row>
        <row r="698">
          <cell r="A698" t="str">
            <v/>
          </cell>
          <cell r="B698">
            <v>1694</v>
          </cell>
          <cell r="D698" t="str">
            <v/>
          </cell>
          <cell r="F698" t="str">
            <v/>
          </cell>
          <cell r="J698">
            <v>0</v>
          </cell>
          <cell r="L698">
            <v>0</v>
          </cell>
          <cell r="M698">
            <v>0</v>
          </cell>
          <cell r="N698">
            <v>0</v>
          </cell>
          <cell r="O698" t="str">
            <v/>
          </cell>
          <cell r="S698" t="str">
            <v/>
          </cell>
          <cell r="T698" t="str">
            <v/>
          </cell>
        </row>
        <row r="699">
          <cell r="A699" t="str">
            <v/>
          </cell>
          <cell r="B699">
            <v>1695</v>
          </cell>
          <cell r="D699" t="str">
            <v/>
          </cell>
          <cell r="F699" t="str">
            <v/>
          </cell>
          <cell r="J699">
            <v>0</v>
          </cell>
          <cell r="L699">
            <v>0</v>
          </cell>
          <cell r="M699">
            <v>0</v>
          </cell>
          <cell r="N699">
            <v>0</v>
          </cell>
          <cell r="O699" t="str">
            <v/>
          </cell>
          <cell r="S699" t="str">
            <v/>
          </cell>
          <cell r="T699" t="str">
            <v/>
          </cell>
        </row>
        <row r="700">
          <cell r="A700" t="str">
            <v/>
          </cell>
          <cell r="B700">
            <v>1696</v>
          </cell>
          <cell r="D700" t="str">
            <v/>
          </cell>
          <cell r="F700" t="str">
            <v/>
          </cell>
          <cell r="J700">
            <v>0</v>
          </cell>
          <cell r="L700">
            <v>0</v>
          </cell>
          <cell r="M700">
            <v>0</v>
          </cell>
          <cell r="N700">
            <v>0</v>
          </cell>
          <cell r="O700" t="str">
            <v/>
          </cell>
          <cell r="S700" t="str">
            <v/>
          </cell>
          <cell r="T700" t="str">
            <v/>
          </cell>
        </row>
        <row r="701">
          <cell r="A701" t="str">
            <v/>
          </cell>
          <cell r="B701">
            <v>1697</v>
          </cell>
          <cell r="D701" t="str">
            <v/>
          </cell>
          <cell r="F701" t="str">
            <v/>
          </cell>
          <cell r="J701">
            <v>0</v>
          </cell>
          <cell r="L701">
            <v>0</v>
          </cell>
          <cell r="M701">
            <v>0</v>
          </cell>
          <cell r="N701">
            <v>0</v>
          </cell>
          <cell r="O701" t="str">
            <v/>
          </cell>
          <cell r="S701" t="str">
            <v/>
          </cell>
          <cell r="T701" t="str">
            <v/>
          </cell>
        </row>
        <row r="702">
          <cell r="A702" t="str">
            <v/>
          </cell>
          <cell r="B702">
            <v>1698</v>
          </cell>
          <cell r="D702" t="str">
            <v/>
          </cell>
          <cell r="F702" t="str">
            <v/>
          </cell>
          <cell r="J702">
            <v>0</v>
          </cell>
          <cell r="L702">
            <v>0</v>
          </cell>
          <cell r="M702">
            <v>0</v>
          </cell>
          <cell r="N702">
            <v>0</v>
          </cell>
          <cell r="O702" t="str">
            <v/>
          </cell>
          <cell r="S702" t="str">
            <v/>
          </cell>
          <cell r="T702" t="str">
            <v/>
          </cell>
        </row>
        <row r="703">
          <cell r="A703" t="str">
            <v/>
          </cell>
          <cell r="B703">
            <v>1699</v>
          </cell>
          <cell r="D703" t="str">
            <v/>
          </cell>
          <cell r="F703" t="str">
            <v/>
          </cell>
          <cell r="J703">
            <v>0</v>
          </cell>
          <cell r="L703">
            <v>0</v>
          </cell>
          <cell r="M703">
            <v>0</v>
          </cell>
          <cell r="N703">
            <v>0</v>
          </cell>
          <cell r="O703" t="str">
            <v/>
          </cell>
          <cell r="S703" t="str">
            <v/>
          </cell>
          <cell r="T703" t="str">
            <v/>
          </cell>
        </row>
        <row r="704">
          <cell r="A704" t="str">
            <v/>
          </cell>
          <cell r="B704">
            <v>1700</v>
          </cell>
          <cell r="D704" t="str">
            <v/>
          </cell>
          <cell r="F704" t="str">
            <v/>
          </cell>
          <cell r="J704">
            <v>0</v>
          </cell>
          <cell r="L704">
            <v>0</v>
          </cell>
          <cell r="M704">
            <v>0</v>
          </cell>
          <cell r="N704">
            <v>0</v>
          </cell>
          <cell r="O704" t="str">
            <v/>
          </cell>
          <cell r="S704" t="str">
            <v/>
          </cell>
          <cell r="T704" t="str">
            <v/>
          </cell>
        </row>
        <row r="705">
          <cell r="A705" t="str">
            <v/>
          </cell>
          <cell r="B705">
            <v>1701</v>
          </cell>
          <cell r="D705" t="str">
            <v/>
          </cell>
          <cell r="F705" t="str">
            <v/>
          </cell>
          <cell r="J705">
            <v>0</v>
          </cell>
          <cell r="L705">
            <v>0</v>
          </cell>
          <cell r="M705">
            <v>0</v>
          </cell>
          <cell r="N705">
            <v>0</v>
          </cell>
          <cell r="O705" t="str">
            <v/>
          </cell>
          <cell r="S705" t="str">
            <v/>
          </cell>
          <cell r="T705" t="str">
            <v/>
          </cell>
        </row>
        <row r="706">
          <cell r="A706" t="str">
            <v/>
          </cell>
          <cell r="B706">
            <v>1702</v>
          </cell>
          <cell r="D706" t="str">
            <v/>
          </cell>
          <cell r="F706" t="str">
            <v/>
          </cell>
          <cell r="J706">
            <v>0</v>
          </cell>
          <cell r="L706">
            <v>0</v>
          </cell>
          <cell r="M706">
            <v>0</v>
          </cell>
          <cell r="N706">
            <v>0</v>
          </cell>
          <cell r="O706" t="str">
            <v/>
          </cell>
          <cell r="S706" t="str">
            <v/>
          </cell>
          <cell r="T706" t="str">
            <v/>
          </cell>
        </row>
        <row r="707">
          <cell r="A707" t="str">
            <v/>
          </cell>
          <cell r="B707">
            <v>1703</v>
          </cell>
          <cell r="D707" t="str">
            <v/>
          </cell>
          <cell r="F707" t="str">
            <v/>
          </cell>
          <cell r="J707">
            <v>0</v>
          </cell>
          <cell r="L707">
            <v>0</v>
          </cell>
          <cell r="M707">
            <v>0</v>
          </cell>
          <cell r="N707">
            <v>0</v>
          </cell>
          <cell r="O707" t="str">
            <v/>
          </cell>
          <cell r="S707" t="str">
            <v/>
          </cell>
          <cell r="T707" t="str">
            <v/>
          </cell>
        </row>
        <row r="708">
          <cell r="A708" t="str">
            <v/>
          </cell>
          <cell r="B708">
            <v>1704</v>
          </cell>
          <cell r="D708" t="str">
            <v/>
          </cell>
          <cell r="F708" t="str">
            <v/>
          </cell>
          <cell r="J708">
            <v>0</v>
          </cell>
          <cell r="L708">
            <v>0</v>
          </cell>
          <cell r="M708">
            <v>0</v>
          </cell>
          <cell r="N708">
            <v>0</v>
          </cell>
          <cell r="O708" t="str">
            <v/>
          </cell>
          <cell r="S708" t="str">
            <v/>
          </cell>
          <cell r="T708" t="str">
            <v/>
          </cell>
        </row>
        <row r="709">
          <cell r="A709" t="str">
            <v/>
          </cell>
          <cell r="B709">
            <v>1705</v>
          </cell>
          <cell r="D709" t="str">
            <v/>
          </cell>
          <cell r="F709" t="str">
            <v/>
          </cell>
          <cell r="J709">
            <v>0</v>
          </cell>
          <cell r="L709">
            <v>0</v>
          </cell>
          <cell r="M709">
            <v>0</v>
          </cell>
          <cell r="N709">
            <v>0</v>
          </cell>
          <cell r="O709" t="str">
            <v/>
          </cell>
          <cell r="S709" t="str">
            <v/>
          </cell>
          <cell r="T709" t="str">
            <v/>
          </cell>
        </row>
        <row r="710">
          <cell r="A710" t="str">
            <v/>
          </cell>
          <cell r="B710">
            <v>1706</v>
          </cell>
          <cell r="D710" t="str">
            <v/>
          </cell>
          <cell r="F710" t="str">
            <v/>
          </cell>
          <cell r="J710">
            <v>0</v>
          </cell>
          <cell r="L710">
            <v>0</v>
          </cell>
          <cell r="M710">
            <v>0</v>
          </cell>
          <cell r="N710">
            <v>0</v>
          </cell>
          <cell r="O710" t="str">
            <v/>
          </cell>
          <cell r="S710" t="str">
            <v/>
          </cell>
          <cell r="T710" t="str">
            <v/>
          </cell>
        </row>
        <row r="711">
          <cell r="A711" t="str">
            <v/>
          </cell>
          <cell r="B711">
            <v>1707</v>
          </cell>
          <cell r="D711" t="str">
            <v/>
          </cell>
          <cell r="F711" t="str">
            <v/>
          </cell>
          <cell r="J711">
            <v>0</v>
          </cell>
          <cell r="L711">
            <v>0</v>
          </cell>
          <cell r="M711">
            <v>0</v>
          </cell>
          <cell r="N711">
            <v>0</v>
          </cell>
          <cell r="O711" t="str">
            <v/>
          </cell>
          <cell r="S711" t="str">
            <v/>
          </cell>
          <cell r="T711" t="str">
            <v/>
          </cell>
        </row>
        <row r="712">
          <cell r="A712" t="str">
            <v/>
          </cell>
          <cell r="B712">
            <v>1708</v>
          </cell>
          <cell r="D712" t="str">
            <v/>
          </cell>
          <cell r="F712" t="str">
            <v/>
          </cell>
          <cell r="J712">
            <v>0</v>
          </cell>
          <cell r="L712">
            <v>0</v>
          </cell>
          <cell r="M712">
            <v>0</v>
          </cell>
          <cell r="N712">
            <v>0</v>
          </cell>
          <cell r="O712" t="str">
            <v/>
          </cell>
          <cell r="S712" t="str">
            <v/>
          </cell>
          <cell r="T712" t="str">
            <v/>
          </cell>
        </row>
        <row r="713">
          <cell r="A713" t="str">
            <v/>
          </cell>
          <cell r="B713">
            <v>1709</v>
          </cell>
          <cell r="D713" t="str">
            <v/>
          </cell>
          <cell r="F713" t="str">
            <v/>
          </cell>
          <cell r="J713">
            <v>0</v>
          </cell>
          <cell r="L713">
            <v>0</v>
          </cell>
          <cell r="M713">
            <v>0</v>
          </cell>
          <cell r="N713">
            <v>0</v>
          </cell>
          <cell r="O713" t="str">
            <v/>
          </cell>
          <cell r="S713" t="str">
            <v/>
          </cell>
          <cell r="T713" t="str">
            <v/>
          </cell>
        </row>
        <row r="714">
          <cell r="A714" t="str">
            <v/>
          </cell>
          <cell r="B714">
            <v>1710</v>
          </cell>
          <cell r="D714" t="str">
            <v/>
          </cell>
          <cell r="F714" t="str">
            <v/>
          </cell>
          <cell r="J714">
            <v>0</v>
          </cell>
          <cell r="L714">
            <v>0</v>
          </cell>
          <cell r="M714">
            <v>0</v>
          </cell>
          <cell r="N714">
            <v>0</v>
          </cell>
          <cell r="O714" t="str">
            <v/>
          </cell>
          <cell r="S714" t="str">
            <v/>
          </cell>
          <cell r="T714" t="str">
            <v/>
          </cell>
        </row>
        <row r="715">
          <cell r="A715" t="str">
            <v/>
          </cell>
          <cell r="B715">
            <v>1711</v>
          </cell>
          <cell r="D715" t="str">
            <v/>
          </cell>
          <cell r="F715" t="str">
            <v/>
          </cell>
          <cell r="J715">
            <v>0</v>
          </cell>
          <cell r="L715">
            <v>0</v>
          </cell>
          <cell r="M715">
            <v>0</v>
          </cell>
          <cell r="N715">
            <v>0</v>
          </cell>
          <cell r="O715" t="str">
            <v/>
          </cell>
          <cell r="S715" t="str">
            <v/>
          </cell>
          <cell r="T715" t="str">
            <v/>
          </cell>
        </row>
        <row r="716">
          <cell r="A716" t="str">
            <v/>
          </cell>
          <cell r="B716">
            <v>1712</v>
          </cell>
          <cell r="D716" t="str">
            <v/>
          </cell>
          <cell r="F716" t="str">
            <v/>
          </cell>
          <cell r="J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/>
          </cell>
          <cell r="S716" t="str">
            <v/>
          </cell>
          <cell r="T716" t="str">
            <v/>
          </cell>
        </row>
        <row r="717">
          <cell r="A717" t="str">
            <v/>
          </cell>
          <cell r="B717">
            <v>1713</v>
          </cell>
          <cell r="D717" t="str">
            <v/>
          </cell>
          <cell r="F717" t="str">
            <v/>
          </cell>
          <cell r="J717">
            <v>0</v>
          </cell>
          <cell r="L717">
            <v>0</v>
          </cell>
          <cell r="M717">
            <v>0</v>
          </cell>
          <cell r="N717">
            <v>0</v>
          </cell>
          <cell r="O717" t="str">
            <v/>
          </cell>
          <cell r="S717" t="str">
            <v/>
          </cell>
          <cell r="T717" t="str">
            <v/>
          </cell>
        </row>
        <row r="718">
          <cell r="A718" t="str">
            <v/>
          </cell>
          <cell r="B718">
            <v>1714</v>
          </cell>
          <cell r="D718" t="str">
            <v/>
          </cell>
          <cell r="F718" t="str">
            <v/>
          </cell>
          <cell r="J718">
            <v>0</v>
          </cell>
          <cell r="L718">
            <v>0</v>
          </cell>
          <cell r="M718">
            <v>0</v>
          </cell>
          <cell r="N718">
            <v>0</v>
          </cell>
          <cell r="O718" t="str">
            <v/>
          </cell>
          <cell r="S718" t="str">
            <v/>
          </cell>
          <cell r="T718" t="str">
            <v/>
          </cell>
        </row>
        <row r="719">
          <cell r="A719" t="str">
            <v/>
          </cell>
          <cell r="B719">
            <v>1715</v>
          </cell>
          <cell r="D719" t="str">
            <v/>
          </cell>
          <cell r="F719" t="str">
            <v/>
          </cell>
          <cell r="J719">
            <v>0</v>
          </cell>
          <cell r="L719">
            <v>0</v>
          </cell>
          <cell r="M719">
            <v>0</v>
          </cell>
          <cell r="N719">
            <v>0</v>
          </cell>
          <cell r="O719" t="str">
            <v/>
          </cell>
          <cell r="S719" t="str">
            <v/>
          </cell>
          <cell r="T719" t="str">
            <v/>
          </cell>
        </row>
        <row r="720">
          <cell r="A720" t="str">
            <v/>
          </cell>
          <cell r="B720">
            <v>1716</v>
          </cell>
          <cell r="D720" t="str">
            <v/>
          </cell>
          <cell r="F720" t="str">
            <v/>
          </cell>
          <cell r="J720">
            <v>0</v>
          </cell>
          <cell r="L720">
            <v>0</v>
          </cell>
          <cell r="M720">
            <v>0</v>
          </cell>
          <cell r="N720">
            <v>0</v>
          </cell>
          <cell r="O720" t="str">
            <v/>
          </cell>
          <cell r="S720" t="str">
            <v/>
          </cell>
          <cell r="T720" t="str">
            <v/>
          </cell>
        </row>
        <row r="721">
          <cell r="A721" t="str">
            <v/>
          </cell>
          <cell r="B721">
            <v>1717</v>
          </cell>
          <cell r="D721" t="str">
            <v/>
          </cell>
          <cell r="F721" t="str">
            <v/>
          </cell>
          <cell r="J721">
            <v>0</v>
          </cell>
          <cell r="L721">
            <v>0</v>
          </cell>
          <cell r="M721">
            <v>0</v>
          </cell>
          <cell r="N721">
            <v>0</v>
          </cell>
          <cell r="O721" t="str">
            <v/>
          </cell>
          <cell r="S721" t="str">
            <v/>
          </cell>
          <cell r="T721" t="str">
            <v/>
          </cell>
        </row>
        <row r="722">
          <cell r="A722" t="str">
            <v/>
          </cell>
          <cell r="B722">
            <v>1718</v>
          </cell>
          <cell r="D722" t="str">
            <v/>
          </cell>
          <cell r="F722" t="str">
            <v/>
          </cell>
          <cell r="J722">
            <v>0</v>
          </cell>
          <cell r="L722">
            <v>0</v>
          </cell>
          <cell r="M722">
            <v>0</v>
          </cell>
          <cell r="N722">
            <v>0</v>
          </cell>
          <cell r="O722" t="str">
            <v/>
          </cell>
          <cell r="S722" t="str">
            <v/>
          </cell>
          <cell r="T722" t="str">
            <v/>
          </cell>
        </row>
        <row r="723">
          <cell r="A723" t="str">
            <v/>
          </cell>
          <cell r="B723">
            <v>1719</v>
          </cell>
          <cell r="D723" t="str">
            <v/>
          </cell>
          <cell r="F723" t="str">
            <v/>
          </cell>
          <cell r="J723">
            <v>0</v>
          </cell>
          <cell r="L723">
            <v>0</v>
          </cell>
          <cell r="M723">
            <v>0</v>
          </cell>
          <cell r="N723">
            <v>0</v>
          </cell>
          <cell r="O723" t="str">
            <v/>
          </cell>
          <cell r="S723" t="str">
            <v/>
          </cell>
          <cell r="T723" t="str">
            <v/>
          </cell>
        </row>
        <row r="724">
          <cell r="A724" t="str">
            <v/>
          </cell>
          <cell r="B724">
            <v>1720</v>
          </cell>
          <cell r="D724" t="str">
            <v/>
          </cell>
          <cell r="F724" t="str">
            <v/>
          </cell>
          <cell r="J724">
            <v>0</v>
          </cell>
          <cell r="L724">
            <v>0</v>
          </cell>
          <cell r="M724">
            <v>0</v>
          </cell>
          <cell r="N724">
            <v>0</v>
          </cell>
          <cell r="O724" t="str">
            <v/>
          </cell>
          <cell r="S724" t="str">
            <v/>
          </cell>
          <cell r="T724" t="str">
            <v/>
          </cell>
        </row>
        <row r="725">
          <cell r="A725" t="str">
            <v/>
          </cell>
          <cell r="B725">
            <v>1721</v>
          </cell>
          <cell r="D725" t="str">
            <v/>
          </cell>
          <cell r="F725" t="str">
            <v/>
          </cell>
          <cell r="J725">
            <v>0</v>
          </cell>
          <cell r="L725">
            <v>0</v>
          </cell>
          <cell r="M725">
            <v>0</v>
          </cell>
          <cell r="N725">
            <v>0</v>
          </cell>
          <cell r="O725" t="str">
            <v/>
          </cell>
          <cell r="S725" t="str">
            <v/>
          </cell>
          <cell r="T725" t="str">
            <v/>
          </cell>
        </row>
        <row r="726">
          <cell r="A726" t="str">
            <v/>
          </cell>
          <cell r="B726">
            <v>1722</v>
          </cell>
          <cell r="D726" t="str">
            <v/>
          </cell>
          <cell r="F726" t="str">
            <v/>
          </cell>
          <cell r="J726">
            <v>0</v>
          </cell>
          <cell r="L726">
            <v>0</v>
          </cell>
          <cell r="M726">
            <v>0</v>
          </cell>
          <cell r="N726">
            <v>0</v>
          </cell>
          <cell r="O726" t="str">
            <v/>
          </cell>
          <cell r="S726" t="str">
            <v/>
          </cell>
          <cell r="T726" t="str">
            <v/>
          </cell>
        </row>
        <row r="727">
          <cell r="A727" t="str">
            <v/>
          </cell>
          <cell r="B727">
            <v>1723</v>
          </cell>
          <cell r="D727" t="str">
            <v/>
          </cell>
          <cell r="F727" t="str">
            <v/>
          </cell>
          <cell r="J727">
            <v>0</v>
          </cell>
          <cell r="L727">
            <v>0</v>
          </cell>
          <cell r="M727">
            <v>0</v>
          </cell>
          <cell r="N727">
            <v>0</v>
          </cell>
          <cell r="O727" t="str">
            <v/>
          </cell>
          <cell r="S727" t="str">
            <v/>
          </cell>
          <cell r="T727" t="str">
            <v/>
          </cell>
        </row>
        <row r="728">
          <cell r="A728" t="str">
            <v/>
          </cell>
          <cell r="B728">
            <v>1724</v>
          </cell>
          <cell r="D728" t="str">
            <v/>
          </cell>
          <cell r="F728" t="str">
            <v/>
          </cell>
          <cell r="J728">
            <v>0</v>
          </cell>
          <cell r="L728">
            <v>0</v>
          </cell>
          <cell r="M728">
            <v>0</v>
          </cell>
          <cell r="N728">
            <v>0</v>
          </cell>
          <cell r="O728" t="str">
            <v/>
          </cell>
          <cell r="S728" t="str">
            <v/>
          </cell>
          <cell r="T728" t="str">
            <v/>
          </cell>
        </row>
        <row r="729">
          <cell r="A729" t="str">
            <v/>
          </cell>
          <cell r="B729">
            <v>1725</v>
          </cell>
          <cell r="D729" t="str">
            <v/>
          </cell>
          <cell r="F729" t="str">
            <v/>
          </cell>
          <cell r="J729">
            <v>0</v>
          </cell>
          <cell r="L729">
            <v>0</v>
          </cell>
          <cell r="M729">
            <v>0</v>
          </cell>
          <cell r="N729">
            <v>0</v>
          </cell>
          <cell r="O729" t="str">
            <v/>
          </cell>
          <cell r="S729" t="str">
            <v/>
          </cell>
          <cell r="T729" t="str">
            <v/>
          </cell>
        </row>
        <row r="730">
          <cell r="A730" t="str">
            <v/>
          </cell>
          <cell r="B730">
            <v>1726</v>
          </cell>
          <cell r="D730" t="str">
            <v/>
          </cell>
          <cell r="F730" t="str">
            <v/>
          </cell>
          <cell r="J730">
            <v>0</v>
          </cell>
          <cell r="L730">
            <v>0</v>
          </cell>
          <cell r="M730">
            <v>0</v>
          </cell>
          <cell r="N730">
            <v>0</v>
          </cell>
          <cell r="O730" t="str">
            <v/>
          </cell>
          <cell r="S730" t="str">
            <v/>
          </cell>
          <cell r="T730" t="str">
            <v/>
          </cell>
        </row>
        <row r="731">
          <cell r="A731" t="str">
            <v/>
          </cell>
          <cell r="B731">
            <v>1727</v>
          </cell>
          <cell r="D731" t="str">
            <v/>
          </cell>
          <cell r="F731" t="str">
            <v/>
          </cell>
          <cell r="J731">
            <v>0</v>
          </cell>
          <cell r="L731">
            <v>0</v>
          </cell>
          <cell r="M731">
            <v>0</v>
          </cell>
          <cell r="N731">
            <v>0</v>
          </cell>
          <cell r="O731" t="str">
            <v/>
          </cell>
          <cell r="S731" t="str">
            <v/>
          </cell>
          <cell r="T731" t="str">
            <v/>
          </cell>
        </row>
        <row r="732">
          <cell r="A732" t="str">
            <v/>
          </cell>
          <cell r="B732">
            <v>1728</v>
          </cell>
          <cell r="D732" t="str">
            <v/>
          </cell>
          <cell r="F732" t="str">
            <v/>
          </cell>
          <cell r="J732">
            <v>0</v>
          </cell>
          <cell r="L732">
            <v>0</v>
          </cell>
          <cell r="M732">
            <v>0</v>
          </cell>
          <cell r="N732">
            <v>0</v>
          </cell>
          <cell r="O732" t="str">
            <v/>
          </cell>
          <cell r="S732" t="str">
            <v/>
          </cell>
          <cell r="T732" t="str">
            <v/>
          </cell>
        </row>
        <row r="733">
          <cell r="A733" t="str">
            <v/>
          </cell>
          <cell r="B733">
            <v>1729</v>
          </cell>
          <cell r="D733" t="str">
            <v/>
          </cell>
          <cell r="F733" t="str">
            <v/>
          </cell>
          <cell r="J733">
            <v>0</v>
          </cell>
          <cell r="L733">
            <v>0</v>
          </cell>
          <cell r="M733">
            <v>0</v>
          </cell>
          <cell r="N733">
            <v>0</v>
          </cell>
          <cell r="O733" t="str">
            <v/>
          </cell>
          <cell r="S733" t="str">
            <v/>
          </cell>
          <cell r="T733" t="str">
            <v/>
          </cell>
        </row>
        <row r="734">
          <cell r="A734" t="str">
            <v/>
          </cell>
          <cell r="B734">
            <v>1730</v>
          </cell>
          <cell r="D734" t="str">
            <v/>
          </cell>
          <cell r="F734" t="str">
            <v/>
          </cell>
          <cell r="J734">
            <v>0</v>
          </cell>
          <cell r="L734">
            <v>0</v>
          </cell>
          <cell r="M734">
            <v>0</v>
          </cell>
          <cell r="N734">
            <v>0</v>
          </cell>
          <cell r="O734" t="str">
            <v/>
          </cell>
          <cell r="S734" t="str">
            <v/>
          </cell>
          <cell r="T734" t="str">
            <v/>
          </cell>
        </row>
        <row r="735">
          <cell r="A735" t="str">
            <v/>
          </cell>
          <cell r="B735">
            <v>1731</v>
          </cell>
          <cell r="D735" t="str">
            <v/>
          </cell>
          <cell r="F735" t="str">
            <v/>
          </cell>
          <cell r="J735">
            <v>0</v>
          </cell>
          <cell r="L735">
            <v>0</v>
          </cell>
          <cell r="M735">
            <v>0</v>
          </cell>
          <cell r="N735">
            <v>0</v>
          </cell>
          <cell r="O735" t="str">
            <v/>
          </cell>
          <cell r="S735" t="str">
            <v/>
          </cell>
          <cell r="T735" t="str">
            <v/>
          </cell>
        </row>
        <row r="736">
          <cell r="A736" t="str">
            <v/>
          </cell>
          <cell r="B736">
            <v>1732</v>
          </cell>
          <cell r="D736" t="str">
            <v/>
          </cell>
          <cell r="F736" t="str">
            <v/>
          </cell>
          <cell r="J736">
            <v>0</v>
          </cell>
          <cell r="L736">
            <v>0</v>
          </cell>
          <cell r="M736">
            <v>0</v>
          </cell>
          <cell r="N736">
            <v>0</v>
          </cell>
          <cell r="O736" t="str">
            <v/>
          </cell>
          <cell r="S736" t="str">
            <v/>
          </cell>
          <cell r="T736" t="str">
            <v/>
          </cell>
        </row>
        <row r="737">
          <cell r="A737" t="str">
            <v/>
          </cell>
          <cell r="B737">
            <v>1733</v>
          </cell>
          <cell r="D737" t="str">
            <v/>
          </cell>
          <cell r="F737" t="str">
            <v/>
          </cell>
          <cell r="J737">
            <v>0</v>
          </cell>
          <cell r="L737">
            <v>0</v>
          </cell>
          <cell r="M737">
            <v>0</v>
          </cell>
          <cell r="N737">
            <v>0</v>
          </cell>
          <cell r="O737" t="str">
            <v/>
          </cell>
          <cell r="S737" t="str">
            <v/>
          </cell>
          <cell r="T737" t="str">
            <v/>
          </cell>
        </row>
        <row r="738">
          <cell r="A738" t="str">
            <v/>
          </cell>
          <cell r="B738">
            <v>1734</v>
          </cell>
          <cell r="D738" t="str">
            <v/>
          </cell>
          <cell r="F738" t="str">
            <v/>
          </cell>
          <cell r="J738">
            <v>0</v>
          </cell>
          <cell r="L738">
            <v>0</v>
          </cell>
          <cell r="M738">
            <v>0</v>
          </cell>
          <cell r="N738">
            <v>0</v>
          </cell>
          <cell r="O738" t="str">
            <v/>
          </cell>
          <cell r="S738" t="str">
            <v/>
          </cell>
          <cell r="T738" t="str">
            <v/>
          </cell>
        </row>
        <row r="739">
          <cell r="A739" t="str">
            <v/>
          </cell>
          <cell r="B739">
            <v>1735</v>
          </cell>
          <cell r="D739" t="str">
            <v/>
          </cell>
          <cell r="F739" t="str">
            <v/>
          </cell>
          <cell r="J739">
            <v>0</v>
          </cell>
          <cell r="L739">
            <v>0</v>
          </cell>
          <cell r="M739">
            <v>0</v>
          </cell>
          <cell r="N739">
            <v>0</v>
          </cell>
          <cell r="O739" t="str">
            <v/>
          </cell>
          <cell r="S739" t="str">
            <v/>
          </cell>
          <cell r="T739" t="str">
            <v/>
          </cell>
        </row>
        <row r="740">
          <cell r="A740" t="str">
            <v/>
          </cell>
          <cell r="B740">
            <v>1736</v>
          </cell>
          <cell r="D740" t="str">
            <v/>
          </cell>
          <cell r="F740" t="str">
            <v/>
          </cell>
          <cell r="J740">
            <v>0</v>
          </cell>
          <cell r="L740">
            <v>0</v>
          </cell>
          <cell r="M740">
            <v>0</v>
          </cell>
          <cell r="N740">
            <v>0</v>
          </cell>
          <cell r="O740" t="str">
            <v/>
          </cell>
          <cell r="S740" t="str">
            <v/>
          </cell>
          <cell r="T740" t="str">
            <v/>
          </cell>
        </row>
        <row r="741">
          <cell r="A741" t="str">
            <v/>
          </cell>
          <cell r="B741">
            <v>1737</v>
          </cell>
          <cell r="D741" t="str">
            <v/>
          </cell>
          <cell r="F741" t="str">
            <v/>
          </cell>
          <cell r="J741">
            <v>0</v>
          </cell>
          <cell r="L741">
            <v>0</v>
          </cell>
          <cell r="M741">
            <v>0</v>
          </cell>
          <cell r="N741">
            <v>0</v>
          </cell>
          <cell r="O741" t="str">
            <v/>
          </cell>
          <cell r="S741" t="str">
            <v/>
          </cell>
          <cell r="T741" t="str">
            <v/>
          </cell>
        </row>
        <row r="742">
          <cell r="A742" t="str">
            <v/>
          </cell>
          <cell r="B742">
            <v>1738</v>
          </cell>
          <cell r="D742" t="str">
            <v/>
          </cell>
          <cell r="F742" t="str">
            <v/>
          </cell>
          <cell r="J742">
            <v>0</v>
          </cell>
          <cell r="L742">
            <v>0</v>
          </cell>
          <cell r="M742">
            <v>0</v>
          </cell>
          <cell r="N742">
            <v>0</v>
          </cell>
          <cell r="O742" t="str">
            <v/>
          </cell>
          <cell r="S742" t="str">
            <v/>
          </cell>
          <cell r="T742" t="str">
            <v/>
          </cell>
        </row>
        <row r="743">
          <cell r="A743" t="str">
            <v/>
          </cell>
          <cell r="B743">
            <v>1739</v>
          </cell>
          <cell r="D743" t="str">
            <v/>
          </cell>
          <cell r="F743" t="str">
            <v/>
          </cell>
          <cell r="J743">
            <v>0</v>
          </cell>
          <cell r="L743">
            <v>0</v>
          </cell>
          <cell r="M743">
            <v>0</v>
          </cell>
          <cell r="N743">
            <v>0</v>
          </cell>
          <cell r="O743" t="str">
            <v/>
          </cell>
          <cell r="S743" t="str">
            <v/>
          </cell>
          <cell r="T743" t="str">
            <v/>
          </cell>
        </row>
        <row r="744">
          <cell r="A744" t="str">
            <v/>
          </cell>
          <cell r="B744">
            <v>1740</v>
          </cell>
          <cell r="D744" t="str">
            <v/>
          </cell>
          <cell r="F744" t="str">
            <v/>
          </cell>
          <cell r="J744">
            <v>0</v>
          </cell>
          <cell r="L744">
            <v>0</v>
          </cell>
          <cell r="M744">
            <v>0</v>
          </cell>
          <cell r="N744">
            <v>0</v>
          </cell>
          <cell r="O744" t="str">
            <v/>
          </cell>
          <cell r="S744" t="str">
            <v/>
          </cell>
          <cell r="T744" t="str">
            <v/>
          </cell>
        </row>
        <row r="745">
          <cell r="A745" t="str">
            <v/>
          </cell>
          <cell r="B745">
            <v>1741</v>
          </cell>
          <cell r="D745" t="str">
            <v/>
          </cell>
          <cell r="F745" t="str">
            <v/>
          </cell>
          <cell r="J745">
            <v>0</v>
          </cell>
          <cell r="L745">
            <v>0</v>
          </cell>
          <cell r="M745">
            <v>0</v>
          </cell>
          <cell r="N745">
            <v>0</v>
          </cell>
          <cell r="O745" t="str">
            <v/>
          </cell>
          <cell r="S745" t="str">
            <v/>
          </cell>
          <cell r="T745" t="str">
            <v/>
          </cell>
        </row>
        <row r="746">
          <cell r="A746" t="str">
            <v/>
          </cell>
          <cell r="B746">
            <v>1742</v>
          </cell>
          <cell r="D746" t="str">
            <v/>
          </cell>
          <cell r="F746" t="str">
            <v/>
          </cell>
          <cell r="J746">
            <v>0</v>
          </cell>
          <cell r="L746">
            <v>0</v>
          </cell>
          <cell r="M746">
            <v>0</v>
          </cell>
          <cell r="N746">
            <v>0</v>
          </cell>
          <cell r="O746" t="str">
            <v/>
          </cell>
          <cell r="S746" t="str">
            <v/>
          </cell>
          <cell r="T746" t="str">
            <v/>
          </cell>
        </row>
        <row r="747">
          <cell r="A747" t="str">
            <v/>
          </cell>
          <cell r="B747">
            <v>1743</v>
          </cell>
          <cell r="D747" t="str">
            <v/>
          </cell>
          <cell r="F747" t="str">
            <v/>
          </cell>
          <cell r="J747">
            <v>0</v>
          </cell>
          <cell r="L747">
            <v>0</v>
          </cell>
          <cell r="M747">
            <v>0</v>
          </cell>
          <cell r="N747">
            <v>0</v>
          </cell>
          <cell r="O747" t="str">
            <v/>
          </cell>
          <cell r="S747" t="str">
            <v/>
          </cell>
          <cell r="T747" t="str">
            <v/>
          </cell>
        </row>
        <row r="748">
          <cell r="A748" t="str">
            <v/>
          </cell>
          <cell r="B748">
            <v>1744</v>
          </cell>
          <cell r="D748" t="str">
            <v/>
          </cell>
          <cell r="F748" t="str">
            <v/>
          </cell>
          <cell r="J748">
            <v>0</v>
          </cell>
          <cell r="L748">
            <v>0</v>
          </cell>
          <cell r="M748">
            <v>0</v>
          </cell>
          <cell r="N748">
            <v>0</v>
          </cell>
          <cell r="O748" t="str">
            <v/>
          </cell>
          <cell r="S748" t="str">
            <v/>
          </cell>
          <cell r="T748" t="str">
            <v/>
          </cell>
        </row>
        <row r="749">
          <cell r="A749" t="str">
            <v/>
          </cell>
          <cell r="B749">
            <v>1745</v>
          </cell>
          <cell r="D749" t="str">
            <v/>
          </cell>
          <cell r="F749" t="str">
            <v/>
          </cell>
          <cell r="J749">
            <v>0</v>
          </cell>
          <cell r="L749">
            <v>0</v>
          </cell>
          <cell r="M749">
            <v>0</v>
          </cell>
          <cell r="N749">
            <v>0</v>
          </cell>
          <cell r="O749" t="str">
            <v/>
          </cell>
          <cell r="S749" t="str">
            <v/>
          </cell>
          <cell r="T749" t="str">
            <v/>
          </cell>
        </row>
        <row r="750">
          <cell r="A750" t="str">
            <v/>
          </cell>
          <cell r="B750">
            <v>1746</v>
          </cell>
          <cell r="D750" t="str">
            <v/>
          </cell>
          <cell r="F750" t="str">
            <v/>
          </cell>
          <cell r="J750">
            <v>0</v>
          </cell>
          <cell r="L750">
            <v>0</v>
          </cell>
          <cell r="M750">
            <v>0</v>
          </cell>
          <cell r="N750">
            <v>0</v>
          </cell>
          <cell r="O750" t="str">
            <v/>
          </cell>
          <cell r="S750" t="str">
            <v/>
          </cell>
          <cell r="T750" t="str">
            <v/>
          </cell>
        </row>
        <row r="751">
          <cell r="A751" t="str">
            <v/>
          </cell>
          <cell r="B751">
            <v>1747</v>
          </cell>
          <cell r="D751" t="str">
            <v/>
          </cell>
          <cell r="F751" t="str">
            <v/>
          </cell>
          <cell r="J751">
            <v>0</v>
          </cell>
          <cell r="L751">
            <v>0</v>
          </cell>
          <cell r="M751">
            <v>0</v>
          </cell>
          <cell r="N751">
            <v>0</v>
          </cell>
          <cell r="O751" t="str">
            <v/>
          </cell>
          <cell r="S751" t="str">
            <v/>
          </cell>
          <cell r="T751" t="str">
            <v/>
          </cell>
        </row>
        <row r="752">
          <cell r="A752" t="str">
            <v/>
          </cell>
          <cell r="B752">
            <v>1748</v>
          </cell>
          <cell r="D752" t="str">
            <v/>
          </cell>
          <cell r="F752" t="str">
            <v/>
          </cell>
          <cell r="J752">
            <v>0</v>
          </cell>
          <cell r="L752">
            <v>0</v>
          </cell>
          <cell r="M752">
            <v>0</v>
          </cell>
          <cell r="N752">
            <v>0</v>
          </cell>
          <cell r="O752" t="str">
            <v/>
          </cell>
          <cell r="S752" t="str">
            <v/>
          </cell>
          <cell r="T752" t="str">
            <v/>
          </cell>
        </row>
        <row r="753">
          <cell r="A753" t="str">
            <v/>
          </cell>
          <cell r="B753">
            <v>1749</v>
          </cell>
          <cell r="D753" t="str">
            <v/>
          </cell>
          <cell r="F753" t="str">
            <v/>
          </cell>
          <cell r="J753">
            <v>0</v>
          </cell>
          <cell r="L753">
            <v>0</v>
          </cell>
          <cell r="M753">
            <v>0</v>
          </cell>
          <cell r="N753">
            <v>0</v>
          </cell>
          <cell r="O753" t="str">
            <v/>
          </cell>
          <cell r="S753" t="str">
            <v/>
          </cell>
          <cell r="T753" t="str">
            <v/>
          </cell>
        </row>
        <row r="754">
          <cell r="A754" t="str">
            <v/>
          </cell>
          <cell r="B754">
            <v>1750</v>
          </cell>
          <cell r="D754" t="str">
            <v/>
          </cell>
          <cell r="F754" t="str">
            <v/>
          </cell>
          <cell r="J754">
            <v>0</v>
          </cell>
          <cell r="L754">
            <v>0</v>
          </cell>
          <cell r="M754">
            <v>0</v>
          </cell>
          <cell r="N754">
            <v>0</v>
          </cell>
          <cell r="O754" t="str">
            <v/>
          </cell>
          <cell r="S754" t="str">
            <v/>
          </cell>
          <cell r="T754" t="str">
            <v/>
          </cell>
        </row>
        <row r="755">
          <cell r="A755" t="str">
            <v/>
          </cell>
          <cell r="B755">
            <v>1751</v>
          </cell>
          <cell r="D755" t="str">
            <v/>
          </cell>
          <cell r="F755" t="str">
            <v/>
          </cell>
          <cell r="J755">
            <v>0</v>
          </cell>
          <cell r="L755">
            <v>0</v>
          </cell>
          <cell r="M755">
            <v>0</v>
          </cell>
          <cell r="N755">
            <v>0</v>
          </cell>
          <cell r="O755" t="str">
            <v/>
          </cell>
          <cell r="S755" t="str">
            <v/>
          </cell>
          <cell r="T755" t="str">
            <v/>
          </cell>
        </row>
        <row r="756">
          <cell r="A756" t="str">
            <v/>
          </cell>
          <cell r="B756">
            <v>1752</v>
          </cell>
          <cell r="D756" t="str">
            <v/>
          </cell>
          <cell r="F756" t="str">
            <v/>
          </cell>
          <cell r="J756">
            <v>0</v>
          </cell>
          <cell r="L756">
            <v>0</v>
          </cell>
          <cell r="M756">
            <v>0</v>
          </cell>
          <cell r="N756">
            <v>0</v>
          </cell>
          <cell r="O756" t="str">
            <v/>
          </cell>
          <cell r="S756" t="str">
            <v/>
          </cell>
          <cell r="T756" t="str">
            <v/>
          </cell>
        </row>
        <row r="757">
          <cell r="A757" t="str">
            <v/>
          </cell>
          <cell r="B757">
            <v>1753</v>
          </cell>
          <cell r="D757" t="str">
            <v/>
          </cell>
          <cell r="F757" t="str">
            <v/>
          </cell>
          <cell r="J757">
            <v>0</v>
          </cell>
          <cell r="L757">
            <v>0</v>
          </cell>
          <cell r="M757">
            <v>0</v>
          </cell>
          <cell r="N757">
            <v>0</v>
          </cell>
          <cell r="O757" t="str">
            <v/>
          </cell>
          <cell r="S757" t="str">
            <v/>
          </cell>
          <cell r="T757" t="str">
            <v/>
          </cell>
        </row>
        <row r="758">
          <cell r="A758" t="str">
            <v/>
          </cell>
          <cell r="B758">
            <v>1754</v>
          </cell>
          <cell r="D758" t="str">
            <v/>
          </cell>
          <cell r="F758" t="str">
            <v/>
          </cell>
          <cell r="J758">
            <v>0</v>
          </cell>
          <cell r="L758">
            <v>0</v>
          </cell>
          <cell r="M758">
            <v>0</v>
          </cell>
          <cell r="N758">
            <v>0</v>
          </cell>
          <cell r="O758" t="str">
            <v/>
          </cell>
          <cell r="S758" t="str">
            <v/>
          </cell>
          <cell r="T758" t="str">
            <v/>
          </cell>
        </row>
        <row r="759">
          <cell r="A759" t="str">
            <v/>
          </cell>
          <cell r="B759">
            <v>1755</v>
          </cell>
          <cell r="D759" t="str">
            <v/>
          </cell>
          <cell r="F759" t="str">
            <v/>
          </cell>
          <cell r="J759">
            <v>0</v>
          </cell>
          <cell r="L759">
            <v>0</v>
          </cell>
          <cell r="M759">
            <v>0</v>
          </cell>
          <cell r="N759">
            <v>0</v>
          </cell>
          <cell r="O759" t="str">
            <v/>
          </cell>
          <cell r="S759" t="str">
            <v/>
          </cell>
          <cell r="T759" t="str">
            <v/>
          </cell>
        </row>
        <row r="760">
          <cell r="A760" t="str">
            <v/>
          </cell>
          <cell r="B760">
            <v>1756</v>
          </cell>
          <cell r="D760" t="str">
            <v/>
          </cell>
          <cell r="F760" t="str">
            <v/>
          </cell>
          <cell r="J760">
            <v>0</v>
          </cell>
          <cell r="L760">
            <v>0</v>
          </cell>
          <cell r="M760">
            <v>0</v>
          </cell>
          <cell r="N760">
            <v>0</v>
          </cell>
          <cell r="O760" t="str">
            <v/>
          </cell>
          <cell r="S760" t="str">
            <v/>
          </cell>
          <cell r="T760" t="str">
            <v/>
          </cell>
        </row>
        <row r="761">
          <cell r="A761" t="str">
            <v/>
          </cell>
          <cell r="B761">
            <v>1757</v>
          </cell>
          <cell r="D761" t="str">
            <v/>
          </cell>
          <cell r="F761" t="str">
            <v/>
          </cell>
          <cell r="J761">
            <v>0</v>
          </cell>
          <cell r="L761">
            <v>0</v>
          </cell>
          <cell r="M761">
            <v>0</v>
          </cell>
          <cell r="N761">
            <v>0</v>
          </cell>
          <cell r="O761" t="str">
            <v/>
          </cell>
          <cell r="S761" t="str">
            <v/>
          </cell>
          <cell r="T761" t="str">
            <v/>
          </cell>
        </row>
        <row r="762">
          <cell r="A762" t="str">
            <v/>
          </cell>
          <cell r="B762">
            <v>1758</v>
          </cell>
          <cell r="D762" t="str">
            <v/>
          </cell>
          <cell r="F762" t="str">
            <v/>
          </cell>
          <cell r="J762">
            <v>0</v>
          </cell>
          <cell r="L762">
            <v>0</v>
          </cell>
          <cell r="M762">
            <v>0</v>
          </cell>
          <cell r="N762">
            <v>0</v>
          </cell>
          <cell r="O762" t="str">
            <v/>
          </cell>
          <cell r="S762" t="str">
            <v/>
          </cell>
          <cell r="T762" t="str">
            <v/>
          </cell>
        </row>
        <row r="763">
          <cell r="A763" t="str">
            <v/>
          </cell>
          <cell r="B763">
            <v>1759</v>
          </cell>
          <cell r="D763" t="str">
            <v/>
          </cell>
          <cell r="F763" t="str">
            <v/>
          </cell>
          <cell r="J763">
            <v>0</v>
          </cell>
          <cell r="L763">
            <v>0</v>
          </cell>
          <cell r="M763">
            <v>0</v>
          </cell>
          <cell r="N763">
            <v>0</v>
          </cell>
          <cell r="O763" t="str">
            <v/>
          </cell>
          <cell r="S763" t="str">
            <v/>
          </cell>
          <cell r="T763" t="str">
            <v/>
          </cell>
        </row>
        <row r="764">
          <cell r="A764" t="str">
            <v/>
          </cell>
          <cell r="B764">
            <v>1760</v>
          </cell>
          <cell r="D764" t="str">
            <v/>
          </cell>
          <cell r="F764" t="str">
            <v/>
          </cell>
          <cell r="J764">
            <v>0</v>
          </cell>
          <cell r="L764">
            <v>0</v>
          </cell>
          <cell r="M764">
            <v>0</v>
          </cell>
          <cell r="N764">
            <v>0</v>
          </cell>
          <cell r="O764" t="str">
            <v/>
          </cell>
          <cell r="S764" t="str">
            <v/>
          </cell>
          <cell r="T764" t="str">
            <v/>
          </cell>
        </row>
        <row r="765">
          <cell r="A765" t="str">
            <v/>
          </cell>
          <cell r="B765">
            <v>1761</v>
          </cell>
          <cell r="D765" t="str">
            <v/>
          </cell>
          <cell r="F765" t="str">
            <v/>
          </cell>
          <cell r="J765">
            <v>0</v>
          </cell>
          <cell r="L765">
            <v>0</v>
          </cell>
          <cell r="M765">
            <v>0</v>
          </cell>
          <cell r="N765">
            <v>0</v>
          </cell>
          <cell r="O765" t="str">
            <v/>
          </cell>
          <cell r="S765" t="str">
            <v/>
          </cell>
          <cell r="T765" t="str">
            <v/>
          </cell>
        </row>
        <row r="766">
          <cell r="A766" t="str">
            <v/>
          </cell>
          <cell r="B766">
            <v>1762</v>
          </cell>
          <cell r="D766" t="str">
            <v/>
          </cell>
          <cell r="F766" t="str">
            <v/>
          </cell>
          <cell r="J766">
            <v>0</v>
          </cell>
          <cell r="L766">
            <v>0</v>
          </cell>
          <cell r="M766">
            <v>0</v>
          </cell>
          <cell r="N766">
            <v>0</v>
          </cell>
          <cell r="O766" t="str">
            <v/>
          </cell>
          <cell r="S766" t="str">
            <v/>
          </cell>
          <cell r="T766" t="str">
            <v/>
          </cell>
        </row>
        <row r="767">
          <cell r="A767" t="str">
            <v/>
          </cell>
          <cell r="B767">
            <v>1763</v>
          </cell>
          <cell r="D767" t="str">
            <v/>
          </cell>
          <cell r="F767" t="str">
            <v/>
          </cell>
          <cell r="J767">
            <v>0</v>
          </cell>
          <cell r="L767">
            <v>0</v>
          </cell>
          <cell r="M767">
            <v>0</v>
          </cell>
          <cell r="N767">
            <v>0</v>
          </cell>
          <cell r="O767" t="str">
            <v/>
          </cell>
          <cell r="S767" t="str">
            <v/>
          </cell>
          <cell r="T767" t="str">
            <v/>
          </cell>
        </row>
        <row r="768">
          <cell r="A768" t="str">
            <v/>
          </cell>
          <cell r="B768">
            <v>1764</v>
          </cell>
          <cell r="D768" t="str">
            <v/>
          </cell>
          <cell r="F768" t="str">
            <v/>
          </cell>
          <cell r="J768">
            <v>0</v>
          </cell>
          <cell r="L768">
            <v>0</v>
          </cell>
          <cell r="M768">
            <v>0</v>
          </cell>
          <cell r="N768">
            <v>0</v>
          </cell>
          <cell r="O768" t="str">
            <v/>
          </cell>
          <cell r="S768" t="str">
            <v/>
          </cell>
          <cell r="T768" t="str">
            <v/>
          </cell>
        </row>
        <row r="769">
          <cell r="A769" t="str">
            <v/>
          </cell>
          <cell r="B769">
            <v>1765</v>
          </cell>
          <cell r="D769" t="str">
            <v/>
          </cell>
          <cell r="F769" t="str">
            <v/>
          </cell>
          <cell r="J769">
            <v>0</v>
          </cell>
          <cell r="L769">
            <v>0</v>
          </cell>
          <cell r="M769">
            <v>0</v>
          </cell>
          <cell r="N769">
            <v>0</v>
          </cell>
          <cell r="O769" t="str">
            <v/>
          </cell>
          <cell r="S769" t="str">
            <v/>
          </cell>
          <cell r="T769" t="str">
            <v/>
          </cell>
        </row>
        <row r="770">
          <cell r="A770" t="str">
            <v/>
          </cell>
          <cell r="B770">
            <v>1766</v>
          </cell>
          <cell r="D770" t="str">
            <v/>
          </cell>
          <cell r="F770" t="str">
            <v/>
          </cell>
          <cell r="J770">
            <v>0</v>
          </cell>
          <cell r="L770">
            <v>0</v>
          </cell>
          <cell r="M770">
            <v>0</v>
          </cell>
          <cell r="N770">
            <v>0</v>
          </cell>
          <cell r="O770" t="str">
            <v/>
          </cell>
          <cell r="S770" t="str">
            <v/>
          </cell>
          <cell r="T770" t="str">
            <v/>
          </cell>
        </row>
        <row r="771">
          <cell r="A771" t="str">
            <v/>
          </cell>
          <cell r="B771">
            <v>1767</v>
          </cell>
          <cell r="D771" t="str">
            <v/>
          </cell>
          <cell r="F771" t="str">
            <v/>
          </cell>
          <cell r="J771">
            <v>0</v>
          </cell>
          <cell r="L771">
            <v>0</v>
          </cell>
          <cell r="M771">
            <v>0</v>
          </cell>
          <cell r="N771">
            <v>0</v>
          </cell>
          <cell r="O771" t="str">
            <v/>
          </cell>
          <cell r="S771" t="str">
            <v/>
          </cell>
          <cell r="T771" t="str">
            <v/>
          </cell>
        </row>
        <row r="772">
          <cell r="A772" t="str">
            <v/>
          </cell>
          <cell r="B772">
            <v>1768</v>
          </cell>
          <cell r="D772" t="str">
            <v/>
          </cell>
          <cell r="F772" t="str">
            <v/>
          </cell>
          <cell r="J772">
            <v>0</v>
          </cell>
          <cell r="L772">
            <v>0</v>
          </cell>
          <cell r="M772">
            <v>0</v>
          </cell>
          <cell r="N772">
            <v>0</v>
          </cell>
          <cell r="O772" t="str">
            <v/>
          </cell>
          <cell r="S772" t="str">
            <v/>
          </cell>
          <cell r="T772" t="str">
            <v/>
          </cell>
        </row>
        <row r="773">
          <cell r="A773" t="str">
            <v/>
          </cell>
          <cell r="B773">
            <v>1769</v>
          </cell>
          <cell r="D773" t="str">
            <v/>
          </cell>
          <cell r="F773" t="str">
            <v/>
          </cell>
          <cell r="J773">
            <v>0</v>
          </cell>
          <cell r="L773">
            <v>0</v>
          </cell>
          <cell r="M773">
            <v>0</v>
          </cell>
          <cell r="N773">
            <v>0</v>
          </cell>
          <cell r="O773" t="str">
            <v/>
          </cell>
          <cell r="S773" t="str">
            <v/>
          </cell>
          <cell r="T773" t="str">
            <v/>
          </cell>
        </row>
        <row r="774">
          <cell r="A774" t="str">
            <v/>
          </cell>
          <cell r="B774">
            <v>1770</v>
          </cell>
          <cell r="D774" t="str">
            <v/>
          </cell>
          <cell r="F774" t="str">
            <v/>
          </cell>
          <cell r="J774">
            <v>0</v>
          </cell>
          <cell r="L774">
            <v>0</v>
          </cell>
          <cell r="M774">
            <v>0</v>
          </cell>
          <cell r="N774">
            <v>0</v>
          </cell>
          <cell r="O774" t="str">
            <v/>
          </cell>
          <cell r="S774" t="str">
            <v/>
          </cell>
          <cell r="T774" t="str">
            <v/>
          </cell>
        </row>
        <row r="775">
          <cell r="A775" t="str">
            <v/>
          </cell>
          <cell r="B775">
            <v>1771</v>
          </cell>
          <cell r="D775" t="str">
            <v/>
          </cell>
          <cell r="F775" t="str">
            <v/>
          </cell>
          <cell r="J775">
            <v>0</v>
          </cell>
          <cell r="L775">
            <v>0</v>
          </cell>
          <cell r="M775">
            <v>0</v>
          </cell>
          <cell r="N775">
            <v>0</v>
          </cell>
          <cell r="O775" t="str">
            <v/>
          </cell>
          <cell r="S775" t="str">
            <v/>
          </cell>
          <cell r="T775" t="str">
            <v/>
          </cell>
        </row>
        <row r="776">
          <cell r="A776" t="str">
            <v/>
          </cell>
          <cell r="B776">
            <v>1772</v>
          </cell>
          <cell r="D776" t="str">
            <v/>
          </cell>
          <cell r="F776" t="str">
            <v/>
          </cell>
          <cell r="J776">
            <v>0</v>
          </cell>
          <cell r="L776">
            <v>0</v>
          </cell>
          <cell r="M776">
            <v>0</v>
          </cell>
          <cell r="N776">
            <v>0</v>
          </cell>
          <cell r="O776" t="str">
            <v/>
          </cell>
          <cell r="S776" t="str">
            <v/>
          </cell>
          <cell r="T776" t="str">
            <v/>
          </cell>
        </row>
        <row r="777">
          <cell r="A777" t="str">
            <v/>
          </cell>
          <cell r="B777">
            <v>1773</v>
          </cell>
          <cell r="D777" t="str">
            <v/>
          </cell>
          <cell r="F777" t="str">
            <v/>
          </cell>
          <cell r="J777">
            <v>0</v>
          </cell>
          <cell r="L777">
            <v>0</v>
          </cell>
          <cell r="M777">
            <v>0</v>
          </cell>
          <cell r="N777">
            <v>0</v>
          </cell>
          <cell r="O777" t="str">
            <v/>
          </cell>
          <cell r="S777" t="str">
            <v/>
          </cell>
          <cell r="T777" t="str">
            <v/>
          </cell>
        </row>
        <row r="778">
          <cell r="A778" t="str">
            <v/>
          </cell>
          <cell r="B778">
            <v>1774</v>
          </cell>
          <cell r="D778" t="str">
            <v/>
          </cell>
          <cell r="F778" t="str">
            <v/>
          </cell>
          <cell r="J778">
            <v>0</v>
          </cell>
          <cell r="L778">
            <v>0</v>
          </cell>
          <cell r="M778">
            <v>0</v>
          </cell>
          <cell r="N778">
            <v>0</v>
          </cell>
          <cell r="O778" t="str">
            <v/>
          </cell>
          <cell r="S778" t="str">
            <v/>
          </cell>
          <cell r="T778" t="str">
            <v/>
          </cell>
        </row>
        <row r="779">
          <cell r="A779" t="str">
            <v/>
          </cell>
          <cell r="B779">
            <v>1775</v>
          </cell>
          <cell r="D779" t="str">
            <v/>
          </cell>
          <cell r="F779" t="str">
            <v/>
          </cell>
          <cell r="J779">
            <v>0</v>
          </cell>
          <cell r="L779">
            <v>0</v>
          </cell>
          <cell r="M779">
            <v>0</v>
          </cell>
          <cell r="N779">
            <v>0</v>
          </cell>
          <cell r="O779" t="str">
            <v/>
          </cell>
          <cell r="S779" t="str">
            <v/>
          </cell>
          <cell r="T779" t="str">
            <v/>
          </cell>
        </row>
        <row r="780">
          <cell r="A780" t="str">
            <v/>
          </cell>
          <cell r="B780">
            <v>1776</v>
          </cell>
          <cell r="D780" t="str">
            <v/>
          </cell>
          <cell r="F780" t="str">
            <v/>
          </cell>
          <cell r="J780">
            <v>0</v>
          </cell>
          <cell r="L780">
            <v>0</v>
          </cell>
          <cell r="M780">
            <v>0</v>
          </cell>
          <cell r="N780">
            <v>0</v>
          </cell>
          <cell r="O780" t="str">
            <v/>
          </cell>
          <cell r="S780" t="str">
            <v/>
          </cell>
          <cell r="T780" t="str">
            <v/>
          </cell>
        </row>
        <row r="781">
          <cell r="A781" t="str">
            <v/>
          </cell>
          <cell r="B781">
            <v>1777</v>
          </cell>
          <cell r="D781" t="str">
            <v/>
          </cell>
          <cell r="F781" t="str">
            <v/>
          </cell>
          <cell r="J781">
            <v>0</v>
          </cell>
          <cell r="L781">
            <v>0</v>
          </cell>
          <cell r="M781">
            <v>0</v>
          </cell>
          <cell r="N781">
            <v>0</v>
          </cell>
          <cell r="O781" t="str">
            <v/>
          </cell>
          <cell r="S781" t="str">
            <v/>
          </cell>
          <cell r="T781" t="str">
            <v/>
          </cell>
        </row>
        <row r="782">
          <cell r="A782" t="str">
            <v/>
          </cell>
          <cell r="B782">
            <v>1778</v>
          </cell>
          <cell r="D782" t="str">
            <v/>
          </cell>
          <cell r="F782" t="str">
            <v/>
          </cell>
          <cell r="J782">
            <v>0</v>
          </cell>
          <cell r="L782">
            <v>0</v>
          </cell>
          <cell r="M782">
            <v>0</v>
          </cell>
          <cell r="N782">
            <v>0</v>
          </cell>
          <cell r="O782" t="str">
            <v/>
          </cell>
          <cell r="S782" t="str">
            <v/>
          </cell>
          <cell r="T782" t="str">
            <v/>
          </cell>
        </row>
        <row r="783">
          <cell r="A783" t="str">
            <v/>
          </cell>
          <cell r="B783">
            <v>1779</v>
          </cell>
          <cell r="D783" t="str">
            <v/>
          </cell>
          <cell r="F783" t="str">
            <v/>
          </cell>
          <cell r="J783">
            <v>0</v>
          </cell>
          <cell r="L783">
            <v>0</v>
          </cell>
          <cell r="M783">
            <v>0</v>
          </cell>
          <cell r="N783">
            <v>0</v>
          </cell>
          <cell r="O783" t="str">
            <v/>
          </cell>
          <cell r="S783" t="str">
            <v/>
          </cell>
          <cell r="T783" t="str">
            <v/>
          </cell>
        </row>
        <row r="784">
          <cell r="A784" t="str">
            <v/>
          </cell>
          <cell r="B784">
            <v>1780</v>
          </cell>
          <cell r="D784" t="str">
            <v/>
          </cell>
          <cell r="F784" t="str">
            <v/>
          </cell>
          <cell r="J784">
            <v>0</v>
          </cell>
          <cell r="L784">
            <v>0</v>
          </cell>
          <cell r="M784">
            <v>0</v>
          </cell>
          <cell r="N784">
            <v>0</v>
          </cell>
          <cell r="O784" t="str">
            <v/>
          </cell>
          <cell r="S784" t="str">
            <v/>
          </cell>
          <cell r="T784" t="str">
            <v/>
          </cell>
        </row>
        <row r="785">
          <cell r="A785" t="str">
            <v/>
          </cell>
          <cell r="B785">
            <v>1781</v>
          </cell>
          <cell r="D785" t="str">
            <v/>
          </cell>
          <cell r="F785" t="str">
            <v/>
          </cell>
          <cell r="J785">
            <v>0</v>
          </cell>
          <cell r="L785">
            <v>0</v>
          </cell>
          <cell r="M785">
            <v>0</v>
          </cell>
          <cell r="N785">
            <v>0</v>
          </cell>
          <cell r="O785" t="str">
            <v/>
          </cell>
          <cell r="S785" t="str">
            <v/>
          </cell>
          <cell r="T785" t="str">
            <v/>
          </cell>
        </row>
        <row r="786">
          <cell r="A786" t="str">
            <v/>
          </cell>
          <cell r="B786">
            <v>1782</v>
          </cell>
          <cell r="D786" t="str">
            <v/>
          </cell>
          <cell r="F786" t="str">
            <v/>
          </cell>
          <cell r="J786">
            <v>0</v>
          </cell>
          <cell r="L786">
            <v>0</v>
          </cell>
          <cell r="M786">
            <v>0</v>
          </cell>
          <cell r="N786">
            <v>0</v>
          </cell>
          <cell r="O786" t="str">
            <v/>
          </cell>
          <cell r="S786" t="str">
            <v/>
          </cell>
          <cell r="T786" t="str">
            <v/>
          </cell>
        </row>
        <row r="787">
          <cell r="A787" t="str">
            <v/>
          </cell>
          <cell r="B787">
            <v>1783</v>
          </cell>
          <cell r="D787" t="str">
            <v/>
          </cell>
          <cell r="F787" t="str">
            <v/>
          </cell>
          <cell r="J787">
            <v>0</v>
          </cell>
          <cell r="L787">
            <v>0</v>
          </cell>
          <cell r="M787">
            <v>0</v>
          </cell>
          <cell r="N787">
            <v>0</v>
          </cell>
          <cell r="O787" t="str">
            <v/>
          </cell>
          <cell r="S787" t="str">
            <v/>
          </cell>
          <cell r="T787" t="str">
            <v/>
          </cell>
        </row>
        <row r="788">
          <cell r="A788" t="str">
            <v/>
          </cell>
          <cell r="B788">
            <v>1784</v>
          </cell>
          <cell r="D788" t="str">
            <v/>
          </cell>
          <cell r="F788" t="str">
            <v/>
          </cell>
          <cell r="J788">
            <v>0</v>
          </cell>
          <cell r="L788">
            <v>0</v>
          </cell>
          <cell r="M788">
            <v>0</v>
          </cell>
          <cell r="N788">
            <v>0</v>
          </cell>
          <cell r="O788" t="str">
            <v/>
          </cell>
          <cell r="S788" t="str">
            <v/>
          </cell>
          <cell r="T788" t="str">
            <v/>
          </cell>
        </row>
        <row r="789">
          <cell r="A789" t="str">
            <v/>
          </cell>
          <cell r="B789">
            <v>1785</v>
          </cell>
          <cell r="D789" t="str">
            <v/>
          </cell>
          <cell r="F789" t="str">
            <v/>
          </cell>
          <cell r="J789">
            <v>0</v>
          </cell>
          <cell r="L789">
            <v>0</v>
          </cell>
          <cell r="M789">
            <v>0</v>
          </cell>
          <cell r="N789">
            <v>0</v>
          </cell>
          <cell r="O789" t="str">
            <v/>
          </cell>
          <cell r="S789" t="str">
            <v/>
          </cell>
          <cell r="T789" t="str">
            <v/>
          </cell>
        </row>
        <row r="790">
          <cell r="A790" t="str">
            <v/>
          </cell>
          <cell r="B790">
            <v>1786</v>
          </cell>
          <cell r="D790" t="str">
            <v/>
          </cell>
          <cell r="F790" t="str">
            <v/>
          </cell>
          <cell r="J790">
            <v>0</v>
          </cell>
          <cell r="L790">
            <v>0</v>
          </cell>
          <cell r="M790">
            <v>0</v>
          </cell>
          <cell r="N790">
            <v>0</v>
          </cell>
          <cell r="O790" t="str">
            <v/>
          </cell>
          <cell r="S790" t="str">
            <v/>
          </cell>
          <cell r="T790" t="str">
            <v/>
          </cell>
        </row>
        <row r="791">
          <cell r="A791" t="str">
            <v/>
          </cell>
          <cell r="B791">
            <v>1787</v>
          </cell>
          <cell r="D791" t="str">
            <v/>
          </cell>
          <cell r="F791" t="str">
            <v/>
          </cell>
          <cell r="J791">
            <v>0</v>
          </cell>
          <cell r="L791">
            <v>0</v>
          </cell>
          <cell r="M791">
            <v>0</v>
          </cell>
          <cell r="N791">
            <v>0</v>
          </cell>
          <cell r="O791" t="str">
            <v/>
          </cell>
          <cell r="S791" t="str">
            <v/>
          </cell>
          <cell r="T791" t="str">
            <v/>
          </cell>
        </row>
        <row r="792">
          <cell r="A792" t="str">
            <v/>
          </cell>
          <cell r="B792">
            <v>1788</v>
          </cell>
          <cell r="D792" t="str">
            <v/>
          </cell>
          <cell r="F792" t="str">
            <v/>
          </cell>
          <cell r="J792">
            <v>0</v>
          </cell>
          <cell r="L792">
            <v>0</v>
          </cell>
          <cell r="M792">
            <v>0</v>
          </cell>
          <cell r="N792">
            <v>0</v>
          </cell>
          <cell r="O792" t="str">
            <v/>
          </cell>
          <cell r="S792" t="str">
            <v/>
          </cell>
          <cell r="T792" t="str">
            <v/>
          </cell>
        </row>
        <row r="793">
          <cell r="A793" t="str">
            <v/>
          </cell>
          <cell r="B793">
            <v>1789</v>
          </cell>
          <cell r="D793" t="str">
            <v/>
          </cell>
          <cell r="F793" t="str">
            <v/>
          </cell>
          <cell r="J793">
            <v>0</v>
          </cell>
          <cell r="L793">
            <v>0</v>
          </cell>
          <cell r="M793">
            <v>0</v>
          </cell>
          <cell r="N793">
            <v>0</v>
          </cell>
          <cell r="O793" t="str">
            <v/>
          </cell>
          <cell r="S793" t="str">
            <v/>
          </cell>
          <cell r="T793" t="str">
            <v/>
          </cell>
        </row>
        <row r="794">
          <cell r="A794" t="str">
            <v/>
          </cell>
          <cell r="B794">
            <v>1790</v>
          </cell>
          <cell r="D794" t="str">
            <v/>
          </cell>
          <cell r="F794" t="str">
            <v/>
          </cell>
          <cell r="J794">
            <v>0</v>
          </cell>
          <cell r="L794">
            <v>0</v>
          </cell>
          <cell r="M794">
            <v>0</v>
          </cell>
          <cell r="N794">
            <v>0</v>
          </cell>
          <cell r="O794" t="str">
            <v/>
          </cell>
          <cell r="S794" t="str">
            <v/>
          </cell>
          <cell r="T794" t="str">
            <v/>
          </cell>
        </row>
        <row r="795">
          <cell r="A795" t="str">
            <v/>
          </cell>
          <cell r="B795">
            <v>1791</v>
          </cell>
          <cell r="D795" t="str">
            <v/>
          </cell>
          <cell r="F795" t="str">
            <v/>
          </cell>
          <cell r="J795">
            <v>0</v>
          </cell>
          <cell r="L795">
            <v>0</v>
          </cell>
          <cell r="M795">
            <v>0</v>
          </cell>
          <cell r="N795">
            <v>0</v>
          </cell>
          <cell r="O795" t="str">
            <v/>
          </cell>
          <cell r="S795" t="str">
            <v/>
          </cell>
          <cell r="T795" t="str">
            <v/>
          </cell>
        </row>
        <row r="796">
          <cell r="A796" t="str">
            <v/>
          </cell>
          <cell r="B796">
            <v>1792</v>
          </cell>
          <cell r="D796" t="str">
            <v/>
          </cell>
          <cell r="F796" t="str">
            <v/>
          </cell>
          <cell r="J796">
            <v>0</v>
          </cell>
          <cell r="L796">
            <v>0</v>
          </cell>
          <cell r="M796">
            <v>0</v>
          </cell>
          <cell r="N796">
            <v>0</v>
          </cell>
          <cell r="O796" t="str">
            <v/>
          </cell>
          <cell r="S796" t="str">
            <v/>
          </cell>
          <cell r="T796" t="str">
            <v/>
          </cell>
        </row>
        <row r="797">
          <cell r="A797" t="str">
            <v/>
          </cell>
          <cell r="B797">
            <v>1793</v>
          </cell>
          <cell r="D797" t="str">
            <v/>
          </cell>
          <cell r="F797" t="str">
            <v/>
          </cell>
          <cell r="J797">
            <v>0</v>
          </cell>
          <cell r="L797">
            <v>0</v>
          </cell>
          <cell r="M797">
            <v>0</v>
          </cell>
          <cell r="N797">
            <v>0</v>
          </cell>
          <cell r="O797" t="str">
            <v/>
          </cell>
          <cell r="S797" t="str">
            <v/>
          </cell>
          <cell r="T797" t="str">
            <v/>
          </cell>
        </row>
        <row r="798">
          <cell r="A798" t="str">
            <v/>
          </cell>
          <cell r="B798">
            <v>1794</v>
          </cell>
          <cell r="D798" t="str">
            <v/>
          </cell>
          <cell r="F798" t="str">
            <v/>
          </cell>
          <cell r="J798">
            <v>0</v>
          </cell>
          <cell r="L798">
            <v>0</v>
          </cell>
          <cell r="M798">
            <v>0</v>
          </cell>
          <cell r="N798">
            <v>0</v>
          </cell>
          <cell r="O798" t="str">
            <v/>
          </cell>
          <cell r="S798" t="str">
            <v/>
          </cell>
          <cell r="T798" t="str">
            <v/>
          </cell>
        </row>
        <row r="799">
          <cell r="A799" t="str">
            <v/>
          </cell>
          <cell r="B799">
            <v>1795</v>
          </cell>
          <cell r="D799" t="str">
            <v/>
          </cell>
          <cell r="F799" t="str">
            <v/>
          </cell>
          <cell r="J799">
            <v>0</v>
          </cell>
          <cell r="L799">
            <v>0</v>
          </cell>
          <cell r="M799">
            <v>0</v>
          </cell>
          <cell r="N799">
            <v>0</v>
          </cell>
          <cell r="O799" t="str">
            <v/>
          </cell>
          <cell r="S799" t="str">
            <v/>
          </cell>
          <cell r="T799" t="str">
            <v/>
          </cell>
        </row>
        <row r="800">
          <cell r="A800" t="str">
            <v/>
          </cell>
          <cell r="B800">
            <v>1796</v>
          </cell>
          <cell r="D800" t="str">
            <v/>
          </cell>
          <cell r="F800" t="str">
            <v/>
          </cell>
          <cell r="J800">
            <v>0</v>
          </cell>
          <cell r="L800">
            <v>0</v>
          </cell>
          <cell r="M800">
            <v>0</v>
          </cell>
          <cell r="N800">
            <v>0</v>
          </cell>
          <cell r="O800" t="str">
            <v/>
          </cell>
          <cell r="S800" t="str">
            <v/>
          </cell>
          <cell r="T800" t="str">
            <v/>
          </cell>
        </row>
        <row r="801">
          <cell r="A801" t="str">
            <v/>
          </cell>
          <cell r="B801">
            <v>1797</v>
          </cell>
          <cell r="D801" t="str">
            <v/>
          </cell>
          <cell r="F801" t="str">
            <v/>
          </cell>
          <cell r="J801">
            <v>0</v>
          </cell>
          <cell r="L801">
            <v>0</v>
          </cell>
          <cell r="M801">
            <v>0</v>
          </cell>
          <cell r="N801">
            <v>0</v>
          </cell>
          <cell r="O801" t="str">
            <v/>
          </cell>
          <cell r="S801" t="str">
            <v/>
          </cell>
          <cell r="T801" t="str">
            <v/>
          </cell>
        </row>
        <row r="802">
          <cell r="A802" t="str">
            <v/>
          </cell>
          <cell r="B802">
            <v>1798</v>
          </cell>
          <cell r="D802" t="str">
            <v/>
          </cell>
          <cell r="F802" t="str">
            <v/>
          </cell>
          <cell r="J802">
            <v>0</v>
          </cell>
          <cell r="L802">
            <v>0</v>
          </cell>
          <cell r="M802">
            <v>0</v>
          </cell>
          <cell r="N802">
            <v>0</v>
          </cell>
          <cell r="O802" t="str">
            <v/>
          </cell>
          <cell r="S802" t="str">
            <v/>
          </cell>
          <cell r="T802" t="str">
            <v/>
          </cell>
        </row>
        <row r="803">
          <cell r="A803" t="str">
            <v/>
          </cell>
          <cell r="B803">
            <v>1799</v>
          </cell>
          <cell r="D803" t="str">
            <v/>
          </cell>
          <cell r="F803" t="str">
            <v/>
          </cell>
          <cell r="J803">
            <v>0</v>
          </cell>
          <cell r="L803">
            <v>0</v>
          </cell>
          <cell r="M803">
            <v>0</v>
          </cell>
          <cell r="N803">
            <v>0</v>
          </cell>
          <cell r="O803" t="str">
            <v/>
          </cell>
          <cell r="S803" t="str">
            <v/>
          </cell>
          <cell r="T803" t="str">
            <v/>
          </cell>
        </row>
        <row r="804">
          <cell r="A804" t="str">
            <v/>
          </cell>
          <cell r="B804">
            <v>1800</v>
          </cell>
          <cell r="D804" t="str">
            <v/>
          </cell>
          <cell r="F804" t="str">
            <v/>
          </cell>
          <cell r="J804">
            <v>0</v>
          </cell>
          <cell r="L804">
            <v>0</v>
          </cell>
          <cell r="M804">
            <v>0</v>
          </cell>
          <cell r="N804">
            <v>0</v>
          </cell>
          <cell r="O804" t="str">
            <v/>
          </cell>
          <cell r="S804" t="str">
            <v/>
          </cell>
          <cell r="T804" t="str">
            <v/>
          </cell>
        </row>
        <row r="805">
          <cell r="A805" t="str">
            <v/>
          </cell>
          <cell r="B805">
            <v>1801</v>
          </cell>
          <cell r="D805" t="str">
            <v/>
          </cell>
          <cell r="F805" t="str">
            <v/>
          </cell>
          <cell r="J805">
            <v>0</v>
          </cell>
          <cell r="L805">
            <v>0</v>
          </cell>
          <cell r="M805">
            <v>0</v>
          </cell>
          <cell r="N805">
            <v>0</v>
          </cell>
          <cell r="O805" t="str">
            <v/>
          </cell>
          <cell r="S805" t="str">
            <v/>
          </cell>
          <cell r="T805" t="str">
            <v/>
          </cell>
        </row>
        <row r="806">
          <cell r="A806" t="str">
            <v/>
          </cell>
          <cell r="B806">
            <v>1802</v>
          </cell>
          <cell r="D806" t="str">
            <v/>
          </cell>
          <cell r="F806" t="str">
            <v/>
          </cell>
          <cell r="J806">
            <v>0</v>
          </cell>
          <cell r="L806">
            <v>0</v>
          </cell>
          <cell r="M806">
            <v>0</v>
          </cell>
          <cell r="N806">
            <v>0</v>
          </cell>
          <cell r="O806" t="str">
            <v/>
          </cell>
          <cell r="S806" t="str">
            <v/>
          </cell>
          <cell r="T806" t="str">
            <v/>
          </cell>
        </row>
        <row r="807">
          <cell r="A807" t="str">
            <v/>
          </cell>
          <cell r="B807">
            <v>1803</v>
          </cell>
          <cell r="D807" t="str">
            <v/>
          </cell>
          <cell r="F807" t="str">
            <v/>
          </cell>
          <cell r="J807">
            <v>0</v>
          </cell>
          <cell r="L807">
            <v>0</v>
          </cell>
          <cell r="M807">
            <v>0</v>
          </cell>
          <cell r="N807">
            <v>0</v>
          </cell>
          <cell r="O807" t="str">
            <v/>
          </cell>
          <cell r="S807" t="str">
            <v/>
          </cell>
          <cell r="T807" t="str">
            <v/>
          </cell>
        </row>
        <row r="808">
          <cell r="A808" t="str">
            <v/>
          </cell>
          <cell r="B808">
            <v>1804</v>
          </cell>
          <cell r="D808" t="str">
            <v/>
          </cell>
          <cell r="F808" t="str">
            <v/>
          </cell>
          <cell r="J808">
            <v>0</v>
          </cell>
          <cell r="L808">
            <v>0</v>
          </cell>
          <cell r="M808">
            <v>0</v>
          </cell>
          <cell r="N808">
            <v>0</v>
          </cell>
          <cell r="O808" t="str">
            <v/>
          </cell>
          <cell r="S808" t="str">
            <v/>
          </cell>
          <cell r="T808" t="str">
            <v/>
          </cell>
        </row>
        <row r="809">
          <cell r="A809" t="str">
            <v/>
          </cell>
          <cell r="B809">
            <v>1805</v>
          </cell>
          <cell r="D809" t="str">
            <v/>
          </cell>
          <cell r="F809" t="str">
            <v/>
          </cell>
          <cell r="J809">
            <v>0</v>
          </cell>
          <cell r="L809">
            <v>0</v>
          </cell>
          <cell r="M809">
            <v>0</v>
          </cell>
          <cell r="N809">
            <v>0</v>
          </cell>
          <cell r="O809" t="str">
            <v/>
          </cell>
          <cell r="S809" t="str">
            <v/>
          </cell>
          <cell r="T809" t="str">
            <v/>
          </cell>
        </row>
        <row r="810">
          <cell r="A810" t="str">
            <v/>
          </cell>
          <cell r="B810">
            <v>1806</v>
          </cell>
          <cell r="D810" t="str">
            <v/>
          </cell>
          <cell r="F810" t="str">
            <v/>
          </cell>
          <cell r="J810">
            <v>0</v>
          </cell>
          <cell r="L810">
            <v>0</v>
          </cell>
          <cell r="M810">
            <v>0</v>
          </cell>
          <cell r="N810">
            <v>0</v>
          </cell>
          <cell r="O810" t="str">
            <v/>
          </cell>
          <cell r="S810" t="str">
            <v/>
          </cell>
          <cell r="T810" t="str">
            <v/>
          </cell>
        </row>
        <row r="811">
          <cell r="A811" t="str">
            <v/>
          </cell>
          <cell r="B811">
            <v>1807</v>
          </cell>
          <cell r="D811" t="str">
            <v/>
          </cell>
          <cell r="F811" t="str">
            <v/>
          </cell>
          <cell r="J811">
            <v>0</v>
          </cell>
          <cell r="L811">
            <v>0</v>
          </cell>
          <cell r="M811">
            <v>0</v>
          </cell>
          <cell r="N811">
            <v>0</v>
          </cell>
          <cell r="O811" t="str">
            <v/>
          </cell>
          <cell r="S811" t="str">
            <v/>
          </cell>
          <cell r="T811" t="str">
            <v/>
          </cell>
        </row>
        <row r="812">
          <cell r="A812" t="str">
            <v/>
          </cell>
          <cell r="B812">
            <v>1808</v>
          </cell>
          <cell r="D812" t="str">
            <v/>
          </cell>
          <cell r="F812" t="str">
            <v/>
          </cell>
          <cell r="J812">
            <v>0</v>
          </cell>
          <cell r="L812">
            <v>0</v>
          </cell>
          <cell r="M812">
            <v>0</v>
          </cell>
          <cell r="N812">
            <v>0</v>
          </cell>
          <cell r="O812" t="str">
            <v/>
          </cell>
          <cell r="S812" t="str">
            <v/>
          </cell>
          <cell r="T812" t="str">
            <v/>
          </cell>
        </row>
        <row r="813">
          <cell r="A813" t="str">
            <v/>
          </cell>
          <cell r="B813">
            <v>1809</v>
          </cell>
          <cell r="D813" t="str">
            <v/>
          </cell>
          <cell r="F813" t="str">
            <v/>
          </cell>
          <cell r="J813">
            <v>0</v>
          </cell>
          <cell r="L813">
            <v>0</v>
          </cell>
          <cell r="M813">
            <v>0</v>
          </cell>
          <cell r="N813">
            <v>0</v>
          </cell>
          <cell r="O813" t="str">
            <v/>
          </cell>
          <cell r="S813" t="str">
            <v/>
          </cell>
          <cell r="T813" t="str">
            <v/>
          </cell>
        </row>
        <row r="814">
          <cell r="A814" t="str">
            <v/>
          </cell>
          <cell r="B814">
            <v>1810</v>
          </cell>
          <cell r="D814" t="str">
            <v/>
          </cell>
          <cell r="F814" t="str">
            <v/>
          </cell>
          <cell r="J814">
            <v>0</v>
          </cell>
          <cell r="L814">
            <v>0</v>
          </cell>
          <cell r="M814">
            <v>0</v>
          </cell>
          <cell r="N814">
            <v>0</v>
          </cell>
          <cell r="O814" t="str">
            <v/>
          </cell>
          <cell r="S814" t="str">
            <v/>
          </cell>
          <cell r="T814" t="str">
            <v/>
          </cell>
        </row>
        <row r="815">
          <cell r="A815" t="str">
            <v/>
          </cell>
          <cell r="B815">
            <v>1811</v>
          </cell>
          <cell r="D815" t="str">
            <v/>
          </cell>
          <cell r="F815" t="str">
            <v/>
          </cell>
          <cell r="J815">
            <v>0</v>
          </cell>
          <cell r="L815">
            <v>0</v>
          </cell>
          <cell r="M815">
            <v>0</v>
          </cell>
          <cell r="N815">
            <v>0</v>
          </cell>
          <cell r="O815" t="str">
            <v/>
          </cell>
          <cell r="S815" t="str">
            <v/>
          </cell>
          <cell r="T815" t="str">
            <v/>
          </cell>
        </row>
        <row r="816">
          <cell r="A816" t="str">
            <v/>
          </cell>
          <cell r="B816">
            <v>1812</v>
          </cell>
          <cell r="D816" t="str">
            <v/>
          </cell>
          <cell r="F816" t="str">
            <v/>
          </cell>
          <cell r="J816">
            <v>0</v>
          </cell>
          <cell r="L816">
            <v>0</v>
          </cell>
          <cell r="M816">
            <v>0</v>
          </cell>
          <cell r="N816">
            <v>0</v>
          </cell>
          <cell r="O816" t="str">
            <v/>
          </cell>
          <cell r="S816" t="str">
            <v/>
          </cell>
          <cell r="T816" t="str">
            <v/>
          </cell>
        </row>
        <row r="817">
          <cell r="A817" t="str">
            <v/>
          </cell>
          <cell r="B817">
            <v>1813</v>
          </cell>
          <cell r="D817" t="str">
            <v/>
          </cell>
          <cell r="F817" t="str">
            <v/>
          </cell>
          <cell r="J817">
            <v>0</v>
          </cell>
          <cell r="L817">
            <v>0</v>
          </cell>
          <cell r="M817">
            <v>0</v>
          </cell>
          <cell r="N817">
            <v>0</v>
          </cell>
          <cell r="O817" t="str">
            <v/>
          </cell>
          <cell r="S817" t="str">
            <v/>
          </cell>
          <cell r="T817" t="str">
            <v/>
          </cell>
        </row>
        <row r="818">
          <cell r="A818" t="str">
            <v/>
          </cell>
          <cell r="B818">
            <v>1814</v>
          </cell>
          <cell r="D818" t="str">
            <v/>
          </cell>
          <cell r="F818" t="str">
            <v/>
          </cell>
          <cell r="J818">
            <v>0</v>
          </cell>
          <cell r="L818">
            <v>0</v>
          </cell>
          <cell r="M818">
            <v>0</v>
          </cell>
          <cell r="N818">
            <v>0</v>
          </cell>
          <cell r="O818" t="str">
            <v/>
          </cell>
          <cell r="S818" t="str">
            <v/>
          </cell>
          <cell r="T818" t="str">
            <v/>
          </cell>
        </row>
        <row r="819">
          <cell r="A819" t="str">
            <v/>
          </cell>
          <cell r="B819">
            <v>1815</v>
          </cell>
          <cell r="D819" t="str">
            <v/>
          </cell>
          <cell r="F819" t="str">
            <v/>
          </cell>
          <cell r="J819">
            <v>0</v>
          </cell>
          <cell r="L819">
            <v>0</v>
          </cell>
          <cell r="M819">
            <v>0</v>
          </cell>
          <cell r="N819">
            <v>0</v>
          </cell>
          <cell r="O819" t="str">
            <v/>
          </cell>
          <cell r="S819" t="str">
            <v/>
          </cell>
          <cell r="T819" t="str">
            <v/>
          </cell>
        </row>
        <row r="820">
          <cell r="A820" t="str">
            <v/>
          </cell>
          <cell r="B820">
            <v>1816</v>
          </cell>
          <cell r="D820" t="str">
            <v/>
          </cell>
          <cell r="F820" t="str">
            <v/>
          </cell>
          <cell r="J820">
            <v>0</v>
          </cell>
          <cell r="L820">
            <v>0</v>
          </cell>
          <cell r="M820">
            <v>0</v>
          </cell>
          <cell r="N820">
            <v>0</v>
          </cell>
          <cell r="O820" t="str">
            <v/>
          </cell>
          <cell r="S820" t="str">
            <v/>
          </cell>
          <cell r="T820" t="str">
            <v/>
          </cell>
        </row>
        <row r="821">
          <cell r="A821" t="str">
            <v/>
          </cell>
          <cell r="B821">
            <v>1817</v>
          </cell>
          <cell r="D821" t="str">
            <v/>
          </cell>
          <cell r="F821" t="str">
            <v/>
          </cell>
          <cell r="J821">
            <v>0</v>
          </cell>
          <cell r="L821">
            <v>0</v>
          </cell>
          <cell r="M821">
            <v>0</v>
          </cell>
          <cell r="N821">
            <v>0</v>
          </cell>
          <cell r="O821" t="str">
            <v/>
          </cell>
          <cell r="S821" t="str">
            <v/>
          </cell>
          <cell r="T821" t="str">
            <v/>
          </cell>
        </row>
        <row r="822">
          <cell r="A822" t="str">
            <v/>
          </cell>
          <cell r="B822">
            <v>1818</v>
          </cell>
          <cell r="D822" t="str">
            <v/>
          </cell>
          <cell r="F822" t="str">
            <v/>
          </cell>
          <cell r="J822">
            <v>0</v>
          </cell>
          <cell r="L822">
            <v>0</v>
          </cell>
          <cell r="M822">
            <v>0</v>
          </cell>
          <cell r="N822">
            <v>0</v>
          </cell>
          <cell r="O822" t="str">
            <v/>
          </cell>
          <cell r="S822" t="str">
            <v/>
          </cell>
          <cell r="T822" t="str">
            <v/>
          </cell>
        </row>
        <row r="823">
          <cell r="A823" t="str">
            <v/>
          </cell>
          <cell r="B823">
            <v>1819</v>
          </cell>
          <cell r="D823" t="str">
            <v/>
          </cell>
          <cell r="F823" t="str">
            <v/>
          </cell>
          <cell r="J823">
            <v>0</v>
          </cell>
          <cell r="L823">
            <v>0</v>
          </cell>
          <cell r="M823">
            <v>0</v>
          </cell>
          <cell r="N823">
            <v>0</v>
          </cell>
          <cell r="O823" t="str">
            <v/>
          </cell>
          <cell r="S823" t="str">
            <v/>
          </cell>
          <cell r="T823" t="str">
            <v/>
          </cell>
        </row>
        <row r="824">
          <cell r="A824" t="str">
            <v/>
          </cell>
          <cell r="B824">
            <v>1820</v>
          </cell>
          <cell r="D824" t="str">
            <v/>
          </cell>
          <cell r="F824" t="str">
            <v/>
          </cell>
          <cell r="J824">
            <v>0</v>
          </cell>
          <cell r="L824">
            <v>0</v>
          </cell>
          <cell r="M824">
            <v>0</v>
          </cell>
          <cell r="N824">
            <v>0</v>
          </cell>
          <cell r="O824" t="str">
            <v/>
          </cell>
          <cell r="S824" t="str">
            <v/>
          </cell>
          <cell r="T824" t="str">
            <v/>
          </cell>
        </row>
        <row r="825">
          <cell r="A825" t="str">
            <v/>
          </cell>
          <cell r="B825">
            <v>1821</v>
          </cell>
          <cell r="D825" t="str">
            <v/>
          </cell>
          <cell r="F825" t="str">
            <v/>
          </cell>
          <cell r="J825">
            <v>0</v>
          </cell>
          <cell r="L825">
            <v>0</v>
          </cell>
          <cell r="M825">
            <v>0</v>
          </cell>
          <cell r="N825">
            <v>0</v>
          </cell>
          <cell r="O825" t="str">
            <v/>
          </cell>
          <cell r="S825" t="str">
            <v/>
          </cell>
          <cell r="T825" t="str">
            <v/>
          </cell>
        </row>
        <row r="826">
          <cell r="A826" t="str">
            <v/>
          </cell>
          <cell r="B826">
            <v>1822</v>
          </cell>
          <cell r="D826" t="str">
            <v/>
          </cell>
          <cell r="F826" t="str">
            <v/>
          </cell>
          <cell r="J826">
            <v>0</v>
          </cell>
          <cell r="L826">
            <v>0</v>
          </cell>
          <cell r="M826">
            <v>0</v>
          </cell>
          <cell r="N826">
            <v>0</v>
          </cell>
          <cell r="O826" t="str">
            <v/>
          </cell>
          <cell r="S826" t="str">
            <v/>
          </cell>
          <cell r="T826" t="str">
            <v/>
          </cell>
        </row>
        <row r="827">
          <cell r="A827" t="str">
            <v/>
          </cell>
          <cell r="B827">
            <v>1823</v>
          </cell>
          <cell r="D827" t="str">
            <v/>
          </cell>
          <cell r="F827" t="str">
            <v/>
          </cell>
          <cell r="J827">
            <v>0</v>
          </cell>
          <cell r="L827">
            <v>0</v>
          </cell>
          <cell r="M827">
            <v>0</v>
          </cell>
          <cell r="N827">
            <v>0</v>
          </cell>
          <cell r="O827" t="str">
            <v/>
          </cell>
          <cell r="S827" t="str">
            <v/>
          </cell>
          <cell r="T827" t="str">
            <v/>
          </cell>
        </row>
        <row r="828">
          <cell r="A828" t="str">
            <v/>
          </cell>
          <cell r="B828">
            <v>1824</v>
          </cell>
          <cell r="D828" t="str">
            <v/>
          </cell>
          <cell r="F828" t="str">
            <v/>
          </cell>
          <cell r="J828">
            <v>0</v>
          </cell>
          <cell r="L828">
            <v>0</v>
          </cell>
          <cell r="M828">
            <v>0</v>
          </cell>
          <cell r="N828">
            <v>0</v>
          </cell>
          <cell r="O828" t="str">
            <v/>
          </cell>
          <cell r="S828" t="str">
            <v/>
          </cell>
          <cell r="T828" t="str">
            <v/>
          </cell>
        </row>
        <row r="829">
          <cell r="A829" t="str">
            <v/>
          </cell>
          <cell r="B829">
            <v>1825</v>
          </cell>
          <cell r="D829" t="str">
            <v/>
          </cell>
          <cell r="F829" t="str">
            <v/>
          </cell>
          <cell r="J829">
            <v>0</v>
          </cell>
          <cell r="L829">
            <v>0</v>
          </cell>
          <cell r="M829">
            <v>0</v>
          </cell>
          <cell r="N829">
            <v>0</v>
          </cell>
          <cell r="O829" t="str">
            <v/>
          </cell>
          <cell r="S829" t="str">
            <v/>
          </cell>
          <cell r="T829" t="str">
            <v/>
          </cell>
        </row>
        <row r="830">
          <cell r="A830" t="str">
            <v/>
          </cell>
          <cell r="B830">
            <v>1826</v>
          </cell>
          <cell r="D830" t="str">
            <v/>
          </cell>
          <cell r="F830" t="str">
            <v/>
          </cell>
          <cell r="J830">
            <v>0</v>
          </cell>
          <cell r="L830">
            <v>0</v>
          </cell>
          <cell r="M830">
            <v>0</v>
          </cell>
          <cell r="N830">
            <v>0</v>
          </cell>
          <cell r="O830" t="str">
            <v/>
          </cell>
          <cell r="S830" t="str">
            <v/>
          </cell>
          <cell r="T830" t="str">
            <v/>
          </cell>
        </row>
        <row r="831">
          <cell r="A831" t="str">
            <v/>
          </cell>
          <cell r="B831">
            <v>1827</v>
          </cell>
          <cell r="D831" t="str">
            <v/>
          </cell>
          <cell r="F831" t="str">
            <v/>
          </cell>
          <cell r="J831">
            <v>0</v>
          </cell>
          <cell r="L831">
            <v>0</v>
          </cell>
          <cell r="M831">
            <v>0</v>
          </cell>
          <cell r="N831">
            <v>0</v>
          </cell>
          <cell r="O831" t="str">
            <v/>
          </cell>
          <cell r="S831" t="str">
            <v/>
          </cell>
          <cell r="T831" t="str">
            <v/>
          </cell>
        </row>
        <row r="832">
          <cell r="A832" t="str">
            <v/>
          </cell>
          <cell r="B832">
            <v>1828</v>
          </cell>
          <cell r="D832" t="str">
            <v/>
          </cell>
          <cell r="F832" t="str">
            <v/>
          </cell>
          <cell r="J832">
            <v>0</v>
          </cell>
          <cell r="L832">
            <v>0</v>
          </cell>
          <cell r="M832">
            <v>0</v>
          </cell>
          <cell r="N832">
            <v>0</v>
          </cell>
          <cell r="O832" t="str">
            <v/>
          </cell>
          <cell r="S832" t="str">
            <v/>
          </cell>
          <cell r="T832" t="str">
            <v/>
          </cell>
        </row>
        <row r="833">
          <cell r="A833" t="str">
            <v/>
          </cell>
          <cell r="B833">
            <v>1829</v>
          </cell>
          <cell r="D833" t="str">
            <v/>
          </cell>
          <cell r="F833" t="str">
            <v/>
          </cell>
          <cell r="J833">
            <v>0</v>
          </cell>
          <cell r="L833">
            <v>0</v>
          </cell>
          <cell r="M833">
            <v>0</v>
          </cell>
          <cell r="N833">
            <v>0</v>
          </cell>
          <cell r="O833" t="str">
            <v/>
          </cell>
          <cell r="S833" t="str">
            <v/>
          </cell>
          <cell r="T833" t="str">
            <v/>
          </cell>
        </row>
        <row r="834">
          <cell r="A834" t="str">
            <v/>
          </cell>
          <cell r="B834">
            <v>1830</v>
          </cell>
          <cell r="D834" t="str">
            <v/>
          </cell>
          <cell r="F834" t="str">
            <v/>
          </cell>
          <cell r="J834">
            <v>0</v>
          </cell>
          <cell r="L834">
            <v>0</v>
          </cell>
          <cell r="M834">
            <v>0</v>
          </cell>
          <cell r="N834">
            <v>0</v>
          </cell>
          <cell r="O834" t="str">
            <v/>
          </cell>
          <cell r="S834" t="str">
            <v/>
          </cell>
          <cell r="T834" t="str">
            <v/>
          </cell>
        </row>
        <row r="835">
          <cell r="A835" t="str">
            <v/>
          </cell>
          <cell r="B835">
            <v>1831</v>
          </cell>
          <cell r="D835" t="str">
            <v/>
          </cell>
          <cell r="F835" t="str">
            <v/>
          </cell>
          <cell r="J835">
            <v>0</v>
          </cell>
          <cell r="L835">
            <v>0</v>
          </cell>
          <cell r="M835">
            <v>0</v>
          </cell>
          <cell r="N835">
            <v>0</v>
          </cell>
          <cell r="O835" t="str">
            <v/>
          </cell>
          <cell r="S835" t="str">
            <v/>
          </cell>
          <cell r="T835" t="str">
            <v/>
          </cell>
        </row>
        <row r="836">
          <cell r="A836" t="str">
            <v/>
          </cell>
          <cell r="B836">
            <v>1832</v>
          </cell>
          <cell r="D836" t="str">
            <v/>
          </cell>
          <cell r="F836" t="str">
            <v/>
          </cell>
          <cell r="J836">
            <v>0</v>
          </cell>
          <cell r="L836">
            <v>0</v>
          </cell>
          <cell r="M836">
            <v>0</v>
          </cell>
          <cell r="N836">
            <v>0</v>
          </cell>
          <cell r="O836" t="str">
            <v/>
          </cell>
          <cell r="S836" t="str">
            <v/>
          </cell>
          <cell r="T836" t="str">
            <v/>
          </cell>
        </row>
        <row r="837">
          <cell r="A837" t="str">
            <v/>
          </cell>
          <cell r="B837">
            <v>1833</v>
          </cell>
          <cell r="D837" t="str">
            <v/>
          </cell>
          <cell r="F837" t="str">
            <v/>
          </cell>
          <cell r="J837">
            <v>0</v>
          </cell>
          <cell r="L837">
            <v>0</v>
          </cell>
          <cell r="M837">
            <v>0</v>
          </cell>
          <cell r="N837">
            <v>0</v>
          </cell>
          <cell r="O837" t="str">
            <v/>
          </cell>
          <cell r="S837" t="str">
            <v/>
          </cell>
          <cell r="T837" t="str">
            <v/>
          </cell>
        </row>
        <row r="838">
          <cell r="A838" t="str">
            <v/>
          </cell>
          <cell r="B838">
            <v>1834</v>
          </cell>
          <cell r="D838" t="str">
            <v/>
          </cell>
          <cell r="F838" t="str">
            <v/>
          </cell>
          <cell r="J838">
            <v>0</v>
          </cell>
          <cell r="L838">
            <v>0</v>
          </cell>
          <cell r="M838">
            <v>0</v>
          </cell>
          <cell r="N838">
            <v>0</v>
          </cell>
          <cell r="O838" t="str">
            <v/>
          </cell>
          <cell r="S838" t="str">
            <v/>
          </cell>
          <cell r="T838" t="str">
            <v/>
          </cell>
        </row>
        <row r="839">
          <cell r="A839" t="str">
            <v/>
          </cell>
          <cell r="B839">
            <v>1835</v>
          </cell>
          <cell r="D839" t="str">
            <v/>
          </cell>
          <cell r="F839" t="str">
            <v/>
          </cell>
          <cell r="J839">
            <v>0</v>
          </cell>
          <cell r="L839">
            <v>0</v>
          </cell>
          <cell r="M839">
            <v>0</v>
          </cell>
          <cell r="N839">
            <v>0</v>
          </cell>
          <cell r="O839" t="str">
            <v/>
          </cell>
          <cell r="S839" t="str">
            <v/>
          </cell>
          <cell r="T839" t="str">
            <v/>
          </cell>
        </row>
        <row r="840">
          <cell r="A840" t="str">
            <v/>
          </cell>
          <cell r="B840">
            <v>1836</v>
          </cell>
          <cell r="D840" t="str">
            <v/>
          </cell>
          <cell r="F840" t="str">
            <v/>
          </cell>
          <cell r="J840">
            <v>0</v>
          </cell>
          <cell r="L840">
            <v>0</v>
          </cell>
          <cell r="M840">
            <v>0</v>
          </cell>
          <cell r="N840">
            <v>0</v>
          </cell>
          <cell r="O840" t="str">
            <v/>
          </cell>
          <cell r="S840" t="str">
            <v/>
          </cell>
          <cell r="T840" t="str">
            <v/>
          </cell>
        </row>
        <row r="841">
          <cell r="A841" t="str">
            <v/>
          </cell>
          <cell r="B841">
            <v>1837</v>
          </cell>
          <cell r="D841" t="str">
            <v/>
          </cell>
          <cell r="F841" t="str">
            <v/>
          </cell>
          <cell r="J841">
            <v>0</v>
          </cell>
          <cell r="L841">
            <v>0</v>
          </cell>
          <cell r="M841">
            <v>0</v>
          </cell>
          <cell r="N841">
            <v>0</v>
          </cell>
          <cell r="O841" t="str">
            <v/>
          </cell>
          <cell r="S841" t="str">
            <v/>
          </cell>
          <cell r="T841" t="str">
            <v/>
          </cell>
        </row>
        <row r="842">
          <cell r="A842" t="str">
            <v/>
          </cell>
          <cell r="B842">
            <v>1838</v>
          </cell>
          <cell r="D842" t="str">
            <v/>
          </cell>
          <cell r="F842" t="str">
            <v/>
          </cell>
          <cell r="J842">
            <v>0</v>
          </cell>
          <cell r="L842">
            <v>0</v>
          </cell>
          <cell r="M842">
            <v>0</v>
          </cell>
          <cell r="N842">
            <v>0</v>
          </cell>
          <cell r="O842" t="str">
            <v/>
          </cell>
          <cell r="S842" t="str">
            <v/>
          </cell>
          <cell r="T842" t="str">
            <v/>
          </cell>
        </row>
        <row r="843">
          <cell r="A843" t="str">
            <v/>
          </cell>
          <cell r="B843">
            <v>1839</v>
          </cell>
          <cell r="D843" t="str">
            <v/>
          </cell>
          <cell r="F843" t="str">
            <v/>
          </cell>
          <cell r="J843">
            <v>0</v>
          </cell>
          <cell r="L843">
            <v>0</v>
          </cell>
          <cell r="M843">
            <v>0</v>
          </cell>
          <cell r="N843">
            <v>0</v>
          </cell>
          <cell r="O843" t="str">
            <v/>
          </cell>
          <cell r="S843" t="str">
            <v/>
          </cell>
          <cell r="T843" t="str">
            <v/>
          </cell>
        </row>
        <row r="844">
          <cell r="A844" t="str">
            <v/>
          </cell>
          <cell r="B844">
            <v>1840</v>
          </cell>
          <cell r="D844" t="str">
            <v/>
          </cell>
          <cell r="F844" t="str">
            <v/>
          </cell>
          <cell r="J844">
            <v>0</v>
          </cell>
          <cell r="L844">
            <v>0</v>
          </cell>
          <cell r="M844">
            <v>0</v>
          </cell>
          <cell r="N844">
            <v>0</v>
          </cell>
          <cell r="O844" t="str">
            <v/>
          </cell>
          <cell r="S844" t="str">
            <v/>
          </cell>
          <cell r="T844" t="str">
            <v/>
          </cell>
        </row>
        <row r="845">
          <cell r="A845" t="str">
            <v/>
          </cell>
          <cell r="B845">
            <v>1841</v>
          </cell>
          <cell r="D845" t="str">
            <v/>
          </cell>
          <cell r="F845" t="str">
            <v/>
          </cell>
          <cell r="J845">
            <v>0</v>
          </cell>
          <cell r="L845">
            <v>0</v>
          </cell>
          <cell r="M845">
            <v>0</v>
          </cell>
          <cell r="N845">
            <v>0</v>
          </cell>
          <cell r="O845" t="str">
            <v/>
          </cell>
          <cell r="S845" t="str">
            <v/>
          </cell>
          <cell r="T845" t="str">
            <v/>
          </cell>
        </row>
        <row r="846">
          <cell r="A846" t="str">
            <v/>
          </cell>
          <cell r="B846">
            <v>1842</v>
          </cell>
          <cell r="D846" t="str">
            <v/>
          </cell>
          <cell r="F846" t="str">
            <v/>
          </cell>
          <cell r="J846">
            <v>0</v>
          </cell>
          <cell r="L846">
            <v>0</v>
          </cell>
          <cell r="M846">
            <v>0</v>
          </cell>
          <cell r="N846">
            <v>0</v>
          </cell>
          <cell r="O846" t="str">
            <v/>
          </cell>
          <cell r="S846" t="str">
            <v/>
          </cell>
          <cell r="T846" t="str">
            <v/>
          </cell>
        </row>
        <row r="847">
          <cell r="A847" t="str">
            <v/>
          </cell>
          <cell r="B847">
            <v>1843</v>
          </cell>
          <cell r="D847" t="str">
            <v/>
          </cell>
          <cell r="F847" t="str">
            <v/>
          </cell>
          <cell r="J847">
            <v>0</v>
          </cell>
          <cell r="L847">
            <v>0</v>
          </cell>
          <cell r="M847">
            <v>0</v>
          </cell>
          <cell r="N847">
            <v>0</v>
          </cell>
          <cell r="O847" t="str">
            <v/>
          </cell>
          <cell r="S847" t="str">
            <v/>
          </cell>
          <cell r="T847" t="str">
            <v/>
          </cell>
        </row>
        <row r="848">
          <cell r="A848" t="str">
            <v/>
          </cell>
          <cell r="B848">
            <v>1844</v>
          </cell>
          <cell r="D848" t="str">
            <v/>
          </cell>
          <cell r="F848" t="str">
            <v/>
          </cell>
          <cell r="J848">
            <v>0</v>
          </cell>
          <cell r="L848">
            <v>0</v>
          </cell>
          <cell r="M848">
            <v>0</v>
          </cell>
          <cell r="N848">
            <v>0</v>
          </cell>
          <cell r="O848" t="str">
            <v/>
          </cell>
          <cell r="S848" t="str">
            <v/>
          </cell>
          <cell r="T848" t="str">
            <v/>
          </cell>
        </row>
        <row r="849">
          <cell r="A849" t="str">
            <v/>
          </cell>
          <cell r="B849">
            <v>1845</v>
          </cell>
          <cell r="D849" t="str">
            <v/>
          </cell>
          <cell r="F849" t="str">
            <v/>
          </cell>
          <cell r="J849">
            <v>0</v>
          </cell>
          <cell r="L849">
            <v>0</v>
          </cell>
          <cell r="M849">
            <v>0</v>
          </cell>
          <cell r="N849">
            <v>0</v>
          </cell>
          <cell r="O849" t="str">
            <v/>
          </cell>
          <cell r="S849" t="str">
            <v/>
          </cell>
          <cell r="T849" t="str">
            <v/>
          </cell>
        </row>
        <row r="850">
          <cell r="A850" t="str">
            <v/>
          </cell>
          <cell r="B850">
            <v>1846</v>
          </cell>
          <cell r="D850" t="str">
            <v/>
          </cell>
          <cell r="F850" t="str">
            <v/>
          </cell>
          <cell r="J850">
            <v>0</v>
          </cell>
          <cell r="L850">
            <v>0</v>
          </cell>
          <cell r="M850">
            <v>0</v>
          </cell>
          <cell r="N850">
            <v>0</v>
          </cell>
          <cell r="O850" t="str">
            <v/>
          </cell>
          <cell r="S850" t="str">
            <v/>
          </cell>
          <cell r="T850" t="str">
            <v/>
          </cell>
        </row>
        <row r="851">
          <cell r="A851" t="str">
            <v/>
          </cell>
          <cell r="B851">
            <v>1847</v>
          </cell>
          <cell r="D851" t="str">
            <v/>
          </cell>
          <cell r="F851" t="str">
            <v/>
          </cell>
          <cell r="J851">
            <v>0</v>
          </cell>
          <cell r="L851">
            <v>0</v>
          </cell>
          <cell r="M851">
            <v>0</v>
          </cell>
          <cell r="N851">
            <v>0</v>
          </cell>
          <cell r="O851" t="str">
            <v/>
          </cell>
          <cell r="S851" t="str">
            <v/>
          </cell>
          <cell r="T851" t="str">
            <v/>
          </cell>
        </row>
        <row r="852">
          <cell r="A852" t="str">
            <v/>
          </cell>
          <cell r="B852">
            <v>1848</v>
          </cell>
          <cell r="D852" t="str">
            <v/>
          </cell>
          <cell r="F852" t="str">
            <v/>
          </cell>
          <cell r="J852">
            <v>0</v>
          </cell>
          <cell r="L852">
            <v>0</v>
          </cell>
          <cell r="M852">
            <v>0</v>
          </cell>
          <cell r="N852">
            <v>0</v>
          </cell>
          <cell r="O852" t="str">
            <v/>
          </cell>
          <cell r="S852" t="str">
            <v/>
          </cell>
          <cell r="T852" t="str">
            <v/>
          </cell>
        </row>
        <row r="853">
          <cell r="A853" t="str">
            <v/>
          </cell>
          <cell r="B853">
            <v>1849</v>
          </cell>
          <cell r="D853" t="str">
            <v/>
          </cell>
          <cell r="F853" t="str">
            <v/>
          </cell>
          <cell r="J853">
            <v>0</v>
          </cell>
          <cell r="L853">
            <v>0</v>
          </cell>
          <cell r="M853">
            <v>0</v>
          </cell>
          <cell r="N853">
            <v>0</v>
          </cell>
          <cell r="O853" t="str">
            <v/>
          </cell>
          <cell r="S853" t="str">
            <v/>
          </cell>
          <cell r="T853" t="str">
            <v/>
          </cell>
        </row>
        <row r="854">
          <cell r="A854" t="str">
            <v/>
          </cell>
          <cell r="B854">
            <v>1850</v>
          </cell>
          <cell r="D854" t="str">
            <v/>
          </cell>
          <cell r="F854" t="str">
            <v/>
          </cell>
          <cell r="J854">
            <v>0</v>
          </cell>
          <cell r="L854">
            <v>0</v>
          </cell>
          <cell r="M854">
            <v>0</v>
          </cell>
          <cell r="N854">
            <v>0</v>
          </cell>
          <cell r="O854" t="str">
            <v/>
          </cell>
          <cell r="S854" t="str">
            <v/>
          </cell>
          <cell r="T854" t="str">
            <v/>
          </cell>
        </row>
        <row r="855">
          <cell r="A855" t="str">
            <v/>
          </cell>
          <cell r="B855">
            <v>1851</v>
          </cell>
          <cell r="D855" t="str">
            <v/>
          </cell>
          <cell r="F855" t="str">
            <v/>
          </cell>
          <cell r="J855">
            <v>0</v>
          </cell>
          <cell r="L855">
            <v>0</v>
          </cell>
          <cell r="M855">
            <v>0</v>
          </cell>
          <cell r="N855">
            <v>0</v>
          </cell>
          <cell r="O855" t="str">
            <v/>
          </cell>
          <cell r="S855" t="str">
            <v/>
          </cell>
          <cell r="T855" t="str">
            <v/>
          </cell>
        </row>
        <row r="856">
          <cell r="A856" t="str">
            <v/>
          </cell>
          <cell r="B856">
            <v>1852</v>
          </cell>
          <cell r="D856" t="str">
            <v/>
          </cell>
          <cell r="F856" t="str">
            <v/>
          </cell>
          <cell r="J856">
            <v>0</v>
          </cell>
          <cell r="L856">
            <v>0</v>
          </cell>
          <cell r="M856">
            <v>0</v>
          </cell>
          <cell r="N856">
            <v>0</v>
          </cell>
          <cell r="O856" t="str">
            <v/>
          </cell>
          <cell r="S856" t="str">
            <v/>
          </cell>
          <cell r="T856" t="str">
            <v/>
          </cell>
        </row>
        <row r="857">
          <cell r="A857" t="str">
            <v/>
          </cell>
          <cell r="B857">
            <v>1853</v>
          </cell>
          <cell r="D857" t="str">
            <v/>
          </cell>
          <cell r="F857" t="str">
            <v/>
          </cell>
          <cell r="J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/>
          </cell>
          <cell r="S857" t="str">
            <v/>
          </cell>
          <cell r="T857" t="str">
            <v/>
          </cell>
        </row>
        <row r="858">
          <cell r="A858" t="str">
            <v/>
          </cell>
          <cell r="B858">
            <v>1854</v>
          </cell>
          <cell r="D858" t="str">
            <v/>
          </cell>
          <cell r="F858" t="str">
            <v/>
          </cell>
          <cell r="J858">
            <v>0</v>
          </cell>
          <cell r="L858">
            <v>0</v>
          </cell>
          <cell r="M858">
            <v>0</v>
          </cell>
          <cell r="N858">
            <v>0</v>
          </cell>
          <cell r="O858" t="str">
            <v/>
          </cell>
          <cell r="S858" t="str">
            <v/>
          </cell>
          <cell r="T858" t="str">
            <v/>
          </cell>
        </row>
        <row r="859">
          <cell r="A859" t="str">
            <v/>
          </cell>
          <cell r="B859">
            <v>1855</v>
          </cell>
          <cell r="D859" t="str">
            <v/>
          </cell>
          <cell r="F859" t="str">
            <v/>
          </cell>
          <cell r="J859">
            <v>0</v>
          </cell>
          <cell r="L859">
            <v>0</v>
          </cell>
          <cell r="M859">
            <v>0</v>
          </cell>
          <cell r="N859">
            <v>0</v>
          </cell>
          <cell r="O859" t="str">
            <v/>
          </cell>
          <cell r="S859" t="str">
            <v/>
          </cell>
          <cell r="T859" t="str">
            <v/>
          </cell>
        </row>
        <row r="860">
          <cell r="A860" t="str">
            <v/>
          </cell>
          <cell r="B860">
            <v>1856</v>
          </cell>
          <cell r="D860" t="str">
            <v/>
          </cell>
          <cell r="F860" t="str">
            <v/>
          </cell>
          <cell r="J860">
            <v>0</v>
          </cell>
          <cell r="L860">
            <v>0</v>
          </cell>
          <cell r="M860">
            <v>0</v>
          </cell>
          <cell r="N860">
            <v>0</v>
          </cell>
          <cell r="O860" t="str">
            <v/>
          </cell>
          <cell r="S860" t="str">
            <v/>
          </cell>
          <cell r="T860" t="str">
            <v/>
          </cell>
        </row>
        <row r="861">
          <cell r="A861" t="str">
            <v/>
          </cell>
          <cell r="B861">
            <v>1857</v>
          </cell>
          <cell r="D861" t="str">
            <v/>
          </cell>
          <cell r="F861" t="str">
            <v/>
          </cell>
          <cell r="J861">
            <v>0</v>
          </cell>
          <cell r="L861">
            <v>0</v>
          </cell>
          <cell r="M861">
            <v>0</v>
          </cell>
          <cell r="N861">
            <v>0</v>
          </cell>
          <cell r="O861" t="str">
            <v/>
          </cell>
          <cell r="S861" t="str">
            <v/>
          </cell>
          <cell r="T861" t="str">
            <v/>
          </cell>
        </row>
        <row r="862">
          <cell r="A862" t="str">
            <v/>
          </cell>
          <cell r="B862">
            <v>1858</v>
          </cell>
          <cell r="D862" t="str">
            <v/>
          </cell>
          <cell r="F862" t="str">
            <v/>
          </cell>
          <cell r="J862">
            <v>0</v>
          </cell>
          <cell r="L862">
            <v>0</v>
          </cell>
          <cell r="M862">
            <v>0</v>
          </cell>
          <cell r="N862">
            <v>0</v>
          </cell>
          <cell r="O862" t="str">
            <v/>
          </cell>
          <cell r="S862" t="str">
            <v/>
          </cell>
          <cell r="T862" t="str">
            <v/>
          </cell>
        </row>
        <row r="863">
          <cell r="A863" t="str">
            <v/>
          </cell>
          <cell r="B863">
            <v>1859</v>
          </cell>
          <cell r="D863" t="str">
            <v/>
          </cell>
          <cell r="F863" t="str">
            <v/>
          </cell>
          <cell r="J863">
            <v>0</v>
          </cell>
          <cell r="L863">
            <v>0</v>
          </cell>
          <cell r="M863">
            <v>0</v>
          </cell>
          <cell r="N863">
            <v>0</v>
          </cell>
          <cell r="O863" t="str">
            <v/>
          </cell>
          <cell r="S863" t="str">
            <v/>
          </cell>
          <cell r="T863" t="str">
            <v/>
          </cell>
        </row>
        <row r="864">
          <cell r="A864" t="str">
            <v/>
          </cell>
          <cell r="B864">
            <v>1860</v>
          </cell>
          <cell r="D864" t="str">
            <v/>
          </cell>
          <cell r="F864" t="str">
            <v/>
          </cell>
          <cell r="J864">
            <v>0</v>
          </cell>
          <cell r="L864">
            <v>0</v>
          </cell>
          <cell r="M864">
            <v>0</v>
          </cell>
          <cell r="N864">
            <v>0</v>
          </cell>
          <cell r="O864" t="str">
            <v/>
          </cell>
          <cell r="S864" t="str">
            <v/>
          </cell>
          <cell r="T864" t="str">
            <v/>
          </cell>
        </row>
        <row r="865">
          <cell r="A865" t="str">
            <v/>
          </cell>
          <cell r="B865">
            <v>1861</v>
          </cell>
          <cell r="D865" t="str">
            <v/>
          </cell>
          <cell r="F865" t="str">
            <v/>
          </cell>
          <cell r="J865">
            <v>0</v>
          </cell>
          <cell r="L865">
            <v>0</v>
          </cell>
          <cell r="M865">
            <v>0</v>
          </cell>
          <cell r="N865">
            <v>0</v>
          </cell>
          <cell r="O865" t="str">
            <v/>
          </cell>
          <cell r="S865" t="str">
            <v/>
          </cell>
          <cell r="T865" t="str">
            <v/>
          </cell>
        </row>
        <row r="866">
          <cell r="A866" t="str">
            <v/>
          </cell>
          <cell r="B866">
            <v>1862</v>
          </cell>
          <cell r="D866" t="str">
            <v/>
          </cell>
          <cell r="F866" t="str">
            <v/>
          </cell>
          <cell r="J866">
            <v>0</v>
          </cell>
          <cell r="L866">
            <v>0</v>
          </cell>
          <cell r="M866">
            <v>0</v>
          </cell>
          <cell r="N866">
            <v>0</v>
          </cell>
          <cell r="O866" t="str">
            <v/>
          </cell>
          <cell r="S866" t="str">
            <v/>
          </cell>
          <cell r="T866" t="str">
            <v/>
          </cell>
        </row>
        <row r="867">
          <cell r="A867" t="str">
            <v/>
          </cell>
          <cell r="B867">
            <v>1863</v>
          </cell>
          <cell r="D867" t="str">
            <v/>
          </cell>
          <cell r="F867" t="str">
            <v/>
          </cell>
          <cell r="J867">
            <v>0</v>
          </cell>
          <cell r="L867">
            <v>0</v>
          </cell>
          <cell r="M867">
            <v>0</v>
          </cell>
          <cell r="N867">
            <v>0</v>
          </cell>
          <cell r="O867" t="str">
            <v/>
          </cell>
          <cell r="S867" t="str">
            <v/>
          </cell>
          <cell r="T867" t="str">
            <v/>
          </cell>
        </row>
        <row r="868">
          <cell r="A868" t="str">
            <v/>
          </cell>
          <cell r="B868">
            <v>1864</v>
          </cell>
          <cell r="D868" t="str">
            <v/>
          </cell>
          <cell r="F868" t="str">
            <v/>
          </cell>
          <cell r="J868">
            <v>0</v>
          </cell>
          <cell r="L868">
            <v>0</v>
          </cell>
          <cell r="M868">
            <v>0</v>
          </cell>
          <cell r="N868">
            <v>0</v>
          </cell>
          <cell r="O868" t="str">
            <v/>
          </cell>
          <cell r="S868" t="str">
            <v/>
          </cell>
          <cell r="T868" t="str">
            <v/>
          </cell>
        </row>
        <row r="869">
          <cell r="A869" t="str">
            <v/>
          </cell>
          <cell r="B869">
            <v>1865</v>
          </cell>
          <cell r="D869" t="str">
            <v/>
          </cell>
          <cell r="F869" t="str">
            <v/>
          </cell>
          <cell r="J869">
            <v>0</v>
          </cell>
          <cell r="L869">
            <v>0</v>
          </cell>
          <cell r="M869">
            <v>0</v>
          </cell>
          <cell r="N869">
            <v>0</v>
          </cell>
          <cell r="O869" t="str">
            <v/>
          </cell>
          <cell r="S869" t="str">
            <v/>
          </cell>
          <cell r="T869" t="str">
            <v/>
          </cell>
        </row>
        <row r="870">
          <cell r="A870" t="str">
            <v/>
          </cell>
          <cell r="B870">
            <v>1866</v>
          </cell>
          <cell r="D870" t="str">
            <v/>
          </cell>
          <cell r="F870" t="str">
            <v/>
          </cell>
          <cell r="J870">
            <v>0</v>
          </cell>
          <cell r="L870">
            <v>0</v>
          </cell>
          <cell r="M870">
            <v>0</v>
          </cell>
          <cell r="N870">
            <v>0</v>
          </cell>
          <cell r="O870" t="str">
            <v/>
          </cell>
          <cell r="S870" t="str">
            <v/>
          </cell>
          <cell r="T870" t="str">
            <v/>
          </cell>
        </row>
        <row r="871">
          <cell r="A871" t="str">
            <v/>
          </cell>
          <cell r="B871">
            <v>1867</v>
          </cell>
          <cell r="D871" t="str">
            <v/>
          </cell>
          <cell r="F871" t="str">
            <v/>
          </cell>
          <cell r="J871">
            <v>0</v>
          </cell>
          <cell r="L871">
            <v>0</v>
          </cell>
          <cell r="M871">
            <v>0</v>
          </cell>
          <cell r="N871">
            <v>0</v>
          </cell>
          <cell r="O871" t="str">
            <v/>
          </cell>
          <cell r="S871" t="str">
            <v/>
          </cell>
          <cell r="T871" t="str">
            <v/>
          </cell>
        </row>
        <row r="872">
          <cell r="A872" t="str">
            <v/>
          </cell>
          <cell r="B872">
            <v>1868</v>
          </cell>
          <cell r="D872" t="str">
            <v/>
          </cell>
          <cell r="F872" t="str">
            <v/>
          </cell>
          <cell r="J872">
            <v>0</v>
          </cell>
          <cell r="L872">
            <v>0</v>
          </cell>
          <cell r="M872">
            <v>0</v>
          </cell>
          <cell r="N872">
            <v>0</v>
          </cell>
          <cell r="O872" t="str">
            <v/>
          </cell>
          <cell r="S872" t="str">
            <v/>
          </cell>
          <cell r="T872" t="str">
            <v/>
          </cell>
        </row>
        <row r="873">
          <cell r="A873" t="str">
            <v/>
          </cell>
          <cell r="B873">
            <v>1869</v>
          </cell>
          <cell r="D873" t="str">
            <v/>
          </cell>
          <cell r="F873" t="str">
            <v/>
          </cell>
          <cell r="J873">
            <v>0</v>
          </cell>
          <cell r="L873">
            <v>0</v>
          </cell>
          <cell r="M873">
            <v>0</v>
          </cell>
          <cell r="N873">
            <v>0</v>
          </cell>
          <cell r="O873" t="str">
            <v/>
          </cell>
          <cell r="S873" t="str">
            <v/>
          </cell>
          <cell r="T873" t="str">
            <v/>
          </cell>
        </row>
        <row r="874">
          <cell r="A874" t="str">
            <v/>
          </cell>
          <cell r="B874">
            <v>1870</v>
          </cell>
          <cell r="D874" t="str">
            <v/>
          </cell>
          <cell r="F874" t="str">
            <v/>
          </cell>
          <cell r="J874">
            <v>0</v>
          </cell>
          <cell r="L874">
            <v>0</v>
          </cell>
          <cell r="M874">
            <v>0</v>
          </cell>
          <cell r="N874">
            <v>0</v>
          </cell>
          <cell r="O874" t="str">
            <v/>
          </cell>
          <cell r="S874" t="str">
            <v/>
          </cell>
          <cell r="T874" t="str">
            <v/>
          </cell>
        </row>
        <row r="875">
          <cell r="A875" t="str">
            <v/>
          </cell>
          <cell r="B875">
            <v>1871</v>
          </cell>
          <cell r="D875" t="str">
            <v/>
          </cell>
          <cell r="F875" t="str">
            <v/>
          </cell>
          <cell r="J875">
            <v>0</v>
          </cell>
          <cell r="L875">
            <v>0</v>
          </cell>
          <cell r="M875">
            <v>0</v>
          </cell>
          <cell r="N875">
            <v>0</v>
          </cell>
          <cell r="O875" t="str">
            <v/>
          </cell>
          <cell r="S875" t="str">
            <v/>
          </cell>
          <cell r="T875" t="str">
            <v/>
          </cell>
        </row>
        <row r="876">
          <cell r="A876" t="str">
            <v/>
          </cell>
          <cell r="B876">
            <v>1872</v>
          </cell>
          <cell r="D876" t="str">
            <v/>
          </cell>
          <cell r="F876" t="str">
            <v/>
          </cell>
          <cell r="J876">
            <v>0</v>
          </cell>
          <cell r="L876">
            <v>0</v>
          </cell>
          <cell r="M876">
            <v>0</v>
          </cell>
          <cell r="N876">
            <v>0</v>
          </cell>
          <cell r="O876" t="str">
            <v/>
          </cell>
          <cell r="S876" t="str">
            <v/>
          </cell>
          <cell r="T876" t="str">
            <v/>
          </cell>
        </row>
        <row r="877">
          <cell r="A877" t="str">
            <v/>
          </cell>
          <cell r="B877">
            <v>1873</v>
          </cell>
          <cell r="D877" t="str">
            <v/>
          </cell>
          <cell r="F877" t="str">
            <v/>
          </cell>
          <cell r="J877">
            <v>0</v>
          </cell>
          <cell r="L877">
            <v>0</v>
          </cell>
          <cell r="M877">
            <v>0</v>
          </cell>
          <cell r="N877">
            <v>0</v>
          </cell>
          <cell r="O877" t="str">
            <v/>
          </cell>
          <cell r="S877" t="str">
            <v/>
          </cell>
          <cell r="T877" t="str">
            <v/>
          </cell>
        </row>
        <row r="878">
          <cell r="A878" t="str">
            <v/>
          </cell>
          <cell r="B878">
            <v>1874</v>
          </cell>
          <cell r="D878" t="str">
            <v/>
          </cell>
          <cell r="F878" t="str">
            <v/>
          </cell>
          <cell r="J878">
            <v>0</v>
          </cell>
          <cell r="L878">
            <v>0</v>
          </cell>
          <cell r="M878">
            <v>0</v>
          </cell>
          <cell r="N878">
            <v>0</v>
          </cell>
          <cell r="O878" t="str">
            <v/>
          </cell>
          <cell r="S878" t="str">
            <v/>
          </cell>
          <cell r="T878" t="str">
            <v/>
          </cell>
        </row>
        <row r="879">
          <cell r="A879" t="str">
            <v/>
          </cell>
          <cell r="B879">
            <v>1875</v>
          </cell>
          <cell r="D879" t="str">
            <v/>
          </cell>
          <cell r="F879" t="str">
            <v/>
          </cell>
          <cell r="J879">
            <v>0</v>
          </cell>
          <cell r="L879">
            <v>0</v>
          </cell>
          <cell r="M879">
            <v>0</v>
          </cell>
          <cell r="N879">
            <v>0</v>
          </cell>
          <cell r="O879" t="str">
            <v/>
          </cell>
          <cell r="S879" t="str">
            <v/>
          </cell>
          <cell r="T879" t="str">
            <v/>
          </cell>
        </row>
        <row r="880">
          <cell r="A880" t="str">
            <v/>
          </cell>
          <cell r="B880">
            <v>1876</v>
          </cell>
          <cell r="D880" t="str">
            <v/>
          </cell>
          <cell r="F880" t="str">
            <v/>
          </cell>
          <cell r="J880">
            <v>0</v>
          </cell>
          <cell r="L880">
            <v>0</v>
          </cell>
          <cell r="M880">
            <v>0</v>
          </cell>
          <cell r="N880">
            <v>0</v>
          </cell>
          <cell r="O880" t="str">
            <v/>
          </cell>
          <cell r="S880" t="str">
            <v/>
          </cell>
          <cell r="T880" t="str">
            <v/>
          </cell>
        </row>
        <row r="881">
          <cell r="A881" t="str">
            <v/>
          </cell>
          <cell r="B881">
            <v>1877</v>
          </cell>
          <cell r="D881" t="str">
            <v/>
          </cell>
          <cell r="F881" t="str">
            <v/>
          </cell>
          <cell r="J881">
            <v>0</v>
          </cell>
          <cell r="L881">
            <v>0</v>
          </cell>
          <cell r="M881">
            <v>0</v>
          </cell>
          <cell r="N881">
            <v>0</v>
          </cell>
          <cell r="O881" t="str">
            <v/>
          </cell>
          <cell r="S881" t="str">
            <v/>
          </cell>
          <cell r="T881" t="str">
            <v/>
          </cell>
        </row>
        <row r="882">
          <cell r="A882" t="str">
            <v/>
          </cell>
          <cell r="B882">
            <v>1878</v>
          </cell>
          <cell r="D882" t="str">
            <v/>
          </cell>
          <cell r="F882" t="str">
            <v/>
          </cell>
          <cell r="J882">
            <v>0</v>
          </cell>
          <cell r="L882">
            <v>0</v>
          </cell>
          <cell r="M882">
            <v>0</v>
          </cell>
          <cell r="N882">
            <v>0</v>
          </cell>
          <cell r="O882" t="str">
            <v/>
          </cell>
          <cell r="S882" t="str">
            <v/>
          </cell>
          <cell r="T882" t="str">
            <v/>
          </cell>
        </row>
        <row r="883">
          <cell r="A883" t="str">
            <v/>
          </cell>
          <cell r="B883">
            <v>1879</v>
          </cell>
          <cell r="D883" t="str">
            <v/>
          </cell>
          <cell r="F883" t="str">
            <v/>
          </cell>
          <cell r="J883">
            <v>0</v>
          </cell>
          <cell r="L883">
            <v>0</v>
          </cell>
          <cell r="M883">
            <v>0</v>
          </cell>
          <cell r="N883">
            <v>0</v>
          </cell>
          <cell r="O883" t="str">
            <v/>
          </cell>
          <cell r="S883" t="str">
            <v/>
          </cell>
          <cell r="T883" t="str">
            <v/>
          </cell>
        </row>
        <row r="884">
          <cell r="A884" t="str">
            <v/>
          </cell>
          <cell r="B884">
            <v>1880</v>
          </cell>
          <cell r="D884" t="str">
            <v/>
          </cell>
          <cell r="F884" t="str">
            <v/>
          </cell>
          <cell r="J884">
            <v>0</v>
          </cell>
          <cell r="L884">
            <v>0</v>
          </cell>
          <cell r="M884">
            <v>0</v>
          </cell>
          <cell r="N884">
            <v>0</v>
          </cell>
          <cell r="O884" t="str">
            <v/>
          </cell>
          <cell r="S884" t="str">
            <v/>
          </cell>
          <cell r="T884" t="str">
            <v/>
          </cell>
        </row>
        <row r="885">
          <cell r="A885" t="str">
            <v/>
          </cell>
          <cell r="B885">
            <v>1881</v>
          </cell>
          <cell r="D885" t="str">
            <v/>
          </cell>
          <cell r="F885" t="str">
            <v/>
          </cell>
          <cell r="J885">
            <v>0</v>
          </cell>
          <cell r="L885">
            <v>0</v>
          </cell>
          <cell r="M885">
            <v>0</v>
          </cell>
          <cell r="N885">
            <v>0</v>
          </cell>
          <cell r="O885" t="str">
            <v/>
          </cell>
          <cell r="S885" t="str">
            <v/>
          </cell>
          <cell r="T885" t="str">
            <v/>
          </cell>
        </row>
        <row r="886">
          <cell r="A886" t="str">
            <v/>
          </cell>
          <cell r="B886">
            <v>1882</v>
          </cell>
          <cell r="D886" t="str">
            <v/>
          </cell>
          <cell r="F886" t="str">
            <v/>
          </cell>
          <cell r="J886">
            <v>0</v>
          </cell>
          <cell r="L886">
            <v>0</v>
          </cell>
          <cell r="M886">
            <v>0</v>
          </cell>
          <cell r="N886">
            <v>0</v>
          </cell>
          <cell r="O886" t="str">
            <v/>
          </cell>
          <cell r="S886" t="str">
            <v/>
          </cell>
          <cell r="T886" t="str">
            <v/>
          </cell>
        </row>
        <row r="887">
          <cell r="A887" t="str">
            <v/>
          </cell>
          <cell r="B887">
            <v>1883</v>
          </cell>
          <cell r="D887" t="str">
            <v/>
          </cell>
          <cell r="F887" t="str">
            <v/>
          </cell>
          <cell r="J887">
            <v>0</v>
          </cell>
          <cell r="L887">
            <v>0</v>
          </cell>
          <cell r="M887">
            <v>0</v>
          </cell>
          <cell r="N887">
            <v>0</v>
          </cell>
          <cell r="O887" t="str">
            <v/>
          </cell>
          <cell r="S887" t="str">
            <v/>
          </cell>
          <cell r="T887" t="str">
            <v/>
          </cell>
        </row>
        <row r="888">
          <cell r="A888" t="str">
            <v/>
          </cell>
          <cell r="B888">
            <v>1884</v>
          </cell>
          <cell r="D888" t="str">
            <v/>
          </cell>
          <cell r="F888" t="str">
            <v/>
          </cell>
          <cell r="J888">
            <v>0</v>
          </cell>
          <cell r="L888">
            <v>0</v>
          </cell>
          <cell r="M888">
            <v>0</v>
          </cell>
          <cell r="N888">
            <v>0</v>
          </cell>
          <cell r="O888" t="str">
            <v/>
          </cell>
          <cell r="S888" t="str">
            <v/>
          </cell>
          <cell r="T888" t="str">
            <v/>
          </cell>
        </row>
        <row r="889">
          <cell r="A889" t="str">
            <v/>
          </cell>
          <cell r="B889">
            <v>1885</v>
          </cell>
          <cell r="D889" t="str">
            <v/>
          </cell>
          <cell r="F889" t="str">
            <v/>
          </cell>
          <cell r="J889">
            <v>0</v>
          </cell>
          <cell r="L889">
            <v>0</v>
          </cell>
          <cell r="M889">
            <v>0</v>
          </cell>
          <cell r="N889">
            <v>0</v>
          </cell>
          <cell r="O889" t="str">
            <v/>
          </cell>
          <cell r="S889" t="str">
            <v/>
          </cell>
          <cell r="T889" t="str">
            <v/>
          </cell>
        </row>
        <row r="890">
          <cell r="A890" t="str">
            <v/>
          </cell>
          <cell r="B890">
            <v>1886</v>
          </cell>
          <cell r="D890" t="str">
            <v/>
          </cell>
          <cell r="F890" t="str">
            <v/>
          </cell>
          <cell r="J890">
            <v>0</v>
          </cell>
          <cell r="L890">
            <v>0</v>
          </cell>
          <cell r="M890">
            <v>0</v>
          </cell>
          <cell r="N890">
            <v>0</v>
          </cell>
          <cell r="O890" t="str">
            <v/>
          </cell>
          <cell r="S890" t="str">
            <v/>
          </cell>
          <cell r="T890" t="str">
            <v/>
          </cell>
        </row>
        <row r="891">
          <cell r="A891" t="str">
            <v/>
          </cell>
          <cell r="B891">
            <v>1887</v>
          </cell>
          <cell r="D891" t="str">
            <v/>
          </cell>
          <cell r="F891" t="str">
            <v/>
          </cell>
          <cell r="J891">
            <v>0</v>
          </cell>
          <cell r="L891">
            <v>0</v>
          </cell>
          <cell r="M891">
            <v>0</v>
          </cell>
          <cell r="N891">
            <v>0</v>
          </cell>
          <cell r="O891" t="str">
            <v/>
          </cell>
          <cell r="S891" t="str">
            <v/>
          </cell>
          <cell r="T891" t="str">
            <v/>
          </cell>
        </row>
        <row r="892">
          <cell r="A892" t="str">
            <v/>
          </cell>
          <cell r="B892">
            <v>1888</v>
          </cell>
          <cell r="D892" t="str">
            <v/>
          </cell>
          <cell r="F892" t="str">
            <v/>
          </cell>
          <cell r="J892">
            <v>0</v>
          </cell>
          <cell r="L892">
            <v>0</v>
          </cell>
          <cell r="M892">
            <v>0</v>
          </cell>
          <cell r="N892">
            <v>0</v>
          </cell>
          <cell r="O892" t="str">
            <v/>
          </cell>
          <cell r="S892" t="str">
            <v/>
          </cell>
          <cell r="T892" t="str">
            <v/>
          </cell>
        </row>
        <row r="893">
          <cell r="A893" t="str">
            <v/>
          </cell>
          <cell r="B893">
            <v>1889</v>
          </cell>
          <cell r="D893" t="str">
            <v/>
          </cell>
          <cell r="F893" t="str">
            <v/>
          </cell>
          <cell r="J893">
            <v>0</v>
          </cell>
          <cell r="L893">
            <v>0</v>
          </cell>
          <cell r="M893">
            <v>0</v>
          </cell>
          <cell r="N893">
            <v>0</v>
          </cell>
          <cell r="O893" t="str">
            <v/>
          </cell>
          <cell r="S893" t="str">
            <v/>
          </cell>
          <cell r="T893" t="str">
            <v/>
          </cell>
        </row>
        <row r="894">
          <cell r="A894" t="str">
            <v/>
          </cell>
          <cell r="B894">
            <v>1890</v>
          </cell>
          <cell r="D894" t="str">
            <v/>
          </cell>
          <cell r="F894" t="str">
            <v/>
          </cell>
          <cell r="J894">
            <v>0</v>
          </cell>
          <cell r="L894">
            <v>0</v>
          </cell>
          <cell r="M894">
            <v>0</v>
          </cell>
          <cell r="N894">
            <v>0</v>
          </cell>
          <cell r="O894" t="str">
            <v/>
          </cell>
          <cell r="S894" t="str">
            <v/>
          </cell>
          <cell r="T894" t="str">
            <v/>
          </cell>
        </row>
        <row r="895">
          <cell r="A895" t="str">
            <v/>
          </cell>
          <cell r="B895">
            <v>1891</v>
          </cell>
          <cell r="D895" t="str">
            <v/>
          </cell>
          <cell r="F895" t="str">
            <v/>
          </cell>
          <cell r="J895">
            <v>0</v>
          </cell>
          <cell r="L895">
            <v>0</v>
          </cell>
          <cell r="M895">
            <v>0</v>
          </cell>
          <cell r="N895">
            <v>0</v>
          </cell>
          <cell r="O895" t="str">
            <v/>
          </cell>
          <cell r="S895" t="str">
            <v/>
          </cell>
          <cell r="T895" t="str">
            <v/>
          </cell>
        </row>
        <row r="896">
          <cell r="A896" t="str">
            <v/>
          </cell>
          <cell r="B896">
            <v>1892</v>
          </cell>
          <cell r="D896" t="str">
            <v/>
          </cell>
          <cell r="F896" t="str">
            <v/>
          </cell>
          <cell r="J896">
            <v>0</v>
          </cell>
          <cell r="L896">
            <v>0</v>
          </cell>
          <cell r="M896">
            <v>0</v>
          </cell>
          <cell r="N896">
            <v>0</v>
          </cell>
          <cell r="O896" t="str">
            <v/>
          </cell>
          <cell r="S896" t="str">
            <v/>
          </cell>
          <cell r="T896" t="str">
            <v/>
          </cell>
        </row>
        <row r="897">
          <cell r="A897" t="str">
            <v/>
          </cell>
          <cell r="B897">
            <v>1893</v>
          </cell>
          <cell r="D897" t="str">
            <v/>
          </cell>
          <cell r="F897" t="str">
            <v/>
          </cell>
          <cell r="J897">
            <v>0</v>
          </cell>
          <cell r="L897">
            <v>0</v>
          </cell>
          <cell r="M897">
            <v>0</v>
          </cell>
          <cell r="N897">
            <v>0</v>
          </cell>
          <cell r="O897" t="str">
            <v/>
          </cell>
          <cell r="S897" t="str">
            <v/>
          </cell>
          <cell r="T897" t="str">
            <v/>
          </cell>
        </row>
        <row r="898">
          <cell r="A898" t="str">
            <v/>
          </cell>
          <cell r="B898">
            <v>1894</v>
          </cell>
          <cell r="D898" t="str">
            <v/>
          </cell>
          <cell r="F898" t="str">
            <v/>
          </cell>
          <cell r="J898">
            <v>0</v>
          </cell>
          <cell r="L898">
            <v>0</v>
          </cell>
          <cell r="M898">
            <v>0</v>
          </cell>
          <cell r="N898">
            <v>0</v>
          </cell>
          <cell r="O898" t="str">
            <v/>
          </cell>
          <cell r="S898" t="str">
            <v/>
          </cell>
          <cell r="T898" t="str">
            <v/>
          </cell>
        </row>
        <row r="899">
          <cell r="A899" t="str">
            <v/>
          </cell>
          <cell r="B899">
            <v>1895</v>
          </cell>
          <cell r="D899" t="str">
            <v/>
          </cell>
          <cell r="F899" t="str">
            <v/>
          </cell>
          <cell r="J899">
            <v>0</v>
          </cell>
          <cell r="L899">
            <v>0</v>
          </cell>
          <cell r="M899">
            <v>0</v>
          </cell>
          <cell r="N899">
            <v>0</v>
          </cell>
          <cell r="O899" t="str">
            <v/>
          </cell>
          <cell r="S899" t="str">
            <v/>
          </cell>
          <cell r="T899" t="str">
            <v/>
          </cell>
        </row>
        <row r="900">
          <cell r="A900" t="str">
            <v/>
          </cell>
          <cell r="B900">
            <v>1896</v>
          </cell>
          <cell r="D900" t="str">
            <v/>
          </cell>
          <cell r="F900" t="str">
            <v/>
          </cell>
          <cell r="J900">
            <v>0</v>
          </cell>
          <cell r="L900">
            <v>0</v>
          </cell>
          <cell r="M900">
            <v>0</v>
          </cell>
          <cell r="N900">
            <v>0</v>
          </cell>
          <cell r="O900" t="str">
            <v/>
          </cell>
          <cell r="S900" t="str">
            <v/>
          </cell>
          <cell r="T900" t="str">
            <v/>
          </cell>
        </row>
        <row r="901">
          <cell r="A901" t="str">
            <v/>
          </cell>
          <cell r="B901">
            <v>1897</v>
          </cell>
          <cell r="D901" t="str">
            <v/>
          </cell>
          <cell r="F901" t="str">
            <v/>
          </cell>
          <cell r="J901">
            <v>0</v>
          </cell>
          <cell r="L901">
            <v>0</v>
          </cell>
          <cell r="M901">
            <v>0</v>
          </cell>
          <cell r="N901">
            <v>0</v>
          </cell>
          <cell r="O901" t="str">
            <v/>
          </cell>
          <cell r="S901" t="str">
            <v/>
          </cell>
          <cell r="T901" t="str">
            <v/>
          </cell>
        </row>
        <row r="902">
          <cell r="A902" t="str">
            <v/>
          </cell>
          <cell r="B902">
            <v>1898</v>
          </cell>
          <cell r="D902" t="str">
            <v/>
          </cell>
          <cell r="F902" t="str">
            <v/>
          </cell>
          <cell r="J902">
            <v>0</v>
          </cell>
          <cell r="L902">
            <v>0</v>
          </cell>
          <cell r="M902">
            <v>0</v>
          </cell>
          <cell r="N902">
            <v>0</v>
          </cell>
          <cell r="O902" t="str">
            <v/>
          </cell>
          <cell r="S902" t="str">
            <v/>
          </cell>
          <cell r="T902" t="str">
            <v/>
          </cell>
        </row>
        <row r="903">
          <cell r="A903" t="str">
            <v/>
          </cell>
          <cell r="B903">
            <v>1899</v>
          </cell>
          <cell r="D903" t="str">
            <v/>
          </cell>
          <cell r="F903" t="str">
            <v/>
          </cell>
          <cell r="J903">
            <v>0</v>
          </cell>
          <cell r="L903">
            <v>0</v>
          </cell>
          <cell r="M903">
            <v>0</v>
          </cell>
          <cell r="N903">
            <v>0</v>
          </cell>
          <cell r="O903" t="str">
            <v/>
          </cell>
          <cell r="S903" t="str">
            <v/>
          </cell>
          <cell r="T903" t="str">
            <v/>
          </cell>
        </row>
        <row r="904">
          <cell r="A904" t="str">
            <v/>
          </cell>
          <cell r="B904">
            <v>1900</v>
          </cell>
          <cell r="D904" t="str">
            <v/>
          </cell>
          <cell r="F904" t="str">
            <v/>
          </cell>
          <cell r="J904">
            <v>0</v>
          </cell>
          <cell r="L904">
            <v>0</v>
          </cell>
          <cell r="M904">
            <v>0</v>
          </cell>
          <cell r="N904">
            <v>0</v>
          </cell>
          <cell r="O904" t="str">
            <v/>
          </cell>
          <cell r="S904" t="str">
            <v/>
          </cell>
          <cell r="T904" t="str">
            <v/>
          </cell>
        </row>
        <row r="905">
          <cell r="A905" t="str">
            <v/>
          </cell>
          <cell r="B905">
            <v>1901</v>
          </cell>
          <cell r="D905" t="str">
            <v/>
          </cell>
          <cell r="F905" t="str">
            <v/>
          </cell>
          <cell r="J905">
            <v>0</v>
          </cell>
          <cell r="L905">
            <v>0</v>
          </cell>
          <cell r="M905">
            <v>0</v>
          </cell>
          <cell r="N905">
            <v>0</v>
          </cell>
          <cell r="O905" t="str">
            <v/>
          </cell>
          <cell r="S905" t="str">
            <v/>
          </cell>
          <cell r="T905" t="str">
            <v/>
          </cell>
        </row>
        <row r="906">
          <cell r="A906" t="str">
            <v/>
          </cell>
          <cell r="B906">
            <v>1902</v>
          </cell>
          <cell r="D906" t="str">
            <v/>
          </cell>
          <cell r="F906" t="str">
            <v/>
          </cell>
          <cell r="J906">
            <v>0</v>
          </cell>
          <cell r="L906">
            <v>0</v>
          </cell>
          <cell r="M906">
            <v>0</v>
          </cell>
          <cell r="N906">
            <v>0</v>
          </cell>
          <cell r="O906" t="str">
            <v/>
          </cell>
          <cell r="S906" t="str">
            <v/>
          </cell>
          <cell r="T906" t="str">
            <v/>
          </cell>
        </row>
        <row r="907">
          <cell r="A907" t="str">
            <v/>
          </cell>
          <cell r="B907">
            <v>1903</v>
          </cell>
          <cell r="D907" t="str">
            <v/>
          </cell>
          <cell r="F907" t="str">
            <v/>
          </cell>
          <cell r="J907">
            <v>0</v>
          </cell>
          <cell r="L907">
            <v>0</v>
          </cell>
          <cell r="M907">
            <v>0</v>
          </cell>
          <cell r="N907">
            <v>0</v>
          </cell>
          <cell r="O907" t="str">
            <v/>
          </cell>
          <cell r="S907" t="str">
            <v/>
          </cell>
          <cell r="T907" t="str">
            <v/>
          </cell>
        </row>
        <row r="908">
          <cell r="A908" t="str">
            <v/>
          </cell>
          <cell r="B908">
            <v>1904</v>
          </cell>
          <cell r="D908" t="str">
            <v/>
          </cell>
          <cell r="F908" t="str">
            <v/>
          </cell>
          <cell r="J908">
            <v>0</v>
          </cell>
          <cell r="L908">
            <v>0</v>
          </cell>
          <cell r="M908">
            <v>0</v>
          </cell>
          <cell r="N908">
            <v>0</v>
          </cell>
          <cell r="O908" t="str">
            <v/>
          </cell>
          <cell r="S908" t="str">
            <v/>
          </cell>
          <cell r="T908" t="str">
            <v/>
          </cell>
        </row>
        <row r="909">
          <cell r="A909" t="str">
            <v/>
          </cell>
          <cell r="B909">
            <v>1905</v>
          </cell>
          <cell r="D909" t="str">
            <v/>
          </cell>
          <cell r="F909" t="str">
            <v/>
          </cell>
          <cell r="J909">
            <v>0</v>
          </cell>
          <cell r="L909">
            <v>0</v>
          </cell>
          <cell r="M909">
            <v>0</v>
          </cell>
          <cell r="N909">
            <v>0</v>
          </cell>
          <cell r="O909" t="str">
            <v/>
          </cell>
          <cell r="S909" t="str">
            <v/>
          </cell>
          <cell r="T909" t="str">
            <v/>
          </cell>
        </row>
        <row r="910">
          <cell r="A910" t="str">
            <v/>
          </cell>
          <cell r="B910">
            <v>1906</v>
          </cell>
          <cell r="D910" t="str">
            <v/>
          </cell>
          <cell r="F910" t="str">
            <v/>
          </cell>
          <cell r="J910">
            <v>0</v>
          </cell>
          <cell r="L910">
            <v>0</v>
          </cell>
          <cell r="M910">
            <v>0</v>
          </cell>
          <cell r="N910">
            <v>0</v>
          </cell>
          <cell r="O910" t="str">
            <v/>
          </cell>
          <cell r="S910" t="str">
            <v/>
          </cell>
          <cell r="T910" t="str">
            <v/>
          </cell>
        </row>
        <row r="911">
          <cell r="A911" t="str">
            <v/>
          </cell>
          <cell r="B911">
            <v>1907</v>
          </cell>
          <cell r="D911" t="str">
            <v/>
          </cell>
          <cell r="F911" t="str">
            <v/>
          </cell>
          <cell r="J911">
            <v>0</v>
          </cell>
          <cell r="L911">
            <v>0</v>
          </cell>
          <cell r="M911">
            <v>0</v>
          </cell>
          <cell r="N911">
            <v>0</v>
          </cell>
          <cell r="O911" t="str">
            <v/>
          </cell>
          <cell r="S911" t="str">
            <v/>
          </cell>
          <cell r="T911" t="str">
            <v/>
          </cell>
        </row>
        <row r="912">
          <cell r="A912" t="str">
            <v/>
          </cell>
          <cell r="B912">
            <v>1908</v>
          </cell>
          <cell r="D912" t="str">
            <v/>
          </cell>
          <cell r="F912" t="str">
            <v/>
          </cell>
          <cell r="J912">
            <v>0</v>
          </cell>
          <cell r="L912">
            <v>0</v>
          </cell>
          <cell r="M912">
            <v>0</v>
          </cell>
          <cell r="N912">
            <v>0</v>
          </cell>
          <cell r="O912" t="str">
            <v/>
          </cell>
          <cell r="S912" t="str">
            <v/>
          </cell>
          <cell r="T912" t="str">
            <v/>
          </cell>
        </row>
        <row r="913">
          <cell r="A913" t="str">
            <v/>
          </cell>
          <cell r="B913">
            <v>1909</v>
          </cell>
          <cell r="D913" t="str">
            <v/>
          </cell>
          <cell r="F913" t="str">
            <v/>
          </cell>
          <cell r="J913">
            <v>0</v>
          </cell>
          <cell r="L913">
            <v>0</v>
          </cell>
          <cell r="M913">
            <v>0</v>
          </cell>
          <cell r="N913">
            <v>0</v>
          </cell>
          <cell r="O913" t="str">
            <v/>
          </cell>
          <cell r="S913" t="str">
            <v/>
          </cell>
          <cell r="T913" t="str">
            <v/>
          </cell>
        </row>
        <row r="914">
          <cell r="A914" t="str">
            <v/>
          </cell>
          <cell r="B914">
            <v>1910</v>
          </cell>
          <cell r="D914" t="str">
            <v/>
          </cell>
          <cell r="F914" t="str">
            <v/>
          </cell>
          <cell r="J914">
            <v>0</v>
          </cell>
          <cell r="L914">
            <v>0</v>
          </cell>
          <cell r="M914">
            <v>0</v>
          </cell>
          <cell r="N914">
            <v>0</v>
          </cell>
          <cell r="O914" t="str">
            <v/>
          </cell>
          <cell r="S914" t="str">
            <v/>
          </cell>
          <cell r="T914" t="str">
            <v/>
          </cell>
        </row>
        <row r="915">
          <cell r="A915" t="str">
            <v/>
          </cell>
          <cell r="B915">
            <v>1911</v>
          </cell>
          <cell r="D915" t="str">
            <v/>
          </cell>
          <cell r="F915" t="str">
            <v/>
          </cell>
          <cell r="J915">
            <v>0</v>
          </cell>
          <cell r="L915">
            <v>0</v>
          </cell>
          <cell r="M915">
            <v>0</v>
          </cell>
          <cell r="N915">
            <v>0</v>
          </cell>
          <cell r="O915" t="str">
            <v/>
          </cell>
          <cell r="S915" t="str">
            <v/>
          </cell>
          <cell r="T915" t="str">
            <v/>
          </cell>
        </row>
        <row r="916">
          <cell r="A916" t="str">
            <v/>
          </cell>
          <cell r="B916">
            <v>1912</v>
          </cell>
          <cell r="D916" t="str">
            <v/>
          </cell>
          <cell r="F916" t="str">
            <v/>
          </cell>
          <cell r="J916">
            <v>0</v>
          </cell>
          <cell r="L916">
            <v>0</v>
          </cell>
          <cell r="M916">
            <v>0</v>
          </cell>
          <cell r="N916">
            <v>0</v>
          </cell>
          <cell r="O916" t="str">
            <v/>
          </cell>
          <cell r="S916" t="str">
            <v/>
          </cell>
          <cell r="T916" t="str">
            <v/>
          </cell>
        </row>
        <row r="917">
          <cell r="A917" t="str">
            <v/>
          </cell>
          <cell r="B917">
            <v>1913</v>
          </cell>
          <cell r="D917" t="str">
            <v/>
          </cell>
          <cell r="F917" t="str">
            <v/>
          </cell>
          <cell r="J917">
            <v>0</v>
          </cell>
          <cell r="L917">
            <v>0</v>
          </cell>
          <cell r="M917">
            <v>0</v>
          </cell>
          <cell r="N917">
            <v>0</v>
          </cell>
          <cell r="O917" t="str">
            <v/>
          </cell>
          <cell r="S917" t="str">
            <v/>
          </cell>
          <cell r="T917" t="str">
            <v/>
          </cell>
        </row>
        <row r="918">
          <cell r="A918" t="str">
            <v/>
          </cell>
          <cell r="B918">
            <v>1914</v>
          </cell>
          <cell r="D918" t="str">
            <v/>
          </cell>
          <cell r="F918" t="str">
            <v/>
          </cell>
          <cell r="J918">
            <v>0</v>
          </cell>
          <cell r="L918">
            <v>0</v>
          </cell>
          <cell r="M918">
            <v>0</v>
          </cell>
          <cell r="N918">
            <v>0</v>
          </cell>
          <cell r="O918" t="str">
            <v/>
          </cell>
          <cell r="S918" t="str">
            <v/>
          </cell>
          <cell r="T918" t="str">
            <v/>
          </cell>
        </row>
        <row r="919">
          <cell r="A919" t="str">
            <v/>
          </cell>
          <cell r="B919">
            <v>1915</v>
          </cell>
          <cell r="D919" t="str">
            <v/>
          </cell>
          <cell r="F919" t="str">
            <v/>
          </cell>
          <cell r="J919">
            <v>0</v>
          </cell>
          <cell r="L919">
            <v>0</v>
          </cell>
          <cell r="M919">
            <v>0</v>
          </cell>
          <cell r="N919">
            <v>0</v>
          </cell>
          <cell r="O919" t="str">
            <v/>
          </cell>
          <cell r="S919" t="str">
            <v/>
          </cell>
          <cell r="T919" t="str">
            <v/>
          </cell>
        </row>
        <row r="920">
          <cell r="A920" t="str">
            <v/>
          </cell>
          <cell r="B920">
            <v>1916</v>
          </cell>
          <cell r="D920" t="str">
            <v/>
          </cell>
          <cell r="F920" t="str">
            <v/>
          </cell>
          <cell r="J920">
            <v>0</v>
          </cell>
          <cell r="L920">
            <v>0</v>
          </cell>
          <cell r="M920">
            <v>0</v>
          </cell>
          <cell r="N920">
            <v>0</v>
          </cell>
          <cell r="O920" t="str">
            <v/>
          </cell>
          <cell r="S920" t="str">
            <v/>
          </cell>
          <cell r="T920" t="str">
            <v/>
          </cell>
        </row>
        <row r="921">
          <cell r="A921" t="str">
            <v/>
          </cell>
          <cell r="B921">
            <v>1917</v>
          </cell>
          <cell r="D921" t="str">
            <v/>
          </cell>
          <cell r="F921" t="str">
            <v/>
          </cell>
          <cell r="J921">
            <v>0</v>
          </cell>
          <cell r="L921">
            <v>0</v>
          </cell>
          <cell r="M921">
            <v>0</v>
          </cell>
          <cell r="N921">
            <v>0</v>
          </cell>
          <cell r="O921" t="str">
            <v/>
          </cell>
          <cell r="S921" t="str">
            <v/>
          </cell>
          <cell r="T921" t="str">
            <v/>
          </cell>
        </row>
        <row r="922">
          <cell r="A922" t="str">
            <v/>
          </cell>
          <cell r="B922">
            <v>1918</v>
          </cell>
          <cell r="D922" t="str">
            <v/>
          </cell>
          <cell r="F922" t="str">
            <v/>
          </cell>
          <cell r="J922">
            <v>0</v>
          </cell>
          <cell r="L922">
            <v>0</v>
          </cell>
          <cell r="M922">
            <v>0</v>
          </cell>
          <cell r="N922">
            <v>0</v>
          </cell>
          <cell r="O922" t="str">
            <v/>
          </cell>
          <cell r="S922" t="str">
            <v/>
          </cell>
          <cell r="T922" t="str">
            <v/>
          </cell>
        </row>
        <row r="923">
          <cell r="A923" t="str">
            <v/>
          </cell>
          <cell r="B923">
            <v>1919</v>
          </cell>
          <cell r="D923" t="str">
            <v/>
          </cell>
          <cell r="F923" t="str">
            <v/>
          </cell>
          <cell r="J923">
            <v>0</v>
          </cell>
          <cell r="L923">
            <v>0</v>
          </cell>
          <cell r="M923">
            <v>0</v>
          </cell>
          <cell r="N923">
            <v>0</v>
          </cell>
          <cell r="O923" t="str">
            <v/>
          </cell>
          <cell r="S923" t="str">
            <v/>
          </cell>
          <cell r="T923" t="str">
            <v/>
          </cell>
        </row>
        <row r="924">
          <cell r="A924" t="str">
            <v/>
          </cell>
          <cell r="B924">
            <v>1920</v>
          </cell>
          <cell r="D924" t="str">
            <v/>
          </cell>
          <cell r="F924" t="str">
            <v/>
          </cell>
          <cell r="J924">
            <v>0</v>
          </cell>
          <cell r="L924">
            <v>0</v>
          </cell>
          <cell r="M924">
            <v>0</v>
          </cell>
          <cell r="N924">
            <v>0</v>
          </cell>
          <cell r="O924" t="str">
            <v/>
          </cell>
          <cell r="S924" t="str">
            <v/>
          </cell>
          <cell r="T924" t="str">
            <v/>
          </cell>
        </row>
        <row r="925">
          <cell r="A925" t="str">
            <v/>
          </cell>
          <cell r="B925">
            <v>1921</v>
          </cell>
          <cell r="D925" t="str">
            <v/>
          </cell>
          <cell r="F925" t="str">
            <v/>
          </cell>
          <cell r="J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/>
          </cell>
          <cell r="S925" t="str">
            <v/>
          </cell>
          <cell r="T925" t="str">
            <v/>
          </cell>
        </row>
        <row r="926">
          <cell r="A926" t="str">
            <v/>
          </cell>
          <cell r="B926">
            <v>1922</v>
          </cell>
          <cell r="D926" t="str">
            <v/>
          </cell>
          <cell r="F926" t="str">
            <v/>
          </cell>
          <cell r="J926">
            <v>0</v>
          </cell>
          <cell r="L926">
            <v>0</v>
          </cell>
          <cell r="M926">
            <v>0</v>
          </cell>
          <cell r="N926">
            <v>0</v>
          </cell>
          <cell r="O926" t="str">
            <v/>
          </cell>
          <cell r="S926" t="str">
            <v/>
          </cell>
          <cell r="T926" t="str">
            <v/>
          </cell>
        </row>
        <row r="927">
          <cell r="A927" t="str">
            <v/>
          </cell>
          <cell r="B927">
            <v>1923</v>
          </cell>
          <cell r="D927" t="str">
            <v/>
          </cell>
          <cell r="F927" t="str">
            <v/>
          </cell>
          <cell r="J927">
            <v>0</v>
          </cell>
          <cell r="L927">
            <v>0</v>
          </cell>
          <cell r="M927">
            <v>0</v>
          </cell>
          <cell r="N927">
            <v>0</v>
          </cell>
          <cell r="O927" t="str">
            <v/>
          </cell>
          <cell r="S927" t="str">
            <v/>
          </cell>
          <cell r="T927" t="str">
            <v/>
          </cell>
        </row>
        <row r="928">
          <cell r="A928" t="str">
            <v/>
          </cell>
          <cell r="B928">
            <v>1924</v>
          </cell>
          <cell r="D928" t="str">
            <v/>
          </cell>
          <cell r="F928" t="str">
            <v/>
          </cell>
          <cell r="J928">
            <v>0</v>
          </cell>
          <cell r="L928">
            <v>0</v>
          </cell>
          <cell r="M928">
            <v>0</v>
          </cell>
          <cell r="N928">
            <v>0</v>
          </cell>
          <cell r="O928" t="str">
            <v/>
          </cell>
          <cell r="S928" t="str">
            <v/>
          </cell>
          <cell r="T928" t="str">
            <v/>
          </cell>
        </row>
        <row r="929">
          <cell r="A929" t="str">
            <v/>
          </cell>
          <cell r="B929">
            <v>1925</v>
          </cell>
          <cell r="D929" t="str">
            <v/>
          </cell>
          <cell r="F929" t="str">
            <v/>
          </cell>
          <cell r="J929">
            <v>0</v>
          </cell>
          <cell r="L929">
            <v>0</v>
          </cell>
          <cell r="M929">
            <v>0</v>
          </cell>
          <cell r="N929">
            <v>0</v>
          </cell>
          <cell r="O929" t="str">
            <v/>
          </cell>
          <cell r="S929" t="str">
            <v/>
          </cell>
          <cell r="T929" t="str">
            <v/>
          </cell>
        </row>
        <row r="930">
          <cell r="A930" t="str">
            <v/>
          </cell>
          <cell r="B930">
            <v>1926</v>
          </cell>
          <cell r="D930" t="str">
            <v/>
          </cell>
          <cell r="F930" t="str">
            <v/>
          </cell>
          <cell r="J930">
            <v>0</v>
          </cell>
          <cell r="L930">
            <v>0</v>
          </cell>
          <cell r="M930">
            <v>0</v>
          </cell>
          <cell r="N930">
            <v>0</v>
          </cell>
          <cell r="O930" t="str">
            <v/>
          </cell>
          <cell r="S930" t="str">
            <v/>
          </cell>
          <cell r="T930" t="str">
            <v/>
          </cell>
        </row>
        <row r="931">
          <cell r="A931" t="str">
            <v/>
          </cell>
          <cell r="B931">
            <v>1927</v>
          </cell>
          <cell r="D931" t="str">
            <v/>
          </cell>
          <cell r="F931" t="str">
            <v/>
          </cell>
          <cell r="J931">
            <v>0</v>
          </cell>
          <cell r="L931">
            <v>0</v>
          </cell>
          <cell r="M931">
            <v>0</v>
          </cell>
          <cell r="N931">
            <v>0</v>
          </cell>
          <cell r="O931" t="str">
            <v/>
          </cell>
          <cell r="S931" t="str">
            <v/>
          </cell>
          <cell r="T931" t="str">
            <v/>
          </cell>
        </row>
        <row r="932">
          <cell r="A932" t="str">
            <v/>
          </cell>
          <cell r="B932">
            <v>1928</v>
          </cell>
          <cell r="D932" t="str">
            <v/>
          </cell>
          <cell r="F932" t="str">
            <v/>
          </cell>
          <cell r="J932">
            <v>0</v>
          </cell>
          <cell r="L932">
            <v>0</v>
          </cell>
          <cell r="M932">
            <v>0</v>
          </cell>
          <cell r="N932">
            <v>0</v>
          </cell>
          <cell r="O932" t="str">
            <v/>
          </cell>
          <cell r="S932" t="str">
            <v/>
          </cell>
          <cell r="T932" t="str">
            <v/>
          </cell>
        </row>
        <row r="933">
          <cell r="A933" t="str">
            <v/>
          </cell>
          <cell r="B933">
            <v>1929</v>
          </cell>
          <cell r="D933" t="str">
            <v/>
          </cell>
          <cell r="F933" t="str">
            <v/>
          </cell>
          <cell r="J933">
            <v>0</v>
          </cell>
          <cell r="L933">
            <v>0</v>
          </cell>
          <cell r="M933">
            <v>0</v>
          </cell>
          <cell r="N933">
            <v>0</v>
          </cell>
          <cell r="O933" t="str">
            <v/>
          </cell>
          <cell r="S933" t="str">
            <v/>
          </cell>
          <cell r="T933" t="str">
            <v/>
          </cell>
        </row>
        <row r="934">
          <cell r="A934" t="str">
            <v/>
          </cell>
          <cell r="B934">
            <v>1930</v>
          </cell>
          <cell r="D934" t="str">
            <v/>
          </cell>
          <cell r="F934" t="str">
            <v/>
          </cell>
          <cell r="J934">
            <v>0</v>
          </cell>
          <cell r="L934">
            <v>0</v>
          </cell>
          <cell r="M934">
            <v>0</v>
          </cell>
          <cell r="N934">
            <v>0</v>
          </cell>
          <cell r="O934" t="str">
            <v/>
          </cell>
          <cell r="S934" t="str">
            <v/>
          </cell>
          <cell r="T934" t="str">
            <v/>
          </cell>
        </row>
        <row r="935">
          <cell r="A935" t="str">
            <v/>
          </cell>
          <cell r="B935">
            <v>1931</v>
          </cell>
          <cell r="D935" t="str">
            <v/>
          </cell>
          <cell r="F935" t="str">
            <v/>
          </cell>
          <cell r="J935">
            <v>0</v>
          </cell>
          <cell r="L935">
            <v>0</v>
          </cell>
          <cell r="M935">
            <v>0</v>
          </cell>
          <cell r="N935">
            <v>0</v>
          </cell>
          <cell r="O935" t="str">
            <v/>
          </cell>
          <cell r="S935" t="str">
            <v/>
          </cell>
          <cell r="T935" t="str">
            <v/>
          </cell>
        </row>
        <row r="936">
          <cell r="A936" t="str">
            <v/>
          </cell>
          <cell r="B936">
            <v>1932</v>
          </cell>
          <cell r="D936" t="str">
            <v/>
          </cell>
          <cell r="F936" t="str">
            <v/>
          </cell>
          <cell r="J936">
            <v>0</v>
          </cell>
          <cell r="L936">
            <v>0</v>
          </cell>
          <cell r="M936">
            <v>0</v>
          </cell>
          <cell r="N936">
            <v>0</v>
          </cell>
          <cell r="O936" t="str">
            <v/>
          </cell>
          <cell r="S936" t="str">
            <v/>
          </cell>
          <cell r="T936" t="str">
            <v/>
          </cell>
        </row>
        <row r="937">
          <cell r="A937" t="str">
            <v/>
          </cell>
          <cell r="B937">
            <v>1933</v>
          </cell>
          <cell r="D937" t="str">
            <v/>
          </cell>
          <cell r="F937" t="str">
            <v/>
          </cell>
          <cell r="J937">
            <v>0</v>
          </cell>
          <cell r="L937">
            <v>0</v>
          </cell>
          <cell r="M937">
            <v>0</v>
          </cell>
          <cell r="N937">
            <v>0</v>
          </cell>
          <cell r="O937" t="str">
            <v/>
          </cell>
          <cell r="S937" t="str">
            <v/>
          </cell>
          <cell r="T937" t="str">
            <v/>
          </cell>
        </row>
        <row r="938">
          <cell r="A938" t="str">
            <v/>
          </cell>
          <cell r="B938">
            <v>1934</v>
          </cell>
          <cell r="D938" t="str">
            <v/>
          </cell>
          <cell r="F938" t="str">
            <v/>
          </cell>
          <cell r="J938">
            <v>0</v>
          </cell>
          <cell r="L938">
            <v>0</v>
          </cell>
          <cell r="M938">
            <v>0</v>
          </cell>
          <cell r="N938">
            <v>0</v>
          </cell>
          <cell r="O938" t="str">
            <v/>
          </cell>
          <cell r="S938" t="str">
            <v/>
          </cell>
          <cell r="T938" t="str">
            <v/>
          </cell>
        </row>
        <row r="939">
          <cell r="A939" t="str">
            <v/>
          </cell>
          <cell r="B939">
            <v>1935</v>
          </cell>
          <cell r="D939" t="str">
            <v/>
          </cell>
          <cell r="F939" t="str">
            <v/>
          </cell>
          <cell r="J939">
            <v>0</v>
          </cell>
          <cell r="L939">
            <v>0</v>
          </cell>
          <cell r="M939">
            <v>0</v>
          </cell>
          <cell r="N939">
            <v>0</v>
          </cell>
          <cell r="O939" t="str">
            <v/>
          </cell>
          <cell r="S939" t="str">
            <v/>
          </cell>
          <cell r="T939" t="str">
            <v/>
          </cell>
        </row>
        <row r="940">
          <cell r="A940" t="str">
            <v/>
          </cell>
          <cell r="B940">
            <v>1936</v>
          </cell>
          <cell r="D940" t="str">
            <v/>
          </cell>
          <cell r="F940" t="str">
            <v/>
          </cell>
          <cell r="J940">
            <v>0</v>
          </cell>
          <cell r="L940">
            <v>0</v>
          </cell>
          <cell r="M940">
            <v>0</v>
          </cell>
          <cell r="N940">
            <v>0</v>
          </cell>
          <cell r="O940" t="str">
            <v/>
          </cell>
          <cell r="S940" t="str">
            <v/>
          </cell>
          <cell r="T940" t="str">
            <v/>
          </cell>
        </row>
        <row r="941">
          <cell r="A941" t="str">
            <v/>
          </cell>
          <cell r="B941">
            <v>1937</v>
          </cell>
          <cell r="D941" t="str">
            <v/>
          </cell>
          <cell r="F941" t="str">
            <v/>
          </cell>
          <cell r="J941">
            <v>0</v>
          </cell>
          <cell r="L941">
            <v>0</v>
          </cell>
          <cell r="M941">
            <v>0</v>
          </cell>
          <cell r="N941">
            <v>0</v>
          </cell>
          <cell r="O941" t="str">
            <v/>
          </cell>
          <cell r="S941" t="str">
            <v/>
          </cell>
          <cell r="T941" t="str">
            <v/>
          </cell>
        </row>
        <row r="942">
          <cell r="A942" t="str">
            <v/>
          </cell>
          <cell r="B942">
            <v>1938</v>
          </cell>
          <cell r="D942" t="str">
            <v/>
          </cell>
          <cell r="F942" t="str">
            <v/>
          </cell>
          <cell r="J942">
            <v>0</v>
          </cell>
          <cell r="L942">
            <v>0</v>
          </cell>
          <cell r="M942">
            <v>0</v>
          </cell>
          <cell r="N942">
            <v>0</v>
          </cell>
          <cell r="O942" t="str">
            <v/>
          </cell>
          <cell r="S942" t="str">
            <v/>
          </cell>
          <cell r="T942" t="str">
            <v/>
          </cell>
        </row>
        <row r="943">
          <cell r="A943" t="str">
            <v/>
          </cell>
          <cell r="B943">
            <v>1939</v>
          </cell>
          <cell r="D943" t="str">
            <v/>
          </cell>
          <cell r="F943" t="str">
            <v/>
          </cell>
          <cell r="J943">
            <v>0</v>
          </cell>
          <cell r="L943">
            <v>0</v>
          </cell>
          <cell r="M943">
            <v>0</v>
          </cell>
          <cell r="N943">
            <v>0</v>
          </cell>
          <cell r="O943" t="str">
            <v/>
          </cell>
          <cell r="S943" t="str">
            <v/>
          </cell>
          <cell r="T943" t="str">
            <v/>
          </cell>
        </row>
        <row r="944">
          <cell r="A944" t="str">
            <v/>
          </cell>
          <cell r="B944">
            <v>1940</v>
          </cell>
          <cell r="D944" t="str">
            <v/>
          </cell>
          <cell r="F944" t="str">
            <v/>
          </cell>
          <cell r="J944">
            <v>0</v>
          </cell>
          <cell r="L944">
            <v>0</v>
          </cell>
          <cell r="M944">
            <v>0</v>
          </cell>
          <cell r="N944">
            <v>0</v>
          </cell>
          <cell r="O944" t="str">
            <v/>
          </cell>
          <cell r="S944" t="str">
            <v/>
          </cell>
          <cell r="T944" t="str">
            <v/>
          </cell>
        </row>
        <row r="945">
          <cell r="A945" t="str">
            <v/>
          </cell>
          <cell r="B945">
            <v>1941</v>
          </cell>
          <cell r="D945" t="str">
            <v/>
          </cell>
          <cell r="F945" t="str">
            <v/>
          </cell>
          <cell r="J945">
            <v>0</v>
          </cell>
          <cell r="L945">
            <v>0</v>
          </cell>
          <cell r="M945">
            <v>0</v>
          </cell>
          <cell r="N945">
            <v>0</v>
          </cell>
          <cell r="O945" t="str">
            <v/>
          </cell>
          <cell r="S945" t="str">
            <v/>
          </cell>
          <cell r="T945" t="str">
            <v/>
          </cell>
        </row>
        <row r="946">
          <cell r="A946" t="str">
            <v/>
          </cell>
          <cell r="B946">
            <v>1942</v>
          </cell>
          <cell r="D946" t="str">
            <v/>
          </cell>
          <cell r="F946" t="str">
            <v/>
          </cell>
          <cell r="J946">
            <v>0</v>
          </cell>
          <cell r="L946">
            <v>0</v>
          </cell>
          <cell r="M946">
            <v>0</v>
          </cell>
          <cell r="N946">
            <v>0</v>
          </cell>
          <cell r="O946" t="str">
            <v/>
          </cell>
          <cell r="S946" t="str">
            <v/>
          </cell>
          <cell r="T946" t="str">
            <v/>
          </cell>
        </row>
        <row r="947">
          <cell r="A947" t="str">
            <v/>
          </cell>
          <cell r="B947">
            <v>1943</v>
          </cell>
          <cell r="D947" t="str">
            <v/>
          </cell>
          <cell r="F947" t="str">
            <v/>
          </cell>
          <cell r="J947">
            <v>0</v>
          </cell>
          <cell r="L947">
            <v>0</v>
          </cell>
          <cell r="M947">
            <v>0</v>
          </cell>
          <cell r="N947">
            <v>0</v>
          </cell>
          <cell r="O947" t="str">
            <v/>
          </cell>
          <cell r="S947" t="str">
            <v/>
          </cell>
          <cell r="T947" t="str">
            <v/>
          </cell>
        </row>
        <row r="948">
          <cell r="A948" t="str">
            <v/>
          </cell>
          <cell r="B948">
            <v>1944</v>
          </cell>
          <cell r="D948" t="str">
            <v/>
          </cell>
          <cell r="F948" t="str">
            <v/>
          </cell>
          <cell r="J948">
            <v>0</v>
          </cell>
          <cell r="L948">
            <v>0</v>
          </cell>
          <cell r="M948">
            <v>0</v>
          </cell>
          <cell r="N948">
            <v>0</v>
          </cell>
          <cell r="O948" t="str">
            <v/>
          </cell>
          <cell r="S948" t="str">
            <v/>
          </cell>
          <cell r="T948" t="str">
            <v/>
          </cell>
        </row>
        <row r="949">
          <cell r="A949" t="str">
            <v/>
          </cell>
          <cell r="B949">
            <v>1945</v>
          </cell>
          <cell r="D949" t="str">
            <v/>
          </cell>
          <cell r="F949" t="str">
            <v/>
          </cell>
          <cell r="J949">
            <v>0</v>
          </cell>
          <cell r="L949">
            <v>0</v>
          </cell>
          <cell r="M949">
            <v>0</v>
          </cell>
          <cell r="N949">
            <v>0</v>
          </cell>
          <cell r="O949" t="str">
            <v/>
          </cell>
          <cell r="S949" t="str">
            <v/>
          </cell>
          <cell r="T949" t="str">
            <v/>
          </cell>
        </row>
        <row r="950">
          <cell r="A950" t="str">
            <v/>
          </cell>
          <cell r="B950">
            <v>1946</v>
          </cell>
          <cell r="D950" t="str">
            <v/>
          </cell>
          <cell r="F950" t="str">
            <v/>
          </cell>
          <cell r="J950">
            <v>0</v>
          </cell>
          <cell r="L950">
            <v>0</v>
          </cell>
          <cell r="M950">
            <v>0</v>
          </cell>
          <cell r="N950">
            <v>0</v>
          </cell>
          <cell r="O950" t="str">
            <v/>
          </cell>
          <cell r="S950" t="str">
            <v/>
          </cell>
          <cell r="T950" t="str">
            <v/>
          </cell>
        </row>
        <row r="951">
          <cell r="A951" t="str">
            <v/>
          </cell>
          <cell r="B951">
            <v>1947</v>
          </cell>
          <cell r="D951" t="str">
            <v/>
          </cell>
          <cell r="F951" t="str">
            <v/>
          </cell>
          <cell r="J951">
            <v>0</v>
          </cell>
          <cell r="L951">
            <v>0</v>
          </cell>
          <cell r="M951">
            <v>0</v>
          </cell>
          <cell r="N951">
            <v>0</v>
          </cell>
          <cell r="O951" t="str">
            <v/>
          </cell>
          <cell r="S951" t="str">
            <v/>
          </cell>
          <cell r="T951" t="str">
            <v/>
          </cell>
        </row>
        <row r="952">
          <cell r="A952" t="str">
            <v/>
          </cell>
          <cell r="B952">
            <v>1948</v>
          </cell>
          <cell r="D952" t="str">
            <v/>
          </cell>
          <cell r="F952" t="str">
            <v/>
          </cell>
          <cell r="J952">
            <v>0</v>
          </cell>
          <cell r="L952">
            <v>0</v>
          </cell>
          <cell r="M952">
            <v>0</v>
          </cell>
          <cell r="N952">
            <v>0</v>
          </cell>
          <cell r="O952" t="str">
            <v/>
          </cell>
          <cell r="S952" t="str">
            <v/>
          </cell>
          <cell r="T952" t="str">
            <v/>
          </cell>
        </row>
        <row r="953">
          <cell r="A953" t="str">
            <v/>
          </cell>
          <cell r="B953">
            <v>1949</v>
          </cell>
          <cell r="D953" t="str">
            <v/>
          </cell>
          <cell r="F953" t="str">
            <v/>
          </cell>
          <cell r="J953">
            <v>0</v>
          </cell>
          <cell r="L953">
            <v>0</v>
          </cell>
          <cell r="M953">
            <v>0</v>
          </cell>
          <cell r="N953">
            <v>0</v>
          </cell>
          <cell r="O953" t="str">
            <v/>
          </cell>
          <cell r="S953" t="str">
            <v/>
          </cell>
          <cell r="T953" t="str">
            <v/>
          </cell>
        </row>
        <row r="954">
          <cell r="A954" t="str">
            <v/>
          </cell>
          <cell r="B954">
            <v>1950</v>
          </cell>
          <cell r="D954" t="str">
            <v/>
          </cell>
          <cell r="F954" t="str">
            <v/>
          </cell>
          <cell r="J954">
            <v>0</v>
          </cell>
          <cell r="L954">
            <v>0</v>
          </cell>
          <cell r="M954">
            <v>0</v>
          </cell>
          <cell r="N954">
            <v>0</v>
          </cell>
          <cell r="O954" t="str">
            <v/>
          </cell>
          <cell r="S954" t="str">
            <v/>
          </cell>
          <cell r="T954" t="str">
            <v/>
          </cell>
        </row>
        <row r="955">
          <cell r="A955" t="str">
            <v/>
          </cell>
          <cell r="B955">
            <v>1951</v>
          </cell>
          <cell r="D955" t="str">
            <v/>
          </cell>
          <cell r="F955" t="str">
            <v/>
          </cell>
          <cell r="J955">
            <v>0</v>
          </cell>
          <cell r="L955">
            <v>0</v>
          </cell>
          <cell r="M955">
            <v>0</v>
          </cell>
          <cell r="N955">
            <v>0</v>
          </cell>
          <cell r="O955" t="str">
            <v/>
          </cell>
          <cell r="S955" t="str">
            <v/>
          </cell>
          <cell r="T955" t="str">
            <v/>
          </cell>
        </row>
        <row r="956">
          <cell r="A956" t="str">
            <v/>
          </cell>
          <cell r="B956">
            <v>1952</v>
          </cell>
          <cell r="D956" t="str">
            <v/>
          </cell>
          <cell r="F956" t="str">
            <v/>
          </cell>
          <cell r="J956">
            <v>0</v>
          </cell>
          <cell r="L956">
            <v>0</v>
          </cell>
          <cell r="M956">
            <v>0</v>
          </cell>
          <cell r="N956">
            <v>0</v>
          </cell>
          <cell r="O956" t="str">
            <v/>
          </cell>
          <cell r="S956" t="str">
            <v/>
          </cell>
          <cell r="T956" t="str">
            <v/>
          </cell>
        </row>
        <row r="957">
          <cell r="A957" t="str">
            <v/>
          </cell>
          <cell r="B957">
            <v>1953</v>
          </cell>
          <cell r="D957" t="str">
            <v/>
          </cell>
          <cell r="F957" t="str">
            <v/>
          </cell>
          <cell r="J957">
            <v>0</v>
          </cell>
          <cell r="L957">
            <v>0</v>
          </cell>
          <cell r="M957">
            <v>0</v>
          </cell>
          <cell r="N957">
            <v>0</v>
          </cell>
          <cell r="O957" t="str">
            <v/>
          </cell>
          <cell r="S957" t="str">
            <v/>
          </cell>
          <cell r="T957" t="str">
            <v/>
          </cell>
        </row>
        <row r="958">
          <cell r="A958" t="str">
            <v/>
          </cell>
          <cell r="B958">
            <v>1954</v>
          </cell>
          <cell r="D958" t="str">
            <v/>
          </cell>
          <cell r="F958" t="str">
            <v/>
          </cell>
          <cell r="J958">
            <v>0</v>
          </cell>
          <cell r="L958">
            <v>0</v>
          </cell>
          <cell r="M958">
            <v>0</v>
          </cell>
          <cell r="N958">
            <v>0</v>
          </cell>
          <cell r="O958" t="str">
            <v/>
          </cell>
          <cell r="S958" t="str">
            <v/>
          </cell>
          <cell r="T958" t="str">
            <v/>
          </cell>
        </row>
        <row r="959">
          <cell r="A959" t="str">
            <v/>
          </cell>
          <cell r="B959">
            <v>1955</v>
          </cell>
          <cell r="D959" t="str">
            <v/>
          </cell>
          <cell r="F959" t="str">
            <v/>
          </cell>
          <cell r="J959">
            <v>0</v>
          </cell>
          <cell r="L959">
            <v>0</v>
          </cell>
          <cell r="M959">
            <v>0</v>
          </cell>
          <cell r="N959">
            <v>0</v>
          </cell>
          <cell r="O959" t="str">
            <v/>
          </cell>
          <cell r="S959" t="str">
            <v/>
          </cell>
          <cell r="T959" t="str">
            <v/>
          </cell>
        </row>
        <row r="960">
          <cell r="A960" t="str">
            <v/>
          </cell>
          <cell r="B960">
            <v>1956</v>
          </cell>
          <cell r="D960" t="str">
            <v/>
          </cell>
          <cell r="F960" t="str">
            <v/>
          </cell>
          <cell r="J960">
            <v>0</v>
          </cell>
          <cell r="L960">
            <v>0</v>
          </cell>
          <cell r="M960">
            <v>0</v>
          </cell>
          <cell r="N960">
            <v>0</v>
          </cell>
          <cell r="O960" t="str">
            <v/>
          </cell>
          <cell r="S960" t="str">
            <v/>
          </cell>
          <cell r="T960" t="str">
            <v/>
          </cell>
        </row>
        <row r="961">
          <cell r="A961" t="str">
            <v/>
          </cell>
          <cell r="B961">
            <v>1957</v>
          </cell>
          <cell r="D961" t="str">
            <v/>
          </cell>
          <cell r="F961" t="str">
            <v/>
          </cell>
          <cell r="J961">
            <v>0</v>
          </cell>
          <cell r="L961">
            <v>0</v>
          </cell>
          <cell r="M961">
            <v>0</v>
          </cell>
          <cell r="N961">
            <v>0</v>
          </cell>
          <cell r="O961" t="str">
            <v/>
          </cell>
          <cell r="S961" t="str">
            <v/>
          </cell>
          <cell r="T961" t="str">
            <v/>
          </cell>
        </row>
        <row r="962">
          <cell r="A962" t="str">
            <v/>
          </cell>
          <cell r="B962">
            <v>1958</v>
          </cell>
          <cell r="D962" t="str">
            <v/>
          </cell>
          <cell r="F962" t="str">
            <v/>
          </cell>
          <cell r="J962">
            <v>0</v>
          </cell>
          <cell r="L962">
            <v>0</v>
          </cell>
          <cell r="M962">
            <v>0</v>
          </cell>
          <cell r="N962">
            <v>0</v>
          </cell>
          <cell r="O962" t="str">
            <v/>
          </cell>
          <cell r="S962" t="str">
            <v/>
          </cell>
          <cell r="T962" t="str">
            <v/>
          </cell>
        </row>
        <row r="963">
          <cell r="A963" t="str">
            <v/>
          </cell>
          <cell r="B963">
            <v>1959</v>
          </cell>
          <cell r="D963" t="str">
            <v/>
          </cell>
          <cell r="F963" t="str">
            <v/>
          </cell>
          <cell r="J963">
            <v>0</v>
          </cell>
          <cell r="L963">
            <v>0</v>
          </cell>
          <cell r="M963">
            <v>0</v>
          </cell>
          <cell r="N963">
            <v>0</v>
          </cell>
          <cell r="O963" t="str">
            <v/>
          </cell>
          <cell r="S963" t="str">
            <v/>
          </cell>
          <cell r="T963" t="str">
            <v/>
          </cell>
        </row>
        <row r="964">
          <cell r="A964" t="str">
            <v/>
          </cell>
          <cell r="B964">
            <v>1960</v>
          </cell>
          <cell r="D964" t="str">
            <v/>
          </cell>
          <cell r="F964" t="str">
            <v/>
          </cell>
          <cell r="J964">
            <v>0</v>
          </cell>
          <cell r="L964">
            <v>0</v>
          </cell>
          <cell r="M964">
            <v>0</v>
          </cell>
          <cell r="N964">
            <v>0</v>
          </cell>
          <cell r="O964" t="str">
            <v/>
          </cell>
          <cell r="S964" t="str">
            <v/>
          </cell>
          <cell r="T964" t="str">
            <v/>
          </cell>
        </row>
        <row r="965">
          <cell r="A965" t="str">
            <v/>
          </cell>
          <cell r="B965">
            <v>1961</v>
          </cell>
          <cell r="D965" t="str">
            <v/>
          </cell>
          <cell r="F965" t="str">
            <v/>
          </cell>
          <cell r="J965">
            <v>0</v>
          </cell>
          <cell r="L965">
            <v>0</v>
          </cell>
          <cell r="M965">
            <v>0</v>
          </cell>
          <cell r="N965">
            <v>0</v>
          </cell>
          <cell r="O965" t="str">
            <v/>
          </cell>
          <cell r="S965" t="str">
            <v/>
          </cell>
          <cell r="T965" t="str">
            <v/>
          </cell>
        </row>
        <row r="966">
          <cell r="A966" t="str">
            <v/>
          </cell>
          <cell r="B966">
            <v>1962</v>
          </cell>
          <cell r="D966" t="str">
            <v/>
          </cell>
          <cell r="F966" t="str">
            <v/>
          </cell>
          <cell r="J966">
            <v>0</v>
          </cell>
          <cell r="L966">
            <v>0</v>
          </cell>
          <cell r="M966">
            <v>0</v>
          </cell>
          <cell r="N966">
            <v>0</v>
          </cell>
          <cell r="O966" t="str">
            <v/>
          </cell>
          <cell r="S966" t="str">
            <v/>
          </cell>
          <cell r="T966" t="str">
            <v/>
          </cell>
        </row>
        <row r="967">
          <cell r="A967" t="str">
            <v/>
          </cell>
          <cell r="B967">
            <v>1963</v>
          </cell>
          <cell r="D967" t="str">
            <v/>
          </cell>
          <cell r="F967" t="str">
            <v/>
          </cell>
          <cell r="J967">
            <v>0</v>
          </cell>
          <cell r="L967">
            <v>0</v>
          </cell>
          <cell r="M967">
            <v>0</v>
          </cell>
          <cell r="N967">
            <v>0</v>
          </cell>
          <cell r="O967" t="str">
            <v/>
          </cell>
          <cell r="S967" t="str">
            <v/>
          </cell>
          <cell r="T967" t="str">
            <v/>
          </cell>
        </row>
        <row r="968">
          <cell r="A968" t="str">
            <v/>
          </cell>
          <cell r="B968">
            <v>1964</v>
          </cell>
          <cell r="D968" t="str">
            <v/>
          </cell>
          <cell r="F968" t="str">
            <v/>
          </cell>
          <cell r="J968">
            <v>0</v>
          </cell>
          <cell r="L968">
            <v>0</v>
          </cell>
          <cell r="M968">
            <v>0</v>
          </cell>
          <cell r="N968">
            <v>0</v>
          </cell>
          <cell r="O968" t="str">
            <v/>
          </cell>
          <cell r="S968" t="str">
            <v/>
          </cell>
          <cell r="T968" t="str">
            <v/>
          </cell>
        </row>
        <row r="969">
          <cell r="A969" t="str">
            <v/>
          </cell>
          <cell r="B969">
            <v>1965</v>
          </cell>
          <cell r="D969" t="str">
            <v/>
          </cell>
          <cell r="F969" t="str">
            <v/>
          </cell>
          <cell r="J969">
            <v>0</v>
          </cell>
          <cell r="L969">
            <v>0</v>
          </cell>
          <cell r="M969">
            <v>0</v>
          </cell>
          <cell r="N969">
            <v>0</v>
          </cell>
          <cell r="O969" t="str">
            <v/>
          </cell>
          <cell r="S969" t="str">
            <v/>
          </cell>
          <cell r="T969" t="str">
            <v/>
          </cell>
        </row>
        <row r="970">
          <cell r="A970" t="str">
            <v/>
          </cell>
          <cell r="B970">
            <v>1966</v>
          </cell>
          <cell r="D970" t="str">
            <v/>
          </cell>
          <cell r="F970" t="str">
            <v/>
          </cell>
          <cell r="J970">
            <v>0</v>
          </cell>
          <cell r="L970">
            <v>0</v>
          </cell>
          <cell r="M970">
            <v>0</v>
          </cell>
          <cell r="N970">
            <v>0</v>
          </cell>
          <cell r="O970" t="str">
            <v/>
          </cell>
          <cell r="S970" t="str">
            <v/>
          </cell>
          <cell r="T970" t="str">
            <v/>
          </cell>
        </row>
        <row r="971">
          <cell r="A971" t="str">
            <v/>
          </cell>
          <cell r="B971">
            <v>1967</v>
          </cell>
          <cell r="D971" t="str">
            <v/>
          </cell>
          <cell r="F971" t="str">
            <v/>
          </cell>
          <cell r="J971">
            <v>0</v>
          </cell>
          <cell r="L971">
            <v>0</v>
          </cell>
          <cell r="M971">
            <v>0</v>
          </cell>
          <cell r="N971">
            <v>0</v>
          </cell>
          <cell r="O971" t="str">
            <v/>
          </cell>
          <cell r="S971" t="str">
            <v/>
          </cell>
          <cell r="T971" t="str">
            <v/>
          </cell>
        </row>
        <row r="972">
          <cell r="A972" t="str">
            <v/>
          </cell>
          <cell r="B972">
            <v>1968</v>
          </cell>
          <cell r="D972" t="str">
            <v/>
          </cell>
          <cell r="F972" t="str">
            <v/>
          </cell>
          <cell r="J972">
            <v>0</v>
          </cell>
          <cell r="L972">
            <v>0</v>
          </cell>
          <cell r="M972">
            <v>0</v>
          </cell>
          <cell r="N972">
            <v>0</v>
          </cell>
          <cell r="O972" t="str">
            <v/>
          </cell>
          <cell r="S972" t="str">
            <v/>
          </cell>
          <cell r="T972" t="str">
            <v/>
          </cell>
        </row>
        <row r="973">
          <cell r="A973" t="str">
            <v/>
          </cell>
          <cell r="B973">
            <v>1969</v>
          </cell>
          <cell r="D973" t="str">
            <v/>
          </cell>
          <cell r="F973" t="str">
            <v/>
          </cell>
          <cell r="J973">
            <v>0</v>
          </cell>
          <cell r="L973">
            <v>0</v>
          </cell>
          <cell r="M973">
            <v>0</v>
          </cell>
          <cell r="N973">
            <v>0</v>
          </cell>
          <cell r="O973" t="str">
            <v/>
          </cell>
          <cell r="S973" t="str">
            <v/>
          </cell>
          <cell r="T973" t="str">
            <v/>
          </cell>
        </row>
        <row r="974">
          <cell r="A974" t="str">
            <v/>
          </cell>
          <cell r="B974">
            <v>1970</v>
          </cell>
          <cell r="D974" t="str">
            <v/>
          </cell>
          <cell r="F974" t="str">
            <v/>
          </cell>
          <cell r="J974">
            <v>0</v>
          </cell>
          <cell r="L974">
            <v>0</v>
          </cell>
          <cell r="M974">
            <v>0</v>
          </cell>
          <cell r="N974">
            <v>0</v>
          </cell>
          <cell r="O974" t="str">
            <v/>
          </cell>
          <cell r="S974" t="str">
            <v/>
          </cell>
          <cell r="T974" t="str">
            <v/>
          </cell>
        </row>
        <row r="975">
          <cell r="A975" t="str">
            <v/>
          </cell>
          <cell r="B975">
            <v>1971</v>
          </cell>
          <cell r="D975" t="str">
            <v/>
          </cell>
          <cell r="F975" t="str">
            <v/>
          </cell>
          <cell r="J975">
            <v>0</v>
          </cell>
          <cell r="L975">
            <v>0</v>
          </cell>
          <cell r="M975">
            <v>0</v>
          </cell>
          <cell r="N975">
            <v>0</v>
          </cell>
          <cell r="O975" t="str">
            <v/>
          </cell>
          <cell r="S975" t="str">
            <v/>
          </cell>
          <cell r="T975" t="str">
            <v/>
          </cell>
        </row>
        <row r="976">
          <cell r="A976" t="str">
            <v/>
          </cell>
          <cell r="B976">
            <v>1972</v>
          </cell>
          <cell r="D976" t="str">
            <v/>
          </cell>
          <cell r="F976" t="str">
            <v/>
          </cell>
          <cell r="J976">
            <v>0</v>
          </cell>
          <cell r="L976">
            <v>0</v>
          </cell>
          <cell r="M976">
            <v>0</v>
          </cell>
          <cell r="N976">
            <v>0</v>
          </cell>
          <cell r="O976" t="str">
            <v/>
          </cell>
          <cell r="S976" t="str">
            <v/>
          </cell>
          <cell r="T976" t="str">
            <v/>
          </cell>
        </row>
        <row r="977">
          <cell r="A977" t="str">
            <v/>
          </cell>
          <cell r="B977">
            <v>1973</v>
          </cell>
          <cell r="D977" t="str">
            <v/>
          </cell>
          <cell r="F977" t="str">
            <v/>
          </cell>
          <cell r="J977">
            <v>0</v>
          </cell>
          <cell r="L977">
            <v>0</v>
          </cell>
          <cell r="M977">
            <v>0</v>
          </cell>
          <cell r="N977">
            <v>0</v>
          </cell>
          <cell r="O977" t="str">
            <v/>
          </cell>
          <cell r="S977" t="str">
            <v/>
          </cell>
          <cell r="T977" t="str">
            <v/>
          </cell>
        </row>
        <row r="978">
          <cell r="A978" t="str">
            <v/>
          </cell>
          <cell r="B978">
            <v>1974</v>
          </cell>
          <cell r="D978" t="str">
            <v/>
          </cell>
          <cell r="F978" t="str">
            <v/>
          </cell>
          <cell r="J978">
            <v>0</v>
          </cell>
          <cell r="L978">
            <v>0</v>
          </cell>
          <cell r="M978">
            <v>0</v>
          </cell>
          <cell r="N978">
            <v>0</v>
          </cell>
          <cell r="O978" t="str">
            <v/>
          </cell>
          <cell r="S978" t="str">
            <v/>
          </cell>
          <cell r="T978" t="str">
            <v/>
          </cell>
        </row>
        <row r="979">
          <cell r="A979" t="str">
            <v/>
          </cell>
          <cell r="B979">
            <v>1975</v>
          </cell>
          <cell r="D979" t="str">
            <v/>
          </cell>
          <cell r="F979" t="str">
            <v/>
          </cell>
          <cell r="J979">
            <v>0</v>
          </cell>
          <cell r="L979">
            <v>0</v>
          </cell>
          <cell r="M979">
            <v>0</v>
          </cell>
          <cell r="N979">
            <v>0</v>
          </cell>
          <cell r="O979" t="str">
            <v/>
          </cell>
          <cell r="S979" t="str">
            <v/>
          </cell>
          <cell r="T979" t="str">
            <v/>
          </cell>
        </row>
        <row r="980">
          <cell r="A980" t="str">
            <v/>
          </cell>
          <cell r="B980">
            <v>1976</v>
          </cell>
          <cell r="D980" t="str">
            <v/>
          </cell>
          <cell r="F980" t="str">
            <v/>
          </cell>
          <cell r="J980">
            <v>0</v>
          </cell>
          <cell r="L980">
            <v>0</v>
          </cell>
          <cell r="M980">
            <v>0</v>
          </cell>
          <cell r="N980">
            <v>0</v>
          </cell>
          <cell r="O980" t="str">
            <v/>
          </cell>
          <cell r="S980" t="str">
            <v/>
          </cell>
          <cell r="T980" t="str">
            <v/>
          </cell>
        </row>
        <row r="981">
          <cell r="A981" t="str">
            <v/>
          </cell>
          <cell r="B981">
            <v>1977</v>
          </cell>
          <cell r="D981" t="str">
            <v/>
          </cell>
          <cell r="F981" t="str">
            <v/>
          </cell>
          <cell r="J981">
            <v>0</v>
          </cell>
          <cell r="L981">
            <v>0</v>
          </cell>
          <cell r="M981">
            <v>0</v>
          </cell>
          <cell r="N981">
            <v>0</v>
          </cell>
          <cell r="O981" t="str">
            <v/>
          </cell>
          <cell r="S981" t="str">
            <v/>
          </cell>
          <cell r="T981" t="str">
            <v/>
          </cell>
        </row>
        <row r="982">
          <cell r="A982" t="str">
            <v/>
          </cell>
          <cell r="B982">
            <v>1978</v>
          </cell>
          <cell r="D982" t="str">
            <v/>
          </cell>
          <cell r="F982" t="str">
            <v/>
          </cell>
          <cell r="J982">
            <v>0</v>
          </cell>
          <cell r="L982">
            <v>0</v>
          </cell>
          <cell r="M982">
            <v>0</v>
          </cell>
          <cell r="N982">
            <v>0</v>
          </cell>
          <cell r="O982" t="str">
            <v/>
          </cell>
          <cell r="S982" t="str">
            <v/>
          </cell>
          <cell r="T982" t="str">
            <v/>
          </cell>
        </row>
        <row r="983">
          <cell r="A983" t="str">
            <v/>
          </cell>
          <cell r="B983">
            <v>1979</v>
          </cell>
          <cell r="D983" t="str">
            <v/>
          </cell>
          <cell r="F983" t="str">
            <v/>
          </cell>
          <cell r="J983">
            <v>0</v>
          </cell>
          <cell r="L983">
            <v>0</v>
          </cell>
          <cell r="M983">
            <v>0</v>
          </cell>
          <cell r="N983">
            <v>0</v>
          </cell>
          <cell r="O983" t="str">
            <v/>
          </cell>
          <cell r="S983" t="str">
            <v/>
          </cell>
          <cell r="T983" t="str">
            <v/>
          </cell>
        </row>
        <row r="984">
          <cell r="A984" t="str">
            <v/>
          </cell>
          <cell r="B984">
            <v>1980</v>
          </cell>
          <cell r="D984" t="str">
            <v/>
          </cell>
          <cell r="F984" t="str">
            <v/>
          </cell>
          <cell r="J984">
            <v>0</v>
          </cell>
          <cell r="L984">
            <v>0</v>
          </cell>
          <cell r="M984">
            <v>0</v>
          </cell>
          <cell r="N984">
            <v>0</v>
          </cell>
          <cell r="O984" t="str">
            <v/>
          </cell>
          <cell r="S984" t="str">
            <v/>
          </cell>
          <cell r="T984" t="str">
            <v/>
          </cell>
        </row>
        <row r="985">
          <cell r="A985" t="str">
            <v/>
          </cell>
          <cell r="B985">
            <v>1981</v>
          </cell>
          <cell r="D985" t="str">
            <v/>
          </cell>
          <cell r="F985" t="str">
            <v/>
          </cell>
          <cell r="J985">
            <v>0</v>
          </cell>
          <cell r="L985">
            <v>0</v>
          </cell>
          <cell r="M985">
            <v>0</v>
          </cell>
          <cell r="N985">
            <v>0</v>
          </cell>
          <cell r="O985" t="str">
            <v/>
          </cell>
          <cell r="S985" t="str">
            <v/>
          </cell>
          <cell r="T985" t="str">
            <v/>
          </cell>
        </row>
        <row r="986">
          <cell r="A986" t="str">
            <v/>
          </cell>
          <cell r="B986">
            <v>1982</v>
          </cell>
          <cell r="D986" t="str">
            <v/>
          </cell>
          <cell r="F986" t="str">
            <v/>
          </cell>
          <cell r="J986">
            <v>0</v>
          </cell>
          <cell r="L986">
            <v>0</v>
          </cell>
          <cell r="M986">
            <v>0</v>
          </cell>
          <cell r="N986">
            <v>0</v>
          </cell>
          <cell r="O986" t="str">
            <v/>
          </cell>
          <cell r="S986" t="str">
            <v/>
          </cell>
          <cell r="T986" t="str">
            <v/>
          </cell>
        </row>
        <row r="987">
          <cell r="A987" t="str">
            <v/>
          </cell>
          <cell r="B987">
            <v>1983</v>
          </cell>
          <cell r="D987" t="str">
            <v/>
          </cell>
          <cell r="F987" t="str">
            <v/>
          </cell>
          <cell r="J987">
            <v>0</v>
          </cell>
          <cell r="L987">
            <v>0</v>
          </cell>
          <cell r="M987">
            <v>0</v>
          </cell>
          <cell r="N987">
            <v>0</v>
          </cell>
          <cell r="O987" t="str">
            <v/>
          </cell>
          <cell r="S987" t="str">
            <v/>
          </cell>
          <cell r="T987" t="str">
            <v/>
          </cell>
        </row>
        <row r="988">
          <cell r="A988" t="str">
            <v/>
          </cell>
          <cell r="B988">
            <v>1984</v>
          </cell>
          <cell r="D988" t="str">
            <v/>
          </cell>
          <cell r="F988" t="str">
            <v/>
          </cell>
          <cell r="J988">
            <v>0</v>
          </cell>
          <cell r="L988">
            <v>0</v>
          </cell>
          <cell r="M988">
            <v>0</v>
          </cell>
          <cell r="N988">
            <v>0</v>
          </cell>
          <cell r="O988" t="str">
            <v/>
          </cell>
          <cell r="S988" t="str">
            <v/>
          </cell>
          <cell r="T988" t="str">
            <v/>
          </cell>
        </row>
        <row r="989">
          <cell r="A989" t="str">
            <v/>
          </cell>
          <cell r="B989">
            <v>1985</v>
          </cell>
          <cell r="D989" t="str">
            <v/>
          </cell>
          <cell r="F989" t="str">
            <v/>
          </cell>
          <cell r="J989">
            <v>0</v>
          </cell>
          <cell r="L989">
            <v>0</v>
          </cell>
          <cell r="M989">
            <v>0</v>
          </cell>
          <cell r="N989">
            <v>0</v>
          </cell>
          <cell r="O989" t="str">
            <v/>
          </cell>
          <cell r="S989" t="str">
            <v/>
          </cell>
          <cell r="T989" t="str">
            <v/>
          </cell>
        </row>
        <row r="990">
          <cell r="A990" t="str">
            <v/>
          </cell>
          <cell r="B990">
            <v>1986</v>
          </cell>
          <cell r="D990" t="str">
            <v/>
          </cell>
          <cell r="F990" t="str">
            <v/>
          </cell>
          <cell r="J990">
            <v>0</v>
          </cell>
          <cell r="L990">
            <v>0</v>
          </cell>
          <cell r="M990">
            <v>0</v>
          </cell>
          <cell r="N990">
            <v>0</v>
          </cell>
          <cell r="O990" t="str">
            <v/>
          </cell>
          <cell r="S990" t="str">
            <v/>
          </cell>
          <cell r="T990" t="str">
            <v/>
          </cell>
        </row>
        <row r="991">
          <cell r="A991" t="str">
            <v/>
          </cell>
          <cell r="B991">
            <v>1987</v>
          </cell>
          <cell r="D991" t="str">
            <v/>
          </cell>
          <cell r="F991" t="str">
            <v/>
          </cell>
          <cell r="J991">
            <v>0</v>
          </cell>
          <cell r="L991">
            <v>0</v>
          </cell>
          <cell r="M991">
            <v>0</v>
          </cell>
          <cell r="N991">
            <v>0</v>
          </cell>
          <cell r="O991" t="str">
            <v/>
          </cell>
          <cell r="S991" t="str">
            <v/>
          </cell>
          <cell r="T991" t="str">
            <v/>
          </cell>
        </row>
        <row r="992">
          <cell r="A992" t="str">
            <v/>
          </cell>
          <cell r="B992">
            <v>1988</v>
          </cell>
          <cell r="D992" t="str">
            <v/>
          </cell>
          <cell r="F992" t="str">
            <v/>
          </cell>
          <cell r="J992">
            <v>0</v>
          </cell>
          <cell r="L992">
            <v>0</v>
          </cell>
          <cell r="M992">
            <v>0</v>
          </cell>
          <cell r="N992">
            <v>0</v>
          </cell>
          <cell r="O992" t="str">
            <v/>
          </cell>
          <cell r="S992" t="str">
            <v/>
          </cell>
          <cell r="T992" t="str">
            <v/>
          </cell>
        </row>
        <row r="993">
          <cell r="A993" t="str">
            <v/>
          </cell>
          <cell r="B993">
            <v>1989</v>
          </cell>
          <cell r="D993" t="str">
            <v/>
          </cell>
          <cell r="F993" t="str">
            <v/>
          </cell>
          <cell r="J993">
            <v>0</v>
          </cell>
          <cell r="L993">
            <v>0</v>
          </cell>
          <cell r="M993">
            <v>0</v>
          </cell>
          <cell r="N993">
            <v>0</v>
          </cell>
          <cell r="O993" t="str">
            <v/>
          </cell>
          <cell r="S993" t="str">
            <v/>
          </cell>
          <cell r="T993" t="str">
            <v/>
          </cell>
        </row>
        <row r="994">
          <cell r="A994" t="str">
            <v/>
          </cell>
          <cell r="B994">
            <v>1990</v>
          </cell>
          <cell r="D994" t="str">
            <v/>
          </cell>
          <cell r="F994" t="str">
            <v/>
          </cell>
          <cell r="J994">
            <v>0</v>
          </cell>
          <cell r="L994">
            <v>0</v>
          </cell>
          <cell r="M994">
            <v>0</v>
          </cell>
          <cell r="N994">
            <v>0</v>
          </cell>
          <cell r="O994" t="str">
            <v/>
          </cell>
          <cell r="S994" t="str">
            <v/>
          </cell>
          <cell r="T994" t="str">
            <v/>
          </cell>
        </row>
        <row r="995">
          <cell r="A995" t="str">
            <v/>
          </cell>
          <cell r="B995">
            <v>1991</v>
          </cell>
          <cell r="D995" t="str">
            <v/>
          </cell>
          <cell r="F995" t="str">
            <v/>
          </cell>
          <cell r="J995">
            <v>0</v>
          </cell>
          <cell r="L995">
            <v>0</v>
          </cell>
          <cell r="M995">
            <v>0</v>
          </cell>
          <cell r="N995">
            <v>0</v>
          </cell>
          <cell r="O995" t="str">
            <v/>
          </cell>
          <cell r="S995" t="str">
            <v/>
          </cell>
          <cell r="T995" t="str">
            <v/>
          </cell>
        </row>
        <row r="996">
          <cell r="A996" t="str">
            <v/>
          </cell>
          <cell r="B996">
            <v>1992</v>
          </cell>
          <cell r="D996" t="str">
            <v/>
          </cell>
          <cell r="F996" t="str">
            <v/>
          </cell>
          <cell r="J996">
            <v>0</v>
          </cell>
          <cell r="L996">
            <v>0</v>
          </cell>
          <cell r="M996">
            <v>0</v>
          </cell>
          <cell r="N996">
            <v>0</v>
          </cell>
          <cell r="O996" t="str">
            <v/>
          </cell>
          <cell r="S996" t="str">
            <v/>
          </cell>
          <cell r="T996" t="str">
            <v/>
          </cell>
        </row>
        <row r="997">
          <cell r="A997" t="str">
            <v/>
          </cell>
          <cell r="B997">
            <v>1993</v>
          </cell>
          <cell r="D997" t="str">
            <v/>
          </cell>
          <cell r="F997" t="str">
            <v/>
          </cell>
          <cell r="J997">
            <v>0</v>
          </cell>
          <cell r="L997">
            <v>0</v>
          </cell>
          <cell r="M997">
            <v>0</v>
          </cell>
          <cell r="N997">
            <v>0</v>
          </cell>
          <cell r="O997" t="str">
            <v/>
          </cell>
          <cell r="S997" t="str">
            <v/>
          </cell>
          <cell r="T997" t="str">
            <v/>
          </cell>
        </row>
        <row r="998">
          <cell r="A998" t="str">
            <v/>
          </cell>
          <cell r="B998">
            <v>1994</v>
          </cell>
          <cell r="D998" t="str">
            <v/>
          </cell>
          <cell r="F998" t="str">
            <v/>
          </cell>
          <cell r="J998">
            <v>0</v>
          </cell>
          <cell r="L998">
            <v>0</v>
          </cell>
          <cell r="M998">
            <v>0</v>
          </cell>
          <cell r="N998">
            <v>0</v>
          </cell>
          <cell r="O998" t="str">
            <v/>
          </cell>
          <cell r="S998" t="str">
            <v/>
          </cell>
          <cell r="T998" t="str">
            <v/>
          </cell>
        </row>
        <row r="999">
          <cell r="A999" t="str">
            <v/>
          </cell>
          <cell r="B999">
            <v>1995</v>
          </cell>
          <cell r="D999" t="str">
            <v/>
          </cell>
          <cell r="F999" t="str">
            <v/>
          </cell>
          <cell r="J999">
            <v>0</v>
          </cell>
          <cell r="L999">
            <v>0</v>
          </cell>
          <cell r="M999">
            <v>0</v>
          </cell>
          <cell r="N999">
            <v>0</v>
          </cell>
          <cell r="O999" t="str">
            <v/>
          </cell>
          <cell r="S999" t="str">
            <v/>
          </cell>
          <cell r="T999" t="str">
            <v/>
          </cell>
        </row>
        <row r="1000">
          <cell r="A1000" t="str">
            <v/>
          </cell>
          <cell r="B1000">
            <v>1996</v>
          </cell>
          <cell r="D1000" t="str">
            <v/>
          </cell>
          <cell r="F1000" t="str">
            <v/>
          </cell>
          <cell r="J1000">
            <v>0</v>
          </cell>
          <cell r="L1000">
            <v>0</v>
          </cell>
          <cell r="M1000">
            <v>0</v>
          </cell>
          <cell r="N1000">
            <v>0</v>
          </cell>
          <cell r="O1000" t="str">
            <v/>
          </cell>
          <cell r="S1000" t="str">
            <v/>
          </cell>
          <cell r="T1000" t="str">
            <v/>
          </cell>
        </row>
      </sheetData>
      <sheetData sheetId="5" refreshError="1">
        <row r="1">
          <cell r="A1" t="str">
            <v>Brokerage</v>
          </cell>
          <cell r="B1" t="str">
            <v>Sales ID</v>
          </cell>
          <cell r="D1" t="str">
            <v>Puchase ID</v>
          </cell>
          <cell r="E1" t="str">
            <v>Symbols</v>
          </cell>
          <cell r="I1" t="str">
            <v>Quantity Available for Sale</v>
          </cell>
          <cell r="J1" t="str">
            <v>Placement Trade Date</v>
          </cell>
          <cell r="K1" t="str">
            <v>Release Trade Date</v>
          </cell>
          <cell r="L1" t="str">
            <v>Release Settlement Date</v>
          </cell>
          <cell r="M1" t="str">
            <v>Quantity</v>
          </cell>
          <cell r="N1" t="str">
            <v>Rate</v>
          </cell>
          <cell r="O1" t="str">
            <v>Days</v>
          </cell>
          <cell r="P1" t="str">
            <v>CFS Rate</v>
          </cell>
          <cell r="Q1" t="str">
            <v>CFS Rate Per Day</v>
          </cell>
          <cell r="R1" t="str">
            <v>Broker</v>
          </cell>
          <cell r="S1" t="str">
            <v>Brokers Per Day Rate       @ 15%</v>
          </cell>
          <cell r="U1" t="str">
            <v>Sale Proceed</v>
          </cell>
          <cell r="V1" t="str">
            <v>Placement Cost</v>
          </cell>
          <cell r="W1" t="str">
            <v>Brokerage</v>
          </cell>
          <cell r="X1" t="str">
            <v>Total cost</v>
          </cell>
          <cell r="Y1" t="str">
            <v>Gross Income</v>
          </cell>
          <cell r="Z1" t="str">
            <v>Realised Income</v>
          </cell>
        </row>
        <row r="3">
          <cell r="A3" t="str">
            <v/>
          </cell>
          <cell r="B3" t="str">
            <v/>
          </cell>
          <cell r="C3">
            <v>1001</v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L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</row>
        <row r="4">
          <cell r="A4" t="str">
            <v/>
          </cell>
          <cell r="B4" t="str">
            <v/>
          </cell>
          <cell r="C4">
            <v>1002</v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L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</row>
        <row r="5">
          <cell r="A5" t="str">
            <v/>
          </cell>
          <cell r="B5" t="str">
            <v/>
          </cell>
          <cell r="C5">
            <v>1003</v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L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</row>
        <row r="6">
          <cell r="A6" t="str">
            <v/>
          </cell>
          <cell r="B6" t="str">
            <v/>
          </cell>
          <cell r="C6">
            <v>1004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L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</row>
        <row r="7">
          <cell r="A7" t="str">
            <v/>
          </cell>
          <cell r="B7" t="str">
            <v/>
          </cell>
          <cell r="C7">
            <v>1005</v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L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</row>
        <row r="8">
          <cell r="A8" t="str">
            <v/>
          </cell>
          <cell r="B8" t="str">
            <v/>
          </cell>
          <cell r="C8">
            <v>1006</v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L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</row>
        <row r="9">
          <cell r="A9" t="str">
            <v/>
          </cell>
          <cell r="B9" t="str">
            <v/>
          </cell>
          <cell r="C9">
            <v>1007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L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</row>
        <row r="10">
          <cell r="A10" t="str">
            <v/>
          </cell>
          <cell r="B10" t="str">
            <v/>
          </cell>
          <cell r="C10">
            <v>1008</v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L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</row>
        <row r="11">
          <cell r="A11" t="str">
            <v/>
          </cell>
          <cell r="B11" t="str">
            <v/>
          </cell>
          <cell r="C11">
            <v>1009</v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L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</row>
        <row r="12">
          <cell r="A12" t="str">
            <v/>
          </cell>
          <cell r="B12" t="str">
            <v/>
          </cell>
          <cell r="C12">
            <v>1010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L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</row>
        <row r="13">
          <cell r="A13" t="str">
            <v/>
          </cell>
          <cell r="B13" t="str">
            <v/>
          </cell>
          <cell r="C13">
            <v>1011</v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</row>
        <row r="14">
          <cell r="A14" t="str">
            <v/>
          </cell>
          <cell r="B14" t="str">
            <v/>
          </cell>
          <cell r="C14">
            <v>1012</v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L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</row>
        <row r="15">
          <cell r="A15" t="str">
            <v/>
          </cell>
          <cell r="B15" t="str">
            <v/>
          </cell>
          <cell r="C15">
            <v>1013</v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</row>
        <row r="16">
          <cell r="A16" t="str">
            <v/>
          </cell>
          <cell r="B16" t="str">
            <v/>
          </cell>
          <cell r="C16">
            <v>1014</v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</row>
        <row r="17">
          <cell r="A17" t="str">
            <v/>
          </cell>
          <cell r="B17" t="str">
            <v/>
          </cell>
          <cell r="C17">
            <v>1015</v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</row>
        <row r="18">
          <cell r="A18" t="str">
            <v/>
          </cell>
          <cell r="B18" t="str">
            <v/>
          </cell>
          <cell r="C18">
            <v>1016</v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</row>
        <row r="19">
          <cell r="A19" t="str">
            <v/>
          </cell>
          <cell r="B19" t="str">
            <v/>
          </cell>
          <cell r="C19">
            <v>1017</v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</row>
        <row r="20">
          <cell r="A20" t="str">
            <v/>
          </cell>
          <cell r="B20" t="str">
            <v/>
          </cell>
          <cell r="C20">
            <v>1018</v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</row>
        <row r="21">
          <cell r="A21" t="str">
            <v/>
          </cell>
          <cell r="B21" t="str">
            <v/>
          </cell>
          <cell r="C21">
            <v>1019</v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</row>
        <row r="22">
          <cell r="A22" t="str">
            <v/>
          </cell>
          <cell r="B22" t="str">
            <v/>
          </cell>
          <cell r="C22">
            <v>1020</v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</row>
        <row r="23">
          <cell r="A23" t="str">
            <v/>
          </cell>
          <cell r="B23" t="str">
            <v/>
          </cell>
          <cell r="C23">
            <v>1021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</row>
        <row r="24">
          <cell r="A24" t="str">
            <v/>
          </cell>
          <cell r="B24" t="str">
            <v/>
          </cell>
          <cell r="C24">
            <v>1022</v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</row>
        <row r="25">
          <cell r="A25" t="str">
            <v/>
          </cell>
          <cell r="B25" t="str">
            <v/>
          </cell>
          <cell r="C25">
            <v>1023</v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</row>
        <row r="26">
          <cell r="A26" t="str">
            <v/>
          </cell>
          <cell r="B26" t="str">
            <v/>
          </cell>
          <cell r="C26">
            <v>1024</v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</row>
        <row r="27">
          <cell r="A27" t="str">
            <v/>
          </cell>
          <cell r="B27" t="str">
            <v/>
          </cell>
          <cell r="C27">
            <v>1025</v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</row>
        <row r="28">
          <cell r="A28" t="str">
            <v/>
          </cell>
          <cell r="B28" t="str">
            <v/>
          </cell>
          <cell r="C28">
            <v>1026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</row>
        <row r="29">
          <cell r="A29" t="str">
            <v/>
          </cell>
          <cell r="B29" t="str">
            <v/>
          </cell>
          <cell r="C29">
            <v>1027</v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</row>
        <row r="30">
          <cell r="A30" t="str">
            <v/>
          </cell>
          <cell r="B30" t="str">
            <v/>
          </cell>
          <cell r="C30">
            <v>1028</v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</row>
        <row r="31">
          <cell r="A31" t="str">
            <v/>
          </cell>
          <cell r="B31" t="str">
            <v/>
          </cell>
          <cell r="C31">
            <v>1029</v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</row>
        <row r="32">
          <cell r="A32" t="str">
            <v/>
          </cell>
          <cell r="B32" t="str">
            <v/>
          </cell>
          <cell r="C32">
            <v>1030</v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</row>
        <row r="33">
          <cell r="A33" t="str">
            <v/>
          </cell>
          <cell r="B33" t="str">
            <v/>
          </cell>
          <cell r="C33">
            <v>1031</v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</row>
        <row r="34">
          <cell r="A34" t="str">
            <v/>
          </cell>
          <cell r="B34" t="str">
            <v/>
          </cell>
          <cell r="C34">
            <v>1032</v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</row>
        <row r="35">
          <cell r="A35" t="str">
            <v/>
          </cell>
          <cell r="B35" t="str">
            <v/>
          </cell>
          <cell r="C35">
            <v>1033</v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</row>
        <row r="36">
          <cell r="A36" t="str">
            <v/>
          </cell>
          <cell r="B36" t="str">
            <v/>
          </cell>
          <cell r="C36">
            <v>1034</v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</row>
        <row r="37">
          <cell r="A37" t="str">
            <v/>
          </cell>
          <cell r="B37" t="str">
            <v/>
          </cell>
          <cell r="C37">
            <v>1035</v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</row>
        <row r="38">
          <cell r="A38" t="str">
            <v/>
          </cell>
          <cell r="B38" t="str">
            <v/>
          </cell>
          <cell r="C38">
            <v>1036</v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</row>
        <row r="39">
          <cell r="A39" t="str">
            <v/>
          </cell>
          <cell r="B39" t="str">
            <v/>
          </cell>
          <cell r="C39">
            <v>1037</v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</row>
        <row r="40">
          <cell r="A40" t="str">
            <v/>
          </cell>
          <cell r="B40" t="str">
            <v/>
          </cell>
          <cell r="C40">
            <v>1038</v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</row>
        <row r="41">
          <cell r="A41" t="str">
            <v/>
          </cell>
          <cell r="B41" t="str">
            <v/>
          </cell>
          <cell r="C41">
            <v>1039</v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</row>
        <row r="42">
          <cell r="A42" t="str">
            <v/>
          </cell>
          <cell r="B42" t="str">
            <v/>
          </cell>
          <cell r="C42">
            <v>1040</v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</row>
        <row r="43">
          <cell r="A43" t="str">
            <v/>
          </cell>
          <cell r="B43" t="str">
            <v/>
          </cell>
          <cell r="C43">
            <v>1041</v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</row>
        <row r="44">
          <cell r="A44" t="str">
            <v/>
          </cell>
          <cell r="B44" t="str">
            <v/>
          </cell>
          <cell r="C44">
            <v>1042</v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</row>
        <row r="45">
          <cell r="A45" t="str">
            <v/>
          </cell>
          <cell r="B45" t="str">
            <v/>
          </cell>
          <cell r="C45">
            <v>1043</v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</row>
        <row r="46">
          <cell r="A46" t="str">
            <v/>
          </cell>
          <cell r="B46" t="str">
            <v/>
          </cell>
          <cell r="C46">
            <v>1044</v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</row>
        <row r="47">
          <cell r="A47" t="str">
            <v/>
          </cell>
          <cell r="B47" t="str">
            <v/>
          </cell>
          <cell r="C47">
            <v>1045</v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</row>
        <row r="48">
          <cell r="A48" t="str">
            <v/>
          </cell>
          <cell r="B48" t="str">
            <v/>
          </cell>
          <cell r="C48">
            <v>1046</v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</row>
        <row r="49">
          <cell r="A49" t="str">
            <v/>
          </cell>
          <cell r="B49" t="str">
            <v/>
          </cell>
          <cell r="C49">
            <v>1047</v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</row>
        <row r="50">
          <cell r="A50" t="str">
            <v/>
          </cell>
          <cell r="B50" t="str">
            <v/>
          </cell>
          <cell r="C50">
            <v>1048</v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</row>
        <row r="51">
          <cell r="A51" t="str">
            <v/>
          </cell>
          <cell r="B51" t="str">
            <v/>
          </cell>
          <cell r="C51">
            <v>1049</v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</row>
        <row r="52">
          <cell r="A52" t="str">
            <v/>
          </cell>
          <cell r="B52" t="str">
            <v/>
          </cell>
          <cell r="C52">
            <v>1050</v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</row>
        <row r="53">
          <cell r="A53" t="str">
            <v/>
          </cell>
          <cell r="B53" t="str">
            <v/>
          </cell>
          <cell r="C53">
            <v>1051</v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</row>
        <row r="54">
          <cell r="A54" t="str">
            <v/>
          </cell>
          <cell r="B54" t="str">
            <v/>
          </cell>
          <cell r="C54">
            <v>1052</v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</row>
        <row r="55">
          <cell r="A55" t="str">
            <v/>
          </cell>
          <cell r="B55" t="str">
            <v/>
          </cell>
          <cell r="C55">
            <v>1053</v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</row>
        <row r="56">
          <cell r="A56" t="str">
            <v/>
          </cell>
          <cell r="B56" t="str">
            <v/>
          </cell>
          <cell r="C56">
            <v>1054</v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</row>
        <row r="57">
          <cell r="A57" t="str">
            <v/>
          </cell>
          <cell r="B57" t="str">
            <v/>
          </cell>
          <cell r="C57">
            <v>1055</v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</row>
        <row r="58">
          <cell r="A58" t="str">
            <v/>
          </cell>
          <cell r="B58" t="str">
            <v/>
          </cell>
          <cell r="C58">
            <v>1056</v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</row>
        <row r="59">
          <cell r="A59" t="str">
            <v/>
          </cell>
          <cell r="B59" t="str">
            <v/>
          </cell>
          <cell r="C59">
            <v>1057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</row>
        <row r="60">
          <cell r="A60" t="str">
            <v/>
          </cell>
          <cell r="B60" t="str">
            <v/>
          </cell>
          <cell r="C60">
            <v>1058</v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</row>
        <row r="61">
          <cell r="A61" t="str">
            <v/>
          </cell>
          <cell r="B61" t="str">
            <v/>
          </cell>
          <cell r="C61">
            <v>1059</v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</row>
        <row r="62">
          <cell r="A62" t="str">
            <v/>
          </cell>
          <cell r="B62" t="str">
            <v/>
          </cell>
          <cell r="C62">
            <v>1060</v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</row>
        <row r="63">
          <cell r="A63" t="str">
            <v/>
          </cell>
          <cell r="B63" t="str">
            <v/>
          </cell>
          <cell r="C63">
            <v>1061</v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</row>
        <row r="64">
          <cell r="A64" t="str">
            <v/>
          </cell>
          <cell r="B64" t="str">
            <v/>
          </cell>
          <cell r="C64">
            <v>1062</v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</row>
        <row r="65">
          <cell r="A65" t="str">
            <v/>
          </cell>
          <cell r="B65" t="str">
            <v/>
          </cell>
          <cell r="C65">
            <v>1063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</row>
        <row r="66">
          <cell r="A66" t="str">
            <v/>
          </cell>
          <cell r="B66" t="str">
            <v/>
          </cell>
          <cell r="C66">
            <v>1064</v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</row>
        <row r="67">
          <cell r="A67" t="str">
            <v/>
          </cell>
          <cell r="B67" t="str">
            <v/>
          </cell>
          <cell r="C67">
            <v>1065</v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</row>
        <row r="68">
          <cell r="A68" t="str">
            <v/>
          </cell>
          <cell r="B68" t="str">
            <v/>
          </cell>
          <cell r="C68">
            <v>1066</v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</row>
        <row r="69">
          <cell r="A69" t="str">
            <v/>
          </cell>
          <cell r="B69" t="str">
            <v/>
          </cell>
          <cell r="C69">
            <v>1067</v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</row>
        <row r="70">
          <cell r="A70" t="str">
            <v/>
          </cell>
          <cell r="B70" t="str">
            <v/>
          </cell>
          <cell r="C70">
            <v>1068</v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</row>
        <row r="71">
          <cell r="A71" t="str">
            <v/>
          </cell>
          <cell r="B71" t="str">
            <v/>
          </cell>
          <cell r="C71">
            <v>1069</v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</row>
        <row r="72">
          <cell r="A72" t="str">
            <v/>
          </cell>
          <cell r="B72" t="str">
            <v/>
          </cell>
          <cell r="C72">
            <v>1070</v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</row>
        <row r="73">
          <cell r="A73" t="str">
            <v/>
          </cell>
          <cell r="B73" t="str">
            <v/>
          </cell>
          <cell r="C73">
            <v>1071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</row>
        <row r="74">
          <cell r="A74" t="str">
            <v/>
          </cell>
          <cell r="B74" t="str">
            <v/>
          </cell>
          <cell r="C74">
            <v>1072</v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</row>
        <row r="75">
          <cell r="A75" t="str">
            <v/>
          </cell>
          <cell r="B75" t="str">
            <v/>
          </cell>
          <cell r="C75">
            <v>1073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</row>
        <row r="76">
          <cell r="A76" t="str">
            <v/>
          </cell>
          <cell r="B76" t="str">
            <v/>
          </cell>
          <cell r="C76">
            <v>1074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</row>
        <row r="77">
          <cell r="A77" t="str">
            <v/>
          </cell>
          <cell r="B77" t="str">
            <v/>
          </cell>
          <cell r="C77">
            <v>1075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</row>
        <row r="78">
          <cell r="A78" t="str">
            <v/>
          </cell>
          <cell r="B78" t="str">
            <v/>
          </cell>
          <cell r="C78">
            <v>1076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</row>
        <row r="79">
          <cell r="A79" t="str">
            <v/>
          </cell>
          <cell r="B79" t="str">
            <v/>
          </cell>
          <cell r="C79">
            <v>1077</v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</row>
        <row r="80">
          <cell r="A80" t="str">
            <v/>
          </cell>
          <cell r="B80" t="str">
            <v/>
          </cell>
          <cell r="C80">
            <v>1078</v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</row>
        <row r="81">
          <cell r="A81" t="str">
            <v/>
          </cell>
          <cell r="B81" t="str">
            <v/>
          </cell>
          <cell r="C81">
            <v>1079</v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</row>
        <row r="82">
          <cell r="A82" t="str">
            <v/>
          </cell>
          <cell r="B82" t="str">
            <v/>
          </cell>
          <cell r="C82">
            <v>1080</v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</row>
        <row r="83">
          <cell r="A83" t="str">
            <v/>
          </cell>
          <cell r="B83" t="str">
            <v/>
          </cell>
          <cell r="C83">
            <v>1081</v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</row>
        <row r="84">
          <cell r="A84" t="str">
            <v/>
          </cell>
          <cell r="B84" t="str">
            <v/>
          </cell>
          <cell r="C84">
            <v>1082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</row>
        <row r="85">
          <cell r="A85" t="str">
            <v/>
          </cell>
          <cell r="B85" t="str">
            <v/>
          </cell>
          <cell r="C85">
            <v>1083</v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</row>
        <row r="86">
          <cell r="A86" t="str">
            <v/>
          </cell>
          <cell r="B86" t="str">
            <v/>
          </cell>
          <cell r="C86">
            <v>1084</v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</row>
        <row r="87">
          <cell r="A87" t="str">
            <v/>
          </cell>
          <cell r="B87" t="str">
            <v/>
          </cell>
          <cell r="C87">
            <v>1085</v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</row>
        <row r="88">
          <cell r="A88" t="str">
            <v/>
          </cell>
          <cell r="B88" t="str">
            <v/>
          </cell>
          <cell r="C88">
            <v>1086</v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</row>
        <row r="89">
          <cell r="A89" t="str">
            <v/>
          </cell>
          <cell r="B89" t="str">
            <v/>
          </cell>
          <cell r="C89">
            <v>1087</v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</row>
        <row r="90">
          <cell r="A90" t="str">
            <v/>
          </cell>
          <cell r="B90" t="str">
            <v/>
          </cell>
          <cell r="C90">
            <v>1088</v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</row>
        <row r="91">
          <cell r="A91" t="str">
            <v/>
          </cell>
          <cell r="B91" t="str">
            <v/>
          </cell>
          <cell r="C91">
            <v>1089</v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</row>
        <row r="92">
          <cell r="A92" t="str">
            <v/>
          </cell>
          <cell r="B92" t="str">
            <v/>
          </cell>
          <cell r="C92">
            <v>1090</v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</row>
        <row r="93">
          <cell r="A93" t="str">
            <v/>
          </cell>
          <cell r="B93" t="str">
            <v/>
          </cell>
          <cell r="C93">
            <v>1091</v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</row>
        <row r="94">
          <cell r="A94" t="str">
            <v/>
          </cell>
          <cell r="B94" t="str">
            <v/>
          </cell>
          <cell r="C94">
            <v>1092</v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</row>
        <row r="95">
          <cell r="A95" t="str">
            <v/>
          </cell>
          <cell r="B95" t="str">
            <v/>
          </cell>
          <cell r="C95">
            <v>1093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</row>
        <row r="96">
          <cell r="A96" t="str">
            <v/>
          </cell>
          <cell r="B96" t="str">
            <v/>
          </cell>
          <cell r="C96">
            <v>1094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</row>
        <row r="97">
          <cell r="A97" t="str">
            <v/>
          </cell>
          <cell r="B97" t="str">
            <v/>
          </cell>
          <cell r="C97">
            <v>1095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</row>
        <row r="98">
          <cell r="A98" t="str">
            <v/>
          </cell>
          <cell r="B98" t="str">
            <v/>
          </cell>
          <cell r="C98">
            <v>1096</v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L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</row>
        <row r="99">
          <cell r="A99" t="str">
            <v/>
          </cell>
          <cell r="B99" t="str">
            <v/>
          </cell>
          <cell r="C99">
            <v>1097</v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L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</row>
        <row r="100">
          <cell r="A100" t="str">
            <v/>
          </cell>
          <cell r="B100" t="str">
            <v/>
          </cell>
          <cell r="C100">
            <v>1098</v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L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</row>
        <row r="101">
          <cell r="A101" t="str">
            <v/>
          </cell>
          <cell r="B101" t="str">
            <v/>
          </cell>
          <cell r="C101">
            <v>1099</v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L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</row>
        <row r="102">
          <cell r="A102" t="str">
            <v/>
          </cell>
          <cell r="B102" t="str">
            <v/>
          </cell>
          <cell r="C102">
            <v>1100</v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L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</row>
        <row r="103">
          <cell r="A103" t="str">
            <v/>
          </cell>
          <cell r="B103" t="str">
            <v/>
          </cell>
          <cell r="C103">
            <v>1101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L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</row>
        <row r="104">
          <cell r="A104" t="str">
            <v/>
          </cell>
          <cell r="B104" t="str">
            <v/>
          </cell>
          <cell r="C104">
            <v>1102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L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</row>
        <row r="105">
          <cell r="A105" t="str">
            <v/>
          </cell>
          <cell r="B105" t="str">
            <v/>
          </cell>
          <cell r="C105">
            <v>1103</v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L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</row>
        <row r="106">
          <cell r="A106" t="str">
            <v/>
          </cell>
          <cell r="B106" t="str">
            <v/>
          </cell>
          <cell r="C106">
            <v>1104</v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L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</row>
        <row r="107">
          <cell r="A107" t="str">
            <v/>
          </cell>
          <cell r="B107" t="str">
            <v/>
          </cell>
          <cell r="C107">
            <v>1105</v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L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</row>
        <row r="108">
          <cell r="A108" t="str">
            <v/>
          </cell>
          <cell r="B108" t="str">
            <v/>
          </cell>
          <cell r="C108">
            <v>1106</v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L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</row>
        <row r="109">
          <cell r="A109" t="str">
            <v/>
          </cell>
          <cell r="B109" t="str">
            <v/>
          </cell>
          <cell r="C109">
            <v>1107</v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L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</row>
        <row r="110">
          <cell r="A110" t="str">
            <v/>
          </cell>
          <cell r="B110" t="str">
            <v/>
          </cell>
          <cell r="C110">
            <v>1108</v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L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</row>
        <row r="111">
          <cell r="A111" t="str">
            <v/>
          </cell>
          <cell r="B111" t="str">
            <v/>
          </cell>
          <cell r="C111">
            <v>1109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L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</row>
        <row r="112">
          <cell r="A112" t="str">
            <v/>
          </cell>
          <cell r="B112" t="str">
            <v/>
          </cell>
          <cell r="C112">
            <v>1110</v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L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</row>
        <row r="113">
          <cell r="A113" t="str">
            <v/>
          </cell>
          <cell r="B113" t="str">
            <v/>
          </cell>
          <cell r="C113">
            <v>1111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L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</row>
        <row r="114">
          <cell r="A114" t="str">
            <v/>
          </cell>
          <cell r="B114" t="str">
            <v/>
          </cell>
          <cell r="C114">
            <v>1112</v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L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</row>
        <row r="115">
          <cell r="A115" t="str">
            <v/>
          </cell>
          <cell r="B115" t="str">
            <v/>
          </cell>
          <cell r="C115">
            <v>1113</v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L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</row>
        <row r="116">
          <cell r="A116" t="str">
            <v/>
          </cell>
          <cell r="B116" t="str">
            <v/>
          </cell>
          <cell r="C116">
            <v>1114</v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L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</row>
        <row r="117">
          <cell r="A117" t="str">
            <v/>
          </cell>
          <cell r="B117" t="str">
            <v/>
          </cell>
          <cell r="C117">
            <v>1115</v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L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</row>
        <row r="118">
          <cell r="A118" t="str">
            <v/>
          </cell>
          <cell r="B118" t="str">
            <v/>
          </cell>
          <cell r="C118">
            <v>1116</v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L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</row>
        <row r="119">
          <cell r="A119" t="str">
            <v/>
          </cell>
          <cell r="B119" t="str">
            <v/>
          </cell>
          <cell r="C119">
            <v>1117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L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</row>
        <row r="120">
          <cell r="A120" t="str">
            <v/>
          </cell>
          <cell r="B120" t="str">
            <v/>
          </cell>
          <cell r="C120">
            <v>1118</v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L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</row>
        <row r="121">
          <cell r="A121" t="str">
            <v/>
          </cell>
          <cell r="B121" t="str">
            <v/>
          </cell>
          <cell r="C121">
            <v>1119</v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L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</row>
        <row r="122">
          <cell r="A122" t="str">
            <v/>
          </cell>
          <cell r="B122" t="str">
            <v/>
          </cell>
          <cell r="C122">
            <v>1120</v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L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</row>
        <row r="123">
          <cell r="A123" t="str">
            <v/>
          </cell>
          <cell r="B123" t="str">
            <v/>
          </cell>
          <cell r="C123">
            <v>1121</v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L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</row>
        <row r="124">
          <cell r="A124" t="str">
            <v/>
          </cell>
          <cell r="B124" t="str">
            <v/>
          </cell>
          <cell r="C124">
            <v>1122</v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L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</row>
        <row r="125">
          <cell r="A125" t="str">
            <v/>
          </cell>
          <cell r="B125" t="str">
            <v/>
          </cell>
          <cell r="C125">
            <v>1123</v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L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</row>
        <row r="126">
          <cell r="A126" t="str">
            <v/>
          </cell>
          <cell r="B126" t="str">
            <v/>
          </cell>
          <cell r="C126">
            <v>1124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L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</row>
        <row r="127">
          <cell r="A127" t="str">
            <v/>
          </cell>
          <cell r="B127" t="str">
            <v/>
          </cell>
          <cell r="C127">
            <v>1125</v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L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</row>
        <row r="128">
          <cell r="A128" t="str">
            <v/>
          </cell>
          <cell r="B128" t="str">
            <v/>
          </cell>
          <cell r="C128">
            <v>1126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L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</row>
        <row r="129">
          <cell r="A129" t="str">
            <v/>
          </cell>
          <cell r="B129" t="str">
            <v/>
          </cell>
          <cell r="C129">
            <v>1127</v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L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</row>
        <row r="130">
          <cell r="A130" t="str">
            <v/>
          </cell>
          <cell r="B130" t="str">
            <v/>
          </cell>
          <cell r="C130">
            <v>1128</v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L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</row>
        <row r="131">
          <cell r="A131" t="str">
            <v/>
          </cell>
          <cell r="B131" t="str">
            <v/>
          </cell>
          <cell r="C131">
            <v>1129</v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L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</row>
        <row r="132">
          <cell r="A132" t="str">
            <v/>
          </cell>
          <cell r="B132" t="str">
            <v/>
          </cell>
          <cell r="C132">
            <v>1130</v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L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</row>
        <row r="133">
          <cell r="A133" t="str">
            <v/>
          </cell>
          <cell r="B133" t="str">
            <v/>
          </cell>
          <cell r="C133">
            <v>1131</v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L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</row>
        <row r="134">
          <cell r="A134" t="str">
            <v/>
          </cell>
          <cell r="B134" t="str">
            <v/>
          </cell>
          <cell r="C134">
            <v>1132</v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L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</row>
        <row r="135">
          <cell r="A135" t="str">
            <v/>
          </cell>
          <cell r="B135" t="str">
            <v/>
          </cell>
          <cell r="C135">
            <v>1133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L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</row>
        <row r="136">
          <cell r="A136" t="str">
            <v/>
          </cell>
          <cell r="B136" t="str">
            <v/>
          </cell>
          <cell r="C136">
            <v>1134</v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L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</row>
        <row r="137">
          <cell r="A137" t="str">
            <v/>
          </cell>
          <cell r="B137" t="str">
            <v/>
          </cell>
          <cell r="C137">
            <v>1135</v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L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</row>
        <row r="138">
          <cell r="A138" t="str">
            <v/>
          </cell>
          <cell r="B138" t="str">
            <v/>
          </cell>
          <cell r="C138">
            <v>1136</v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L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</row>
        <row r="139">
          <cell r="A139" t="str">
            <v/>
          </cell>
          <cell r="B139" t="str">
            <v/>
          </cell>
          <cell r="C139">
            <v>1137</v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L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</row>
        <row r="140">
          <cell r="A140" t="str">
            <v/>
          </cell>
          <cell r="B140" t="str">
            <v/>
          </cell>
          <cell r="C140">
            <v>1138</v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L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</row>
        <row r="141">
          <cell r="A141" t="str">
            <v/>
          </cell>
          <cell r="B141" t="str">
            <v/>
          </cell>
          <cell r="C141">
            <v>1139</v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L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</row>
        <row r="142">
          <cell r="A142" t="str">
            <v/>
          </cell>
          <cell r="B142" t="str">
            <v/>
          </cell>
          <cell r="C142">
            <v>1140</v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L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</row>
        <row r="143">
          <cell r="A143" t="str">
            <v/>
          </cell>
          <cell r="B143" t="str">
            <v/>
          </cell>
          <cell r="C143">
            <v>1141</v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L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</row>
        <row r="144">
          <cell r="A144" t="str">
            <v/>
          </cell>
          <cell r="B144" t="str">
            <v/>
          </cell>
          <cell r="C144">
            <v>1142</v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L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</row>
        <row r="145">
          <cell r="A145" t="str">
            <v/>
          </cell>
          <cell r="B145" t="str">
            <v/>
          </cell>
          <cell r="C145">
            <v>1143</v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L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</row>
        <row r="146">
          <cell r="A146" t="str">
            <v/>
          </cell>
          <cell r="B146" t="str">
            <v/>
          </cell>
          <cell r="C146">
            <v>1144</v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L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</row>
        <row r="147">
          <cell r="A147" t="str">
            <v/>
          </cell>
          <cell r="B147" t="str">
            <v/>
          </cell>
          <cell r="C147">
            <v>1145</v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L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</row>
        <row r="148">
          <cell r="A148" t="str">
            <v/>
          </cell>
          <cell r="B148" t="str">
            <v/>
          </cell>
          <cell r="C148">
            <v>1146</v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L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</row>
        <row r="149">
          <cell r="A149" t="str">
            <v/>
          </cell>
          <cell r="B149" t="str">
            <v/>
          </cell>
          <cell r="C149">
            <v>1147</v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L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</row>
        <row r="150">
          <cell r="A150" t="str">
            <v/>
          </cell>
          <cell r="B150" t="str">
            <v/>
          </cell>
          <cell r="C150">
            <v>1148</v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L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</row>
        <row r="151">
          <cell r="A151" t="str">
            <v/>
          </cell>
          <cell r="B151" t="str">
            <v/>
          </cell>
          <cell r="C151">
            <v>1149</v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L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</row>
        <row r="152">
          <cell r="A152" t="str">
            <v/>
          </cell>
          <cell r="B152" t="str">
            <v/>
          </cell>
          <cell r="C152">
            <v>1150</v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L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</row>
        <row r="153">
          <cell r="A153" t="str">
            <v/>
          </cell>
          <cell r="B153" t="str">
            <v/>
          </cell>
          <cell r="C153">
            <v>1151</v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L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</row>
        <row r="154">
          <cell r="A154" t="str">
            <v/>
          </cell>
          <cell r="B154" t="str">
            <v/>
          </cell>
          <cell r="C154">
            <v>1152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L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</row>
        <row r="155">
          <cell r="A155" t="str">
            <v/>
          </cell>
          <cell r="B155" t="str">
            <v/>
          </cell>
          <cell r="C155">
            <v>1153</v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L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</row>
        <row r="156">
          <cell r="A156" t="str">
            <v/>
          </cell>
          <cell r="B156" t="str">
            <v/>
          </cell>
          <cell r="C156">
            <v>1154</v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L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</row>
        <row r="157">
          <cell r="A157" t="str">
            <v/>
          </cell>
          <cell r="B157" t="str">
            <v/>
          </cell>
          <cell r="C157">
            <v>1155</v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L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</row>
        <row r="158">
          <cell r="A158" t="str">
            <v/>
          </cell>
          <cell r="B158" t="str">
            <v/>
          </cell>
          <cell r="C158">
            <v>1156</v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L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</row>
        <row r="159">
          <cell r="A159" t="str">
            <v/>
          </cell>
          <cell r="B159" t="str">
            <v/>
          </cell>
          <cell r="C159">
            <v>1157</v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L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</row>
        <row r="160">
          <cell r="A160" t="str">
            <v/>
          </cell>
          <cell r="B160" t="str">
            <v/>
          </cell>
          <cell r="C160">
            <v>1158</v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L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</row>
        <row r="161">
          <cell r="A161" t="str">
            <v/>
          </cell>
          <cell r="B161" t="str">
            <v/>
          </cell>
          <cell r="C161">
            <v>1159</v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L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</row>
        <row r="162">
          <cell r="A162" t="str">
            <v/>
          </cell>
          <cell r="B162" t="str">
            <v/>
          </cell>
          <cell r="C162">
            <v>1160</v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L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</row>
        <row r="163">
          <cell r="A163" t="str">
            <v/>
          </cell>
          <cell r="B163" t="str">
            <v/>
          </cell>
          <cell r="C163">
            <v>1161</v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L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</row>
        <row r="164">
          <cell r="A164" t="str">
            <v/>
          </cell>
          <cell r="B164" t="str">
            <v/>
          </cell>
          <cell r="C164">
            <v>1162</v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L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</row>
        <row r="165">
          <cell r="A165" t="str">
            <v/>
          </cell>
          <cell r="B165" t="str">
            <v/>
          </cell>
          <cell r="C165">
            <v>1163</v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L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</row>
        <row r="166">
          <cell r="A166" t="str">
            <v/>
          </cell>
          <cell r="B166" t="str">
            <v/>
          </cell>
          <cell r="C166">
            <v>1164</v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L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</row>
        <row r="167">
          <cell r="A167" t="str">
            <v/>
          </cell>
          <cell r="B167" t="str">
            <v/>
          </cell>
          <cell r="C167">
            <v>1165</v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L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</row>
        <row r="168">
          <cell r="A168" t="str">
            <v/>
          </cell>
          <cell r="B168" t="str">
            <v/>
          </cell>
          <cell r="C168">
            <v>1166</v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L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</row>
        <row r="169">
          <cell r="A169" t="str">
            <v/>
          </cell>
          <cell r="B169" t="str">
            <v/>
          </cell>
          <cell r="C169">
            <v>1167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L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</row>
        <row r="170">
          <cell r="A170" t="str">
            <v/>
          </cell>
          <cell r="B170" t="str">
            <v/>
          </cell>
          <cell r="C170">
            <v>1168</v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L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</row>
        <row r="171">
          <cell r="A171" t="str">
            <v/>
          </cell>
          <cell r="B171" t="str">
            <v/>
          </cell>
          <cell r="C171">
            <v>1169</v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L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</row>
        <row r="172">
          <cell r="A172" t="str">
            <v/>
          </cell>
          <cell r="B172" t="str">
            <v/>
          </cell>
          <cell r="C172">
            <v>1170</v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L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</row>
        <row r="173">
          <cell r="A173" t="str">
            <v/>
          </cell>
          <cell r="B173" t="str">
            <v/>
          </cell>
          <cell r="C173">
            <v>1171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L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</row>
        <row r="174">
          <cell r="A174" t="str">
            <v/>
          </cell>
          <cell r="B174" t="str">
            <v/>
          </cell>
          <cell r="C174">
            <v>1172</v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L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</row>
        <row r="175">
          <cell r="A175" t="str">
            <v/>
          </cell>
          <cell r="B175" t="str">
            <v/>
          </cell>
          <cell r="C175">
            <v>1173</v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L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</row>
        <row r="176">
          <cell r="A176" t="str">
            <v/>
          </cell>
          <cell r="B176" t="str">
            <v/>
          </cell>
          <cell r="C176">
            <v>1174</v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L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</row>
        <row r="177">
          <cell r="A177" t="str">
            <v/>
          </cell>
          <cell r="B177" t="str">
            <v/>
          </cell>
          <cell r="C177">
            <v>1175</v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L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</row>
        <row r="178">
          <cell r="A178" t="str">
            <v/>
          </cell>
          <cell r="B178" t="str">
            <v/>
          </cell>
          <cell r="C178">
            <v>1176</v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L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</row>
        <row r="179">
          <cell r="A179" t="str">
            <v/>
          </cell>
          <cell r="B179" t="str">
            <v/>
          </cell>
          <cell r="C179">
            <v>1177</v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L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</row>
        <row r="180">
          <cell r="A180" t="str">
            <v/>
          </cell>
          <cell r="B180" t="str">
            <v/>
          </cell>
          <cell r="C180">
            <v>1178</v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L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</row>
        <row r="181">
          <cell r="A181" t="str">
            <v/>
          </cell>
          <cell r="B181" t="str">
            <v/>
          </cell>
          <cell r="C181">
            <v>1179</v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L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</row>
        <row r="182">
          <cell r="A182" t="str">
            <v/>
          </cell>
          <cell r="B182" t="str">
            <v/>
          </cell>
          <cell r="C182">
            <v>1180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L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</row>
        <row r="183">
          <cell r="A183" t="str">
            <v/>
          </cell>
          <cell r="B183" t="str">
            <v/>
          </cell>
          <cell r="C183">
            <v>1181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L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</row>
        <row r="184">
          <cell r="A184" t="str">
            <v/>
          </cell>
          <cell r="B184" t="str">
            <v/>
          </cell>
          <cell r="C184">
            <v>1182</v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L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</row>
        <row r="185">
          <cell r="A185" t="str">
            <v/>
          </cell>
          <cell r="B185" t="str">
            <v/>
          </cell>
          <cell r="C185">
            <v>1183</v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L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</row>
        <row r="186">
          <cell r="A186" t="str">
            <v/>
          </cell>
          <cell r="B186" t="str">
            <v/>
          </cell>
          <cell r="C186">
            <v>1184</v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L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</row>
        <row r="187">
          <cell r="A187" t="str">
            <v/>
          </cell>
          <cell r="B187" t="str">
            <v/>
          </cell>
          <cell r="C187">
            <v>1185</v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L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</row>
        <row r="188">
          <cell r="A188" t="str">
            <v/>
          </cell>
          <cell r="B188" t="str">
            <v/>
          </cell>
          <cell r="C188">
            <v>1186</v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L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</row>
        <row r="189">
          <cell r="A189" t="str">
            <v/>
          </cell>
          <cell r="B189" t="str">
            <v/>
          </cell>
          <cell r="C189">
            <v>1187</v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L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</row>
        <row r="190">
          <cell r="A190" t="str">
            <v/>
          </cell>
          <cell r="B190" t="str">
            <v/>
          </cell>
          <cell r="C190">
            <v>1188</v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L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</row>
        <row r="191">
          <cell r="A191" t="str">
            <v/>
          </cell>
          <cell r="B191" t="str">
            <v/>
          </cell>
          <cell r="C191">
            <v>1189</v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L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</row>
        <row r="192">
          <cell r="A192" t="str">
            <v/>
          </cell>
          <cell r="B192" t="str">
            <v/>
          </cell>
          <cell r="C192">
            <v>1190</v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L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</row>
        <row r="193">
          <cell r="A193" t="str">
            <v/>
          </cell>
          <cell r="B193" t="str">
            <v/>
          </cell>
          <cell r="C193">
            <v>1191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L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</row>
        <row r="194">
          <cell r="A194" t="str">
            <v/>
          </cell>
          <cell r="B194" t="str">
            <v/>
          </cell>
          <cell r="C194">
            <v>1192</v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L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</row>
        <row r="195">
          <cell r="A195" t="str">
            <v/>
          </cell>
          <cell r="B195" t="str">
            <v/>
          </cell>
          <cell r="C195">
            <v>1193</v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L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</row>
        <row r="196">
          <cell r="A196" t="str">
            <v/>
          </cell>
          <cell r="B196" t="str">
            <v/>
          </cell>
          <cell r="C196">
            <v>1194</v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L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</row>
        <row r="197">
          <cell r="A197" t="str">
            <v/>
          </cell>
          <cell r="B197" t="str">
            <v/>
          </cell>
          <cell r="C197">
            <v>1195</v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L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</row>
        <row r="198">
          <cell r="A198" t="str">
            <v/>
          </cell>
          <cell r="B198" t="str">
            <v/>
          </cell>
          <cell r="C198">
            <v>1196</v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L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</row>
        <row r="199">
          <cell r="A199" t="str">
            <v/>
          </cell>
          <cell r="B199" t="str">
            <v/>
          </cell>
          <cell r="C199">
            <v>1197</v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L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</row>
        <row r="200">
          <cell r="A200" t="str">
            <v/>
          </cell>
          <cell r="B200" t="str">
            <v/>
          </cell>
          <cell r="C200">
            <v>1198</v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L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</row>
        <row r="201">
          <cell r="A201" t="str">
            <v/>
          </cell>
          <cell r="B201" t="str">
            <v/>
          </cell>
          <cell r="C201">
            <v>1199</v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L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</row>
        <row r="202">
          <cell r="A202" t="str">
            <v/>
          </cell>
          <cell r="B202" t="str">
            <v/>
          </cell>
          <cell r="C202">
            <v>1200</v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L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</row>
        <row r="203">
          <cell r="A203" t="str">
            <v/>
          </cell>
          <cell r="B203" t="str">
            <v/>
          </cell>
          <cell r="C203">
            <v>1201</v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L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</row>
        <row r="204">
          <cell r="A204" t="str">
            <v/>
          </cell>
          <cell r="B204" t="str">
            <v/>
          </cell>
          <cell r="C204">
            <v>1202</v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L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</row>
        <row r="205">
          <cell r="A205" t="str">
            <v/>
          </cell>
          <cell r="B205" t="str">
            <v/>
          </cell>
          <cell r="C205">
            <v>1203</v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L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</row>
        <row r="206">
          <cell r="A206" t="str">
            <v/>
          </cell>
          <cell r="B206" t="str">
            <v/>
          </cell>
          <cell r="C206">
            <v>1204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L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</row>
        <row r="207">
          <cell r="A207" t="str">
            <v/>
          </cell>
          <cell r="B207" t="str">
            <v/>
          </cell>
          <cell r="C207">
            <v>1205</v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L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</row>
        <row r="208">
          <cell r="A208" t="str">
            <v/>
          </cell>
          <cell r="B208" t="str">
            <v/>
          </cell>
          <cell r="C208">
            <v>1206</v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L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</row>
        <row r="209">
          <cell r="A209" t="str">
            <v/>
          </cell>
          <cell r="B209" t="str">
            <v/>
          </cell>
          <cell r="C209">
            <v>1207</v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L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</row>
        <row r="210">
          <cell r="A210" t="str">
            <v/>
          </cell>
          <cell r="B210" t="str">
            <v/>
          </cell>
          <cell r="C210">
            <v>1208</v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L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</row>
        <row r="211">
          <cell r="A211" t="str">
            <v/>
          </cell>
          <cell r="B211" t="str">
            <v/>
          </cell>
          <cell r="C211">
            <v>1209</v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L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</row>
        <row r="212">
          <cell r="A212" t="str">
            <v/>
          </cell>
          <cell r="B212" t="str">
            <v/>
          </cell>
          <cell r="C212">
            <v>1210</v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L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</row>
        <row r="213">
          <cell r="A213" t="str">
            <v/>
          </cell>
          <cell r="B213" t="str">
            <v/>
          </cell>
          <cell r="C213">
            <v>1211</v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L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</row>
        <row r="214">
          <cell r="A214" t="str">
            <v/>
          </cell>
          <cell r="B214" t="str">
            <v/>
          </cell>
          <cell r="C214">
            <v>1212</v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L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</row>
        <row r="215">
          <cell r="A215" t="str">
            <v/>
          </cell>
          <cell r="B215" t="str">
            <v/>
          </cell>
          <cell r="C215">
            <v>1213</v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L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</row>
        <row r="216">
          <cell r="A216" t="str">
            <v/>
          </cell>
          <cell r="B216" t="str">
            <v/>
          </cell>
          <cell r="C216">
            <v>1214</v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L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</row>
        <row r="217">
          <cell r="A217" t="str">
            <v/>
          </cell>
          <cell r="B217" t="str">
            <v/>
          </cell>
          <cell r="C217">
            <v>1215</v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L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</row>
        <row r="218">
          <cell r="A218" t="str">
            <v/>
          </cell>
          <cell r="B218" t="str">
            <v/>
          </cell>
          <cell r="C218">
            <v>1216</v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L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</row>
        <row r="219">
          <cell r="A219" t="str">
            <v/>
          </cell>
          <cell r="B219" t="str">
            <v/>
          </cell>
          <cell r="C219">
            <v>1217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L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</row>
        <row r="220">
          <cell r="A220" t="str">
            <v/>
          </cell>
          <cell r="B220" t="str">
            <v/>
          </cell>
          <cell r="C220">
            <v>1218</v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L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</row>
        <row r="221">
          <cell r="A221" t="str">
            <v/>
          </cell>
          <cell r="B221" t="str">
            <v/>
          </cell>
          <cell r="C221">
            <v>1219</v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L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</row>
        <row r="222">
          <cell r="A222" t="str">
            <v/>
          </cell>
          <cell r="B222" t="str">
            <v/>
          </cell>
          <cell r="C222">
            <v>1220</v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L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</row>
        <row r="223">
          <cell r="A223" t="str">
            <v/>
          </cell>
          <cell r="B223" t="str">
            <v/>
          </cell>
          <cell r="C223">
            <v>1221</v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L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</row>
        <row r="224">
          <cell r="A224" t="str">
            <v/>
          </cell>
          <cell r="B224" t="str">
            <v/>
          </cell>
          <cell r="C224">
            <v>1222</v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L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</row>
        <row r="225">
          <cell r="A225" t="str">
            <v/>
          </cell>
          <cell r="B225" t="str">
            <v/>
          </cell>
          <cell r="C225">
            <v>1223</v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L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</row>
        <row r="226">
          <cell r="A226" t="str">
            <v/>
          </cell>
          <cell r="B226" t="str">
            <v/>
          </cell>
          <cell r="C226">
            <v>1224</v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L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</row>
        <row r="227">
          <cell r="A227" t="str">
            <v/>
          </cell>
          <cell r="B227" t="str">
            <v/>
          </cell>
          <cell r="C227">
            <v>1225</v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L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</row>
        <row r="228">
          <cell r="A228" t="str">
            <v/>
          </cell>
          <cell r="B228" t="str">
            <v/>
          </cell>
          <cell r="C228">
            <v>1226</v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L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</row>
        <row r="229">
          <cell r="A229" t="str">
            <v/>
          </cell>
          <cell r="B229" t="str">
            <v/>
          </cell>
          <cell r="C229">
            <v>1227</v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L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</row>
        <row r="230">
          <cell r="A230" t="str">
            <v/>
          </cell>
          <cell r="B230" t="str">
            <v/>
          </cell>
          <cell r="C230">
            <v>1228</v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L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</row>
        <row r="231">
          <cell r="A231" t="str">
            <v/>
          </cell>
          <cell r="B231" t="str">
            <v/>
          </cell>
          <cell r="C231">
            <v>1229</v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L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</row>
        <row r="232">
          <cell r="A232" t="str">
            <v/>
          </cell>
          <cell r="B232" t="str">
            <v/>
          </cell>
          <cell r="C232">
            <v>1230</v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L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</row>
        <row r="233">
          <cell r="A233" t="str">
            <v/>
          </cell>
          <cell r="B233" t="str">
            <v/>
          </cell>
          <cell r="C233">
            <v>1231</v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L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</row>
        <row r="234">
          <cell r="A234" t="str">
            <v/>
          </cell>
          <cell r="B234" t="str">
            <v/>
          </cell>
          <cell r="C234">
            <v>1232</v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L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</row>
        <row r="235">
          <cell r="A235" t="str">
            <v/>
          </cell>
          <cell r="B235" t="str">
            <v/>
          </cell>
          <cell r="C235">
            <v>1233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L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</row>
        <row r="236">
          <cell r="A236" t="str">
            <v/>
          </cell>
          <cell r="B236" t="str">
            <v/>
          </cell>
          <cell r="C236">
            <v>1234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L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</row>
        <row r="237">
          <cell r="A237" t="str">
            <v/>
          </cell>
          <cell r="B237" t="str">
            <v/>
          </cell>
          <cell r="C237">
            <v>1235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L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</row>
        <row r="238">
          <cell r="A238" t="str">
            <v/>
          </cell>
          <cell r="B238" t="str">
            <v/>
          </cell>
          <cell r="C238">
            <v>1236</v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L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</row>
        <row r="239">
          <cell r="A239" t="str">
            <v/>
          </cell>
          <cell r="B239" t="str">
            <v/>
          </cell>
          <cell r="C239">
            <v>1237</v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L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</row>
        <row r="240">
          <cell r="A240" t="str">
            <v/>
          </cell>
          <cell r="B240" t="str">
            <v/>
          </cell>
          <cell r="C240">
            <v>1238</v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L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</row>
        <row r="241">
          <cell r="A241" t="str">
            <v/>
          </cell>
          <cell r="B241" t="str">
            <v/>
          </cell>
          <cell r="C241">
            <v>1239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L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</row>
        <row r="242">
          <cell r="A242" t="str">
            <v/>
          </cell>
          <cell r="B242" t="str">
            <v/>
          </cell>
          <cell r="C242">
            <v>1240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L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</row>
        <row r="243">
          <cell r="A243" t="str">
            <v/>
          </cell>
          <cell r="B243" t="str">
            <v/>
          </cell>
          <cell r="C243">
            <v>1241</v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L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</row>
        <row r="244">
          <cell r="A244" t="str">
            <v/>
          </cell>
          <cell r="B244" t="str">
            <v/>
          </cell>
          <cell r="C244">
            <v>1242</v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L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</row>
        <row r="245">
          <cell r="A245" t="str">
            <v/>
          </cell>
          <cell r="B245" t="str">
            <v/>
          </cell>
          <cell r="C245">
            <v>1243</v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L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</row>
        <row r="246">
          <cell r="A246" t="str">
            <v/>
          </cell>
          <cell r="B246" t="str">
            <v/>
          </cell>
          <cell r="C246">
            <v>1244</v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L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</row>
        <row r="247">
          <cell r="A247" t="str">
            <v/>
          </cell>
          <cell r="B247" t="str">
            <v/>
          </cell>
          <cell r="C247">
            <v>1245</v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L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</row>
        <row r="248">
          <cell r="A248" t="str">
            <v/>
          </cell>
          <cell r="B248" t="str">
            <v/>
          </cell>
          <cell r="C248">
            <v>1246</v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L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</row>
        <row r="249">
          <cell r="A249" t="str">
            <v/>
          </cell>
          <cell r="B249" t="str">
            <v/>
          </cell>
          <cell r="C249">
            <v>1247</v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L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</row>
        <row r="250">
          <cell r="A250" t="str">
            <v/>
          </cell>
          <cell r="B250" t="str">
            <v/>
          </cell>
          <cell r="C250">
            <v>1248</v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L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</row>
        <row r="251">
          <cell r="A251" t="str">
            <v/>
          </cell>
          <cell r="B251" t="str">
            <v/>
          </cell>
          <cell r="C251">
            <v>1249</v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L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</row>
        <row r="252">
          <cell r="A252" t="str">
            <v/>
          </cell>
          <cell r="B252" t="str">
            <v/>
          </cell>
          <cell r="C252">
            <v>1250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L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</row>
        <row r="253">
          <cell r="A253" t="str">
            <v/>
          </cell>
          <cell r="B253" t="str">
            <v/>
          </cell>
          <cell r="C253">
            <v>1251</v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L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</row>
        <row r="254">
          <cell r="A254" t="str">
            <v/>
          </cell>
          <cell r="B254" t="str">
            <v/>
          </cell>
          <cell r="C254">
            <v>1252</v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L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</row>
        <row r="255">
          <cell r="A255" t="str">
            <v/>
          </cell>
          <cell r="B255" t="str">
            <v/>
          </cell>
          <cell r="C255">
            <v>1253</v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L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</row>
        <row r="256">
          <cell r="A256" t="str">
            <v/>
          </cell>
          <cell r="B256" t="str">
            <v/>
          </cell>
          <cell r="C256">
            <v>1254</v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L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  <cell r="Z256" t="str">
            <v/>
          </cell>
        </row>
        <row r="257">
          <cell r="A257" t="str">
            <v/>
          </cell>
          <cell r="B257" t="str">
            <v/>
          </cell>
          <cell r="C257">
            <v>1255</v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L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  <cell r="Z257" t="str">
            <v/>
          </cell>
        </row>
        <row r="258">
          <cell r="A258" t="str">
            <v/>
          </cell>
          <cell r="B258" t="str">
            <v/>
          </cell>
          <cell r="C258">
            <v>1256</v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L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  <cell r="Z258" t="str">
            <v/>
          </cell>
        </row>
        <row r="259">
          <cell r="A259" t="str">
            <v/>
          </cell>
          <cell r="B259" t="str">
            <v/>
          </cell>
          <cell r="C259">
            <v>1257</v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L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  <cell r="Z259" t="str">
            <v/>
          </cell>
        </row>
        <row r="260">
          <cell r="A260" t="str">
            <v/>
          </cell>
          <cell r="B260" t="str">
            <v/>
          </cell>
          <cell r="C260">
            <v>1258</v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L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  <cell r="Z260" t="str">
            <v/>
          </cell>
        </row>
        <row r="261">
          <cell r="A261" t="str">
            <v/>
          </cell>
          <cell r="B261" t="str">
            <v/>
          </cell>
          <cell r="C261">
            <v>1259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L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</row>
        <row r="262">
          <cell r="A262" t="str">
            <v/>
          </cell>
          <cell r="B262" t="str">
            <v/>
          </cell>
          <cell r="C262">
            <v>1260</v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L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</row>
        <row r="263">
          <cell r="A263" t="str">
            <v/>
          </cell>
          <cell r="B263" t="str">
            <v/>
          </cell>
          <cell r="C263">
            <v>1261</v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L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</row>
        <row r="264">
          <cell r="A264" t="str">
            <v/>
          </cell>
          <cell r="B264" t="str">
            <v/>
          </cell>
          <cell r="C264">
            <v>1262</v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L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  <cell r="Z264" t="str">
            <v/>
          </cell>
        </row>
        <row r="265">
          <cell r="A265" t="str">
            <v/>
          </cell>
          <cell r="B265" t="str">
            <v/>
          </cell>
          <cell r="C265">
            <v>1263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L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  <cell r="Z265" t="str">
            <v/>
          </cell>
        </row>
        <row r="266">
          <cell r="A266" t="str">
            <v/>
          </cell>
          <cell r="B266" t="str">
            <v/>
          </cell>
          <cell r="C266">
            <v>1264</v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L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  <cell r="Z266" t="str">
            <v/>
          </cell>
        </row>
        <row r="267">
          <cell r="A267" t="str">
            <v/>
          </cell>
          <cell r="B267" t="str">
            <v/>
          </cell>
          <cell r="C267">
            <v>1265</v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L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  <cell r="Z267" t="str">
            <v/>
          </cell>
        </row>
        <row r="268">
          <cell r="A268" t="str">
            <v/>
          </cell>
          <cell r="B268" t="str">
            <v/>
          </cell>
          <cell r="C268">
            <v>1266</v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L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  <cell r="Z268" t="str">
            <v/>
          </cell>
        </row>
        <row r="269">
          <cell r="A269" t="str">
            <v/>
          </cell>
          <cell r="B269" t="str">
            <v/>
          </cell>
          <cell r="C269">
            <v>1267</v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L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</row>
        <row r="270">
          <cell r="A270" t="str">
            <v/>
          </cell>
          <cell r="B270" t="str">
            <v/>
          </cell>
          <cell r="C270">
            <v>1268</v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L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</row>
        <row r="271">
          <cell r="A271" t="str">
            <v/>
          </cell>
          <cell r="B271" t="str">
            <v/>
          </cell>
          <cell r="C271">
            <v>1269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L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</row>
        <row r="272">
          <cell r="A272" t="str">
            <v/>
          </cell>
          <cell r="B272" t="str">
            <v/>
          </cell>
          <cell r="C272">
            <v>1270</v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L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</row>
        <row r="273">
          <cell r="A273" t="str">
            <v/>
          </cell>
          <cell r="B273" t="str">
            <v/>
          </cell>
          <cell r="C273">
            <v>1271</v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L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</row>
        <row r="274">
          <cell r="A274" t="str">
            <v/>
          </cell>
          <cell r="B274" t="str">
            <v/>
          </cell>
          <cell r="C274">
            <v>1272</v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L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</row>
        <row r="275">
          <cell r="A275" t="str">
            <v/>
          </cell>
          <cell r="B275" t="str">
            <v/>
          </cell>
          <cell r="C275">
            <v>1273</v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L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  <cell r="Z275" t="str">
            <v/>
          </cell>
        </row>
        <row r="276">
          <cell r="A276" t="str">
            <v/>
          </cell>
          <cell r="B276" t="str">
            <v/>
          </cell>
          <cell r="C276">
            <v>1274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L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  <cell r="Z276" t="str">
            <v/>
          </cell>
        </row>
        <row r="277">
          <cell r="A277" t="str">
            <v/>
          </cell>
          <cell r="B277" t="str">
            <v/>
          </cell>
          <cell r="C277">
            <v>1275</v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L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</row>
        <row r="278">
          <cell r="A278" t="str">
            <v/>
          </cell>
          <cell r="B278" t="str">
            <v/>
          </cell>
          <cell r="C278">
            <v>1276</v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L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  <cell r="Z278" t="str">
            <v/>
          </cell>
        </row>
        <row r="279">
          <cell r="A279" t="str">
            <v/>
          </cell>
          <cell r="B279" t="str">
            <v/>
          </cell>
          <cell r="C279">
            <v>1277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L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  <cell r="Z279" t="str">
            <v/>
          </cell>
        </row>
        <row r="280">
          <cell r="A280" t="str">
            <v/>
          </cell>
          <cell r="B280" t="str">
            <v/>
          </cell>
          <cell r="C280">
            <v>1278</v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L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  <cell r="Z280" t="str">
            <v/>
          </cell>
        </row>
        <row r="281">
          <cell r="A281" t="str">
            <v/>
          </cell>
          <cell r="B281" t="str">
            <v/>
          </cell>
          <cell r="C281">
            <v>1279</v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L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  <cell r="Z281" t="str">
            <v/>
          </cell>
        </row>
        <row r="282">
          <cell r="A282" t="str">
            <v/>
          </cell>
          <cell r="B282" t="str">
            <v/>
          </cell>
          <cell r="C282">
            <v>1280</v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L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  <cell r="Z282" t="str">
            <v/>
          </cell>
        </row>
        <row r="283">
          <cell r="A283" t="str">
            <v/>
          </cell>
          <cell r="B283" t="str">
            <v/>
          </cell>
          <cell r="C283">
            <v>1281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L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  <cell r="Z283" t="str">
            <v/>
          </cell>
        </row>
        <row r="284">
          <cell r="A284" t="str">
            <v/>
          </cell>
          <cell r="B284" t="str">
            <v/>
          </cell>
          <cell r="C284">
            <v>1282</v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L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</row>
        <row r="285">
          <cell r="A285" t="str">
            <v/>
          </cell>
          <cell r="B285" t="str">
            <v/>
          </cell>
          <cell r="C285">
            <v>1283</v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L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</row>
        <row r="286">
          <cell r="A286" t="str">
            <v/>
          </cell>
          <cell r="B286" t="str">
            <v/>
          </cell>
          <cell r="C286">
            <v>1284</v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L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</row>
        <row r="287">
          <cell r="A287" t="str">
            <v/>
          </cell>
          <cell r="B287" t="str">
            <v/>
          </cell>
          <cell r="C287">
            <v>1285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L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</row>
        <row r="288">
          <cell r="A288" t="str">
            <v/>
          </cell>
          <cell r="B288" t="str">
            <v/>
          </cell>
          <cell r="C288">
            <v>1286</v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L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</row>
        <row r="289">
          <cell r="A289" t="str">
            <v/>
          </cell>
          <cell r="B289" t="str">
            <v/>
          </cell>
          <cell r="C289">
            <v>1287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L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  <cell r="Z289" t="str">
            <v/>
          </cell>
        </row>
        <row r="290">
          <cell r="A290" t="str">
            <v/>
          </cell>
          <cell r="B290" t="str">
            <v/>
          </cell>
          <cell r="C290">
            <v>1288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L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  <cell r="Z290" t="str">
            <v/>
          </cell>
        </row>
        <row r="291">
          <cell r="A291" t="str">
            <v/>
          </cell>
          <cell r="B291" t="str">
            <v/>
          </cell>
          <cell r="C291">
            <v>1289</v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L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</row>
        <row r="292">
          <cell r="A292" t="str">
            <v/>
          </cell>
          <cell r="B292" t="str">
            <v/>
          </cell>
          <cell r="C292">
            <v>1290</v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L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</row>
        <row r="293">
          <cell r="A293" t="str">
            <v/>
          </cell>
          <cell r="B293" t="str">
            <v/>
          </cell>
          <cell r="C293">
            <v>1291</v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L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</row>
        <row r="294">
          <cell r="A294" t="str">
            <v/>
          </cell>
          <cell r="B294" t="str">
            <v/>
          </cell>
          <cell r="C294">
            <v>1292</v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L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  <cell r="Z294" t="str">
            <v/>
          </cell>
        </row>
        <row r="295">
          <cell r="A295" t="str">
            <v/>
          </cell>
          <cell r="B295" t="str">
            <v/>
          </cell>
          <cell r="C295">
            <v>1293</v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L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  <cell r="Z295" t="str">
            <v/>
          </cell>
        </row>
        <row r="296">
          <cell r="A296" t="str">
            <v/>
          </cell>
          <cell r="B296" t="str">
            <v/>
          </cell>
          <cell r="C296">
            <v>1294</v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L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</row>
        <row r="297">
          <cell r="A297" t="str">
            <v/>
          </cell>
          <cell r="B297" t="str">
            <v/>
          </cell>
          <cell r="C297">
            <v>1295</v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L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</row>
        <row r="298">
          <cell r="A298" t="str">
            <v/>
          </cell>
          <cell r="B298" t="str">
            <v/>
          </cell>
          <cell r="C298">
            <v>1296</v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L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</row>
        <row r="299">
          <cell r="A299" t="str">
            <v/>
          </cell>
          <cell r="B299" t="str">
            <v/>
          </cell>
          <cell r="C299">
            <v>1297</v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L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  <cell r="Z299" t="str">
            <v/>
          </cell>
        </row>
        <row r="300">
          <cell r="A300" t="str">
            <v/>
          </cell>
          <cell r="B300" t="str">
            <v/>
          </cell>
          <cell r="C300">
            <v>1298</v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L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  <cell r="Z300" t="str">
            <v/>
          </cell>
        </row>
        <row r="301">
          <cell r="A301" t="str">
            <v/>
          </cell>
          <cell r="B301" t="str">
            <v/>
          </cell>
          <cell r="C301">
            <v>1299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L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</row>
        <row r="302">
          <cell r="A302" t="str">
            <v/>
          </cell>
          <cell r="B302" t="str">
            <v/>
          </cell>
          <cell r="C302">
            <v>1300</v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L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</row>
        <row r="303">
          <cell r="A303" t="str">
            <v/>
          </cell>
          <cell r="B303" t="str">
            <v/>
          </cell>
          <cell r="C303">
            <v>1301</v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L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</row>
        <row r="304">
          <cell r="A304" t="str">
            <v/>
          </cell>
          <cell r="B304" t="str">
            <v/>
          </cell>
          <cell r="C304">
            <v>1302</v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L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</row>
        <row r="305">
          <cell r="A305" t="str">
            <v/>
          </cell>
          <cell r="B305" t="str">
            <v/>
          </cell>
          <cell r="C305">
            <v>1303</v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L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</row>
        <row r="306">
          <cell r="A306" t="str">
            <v/>
          </cell>
          <cell r="B306" t="str">
            <v/>
          </cell>
          <cell r="C306">
            <v>1304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L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</row>
        <row r="307">
          <cell r="A307" t="str">
            <v/>
          </cell>
          <cell r="B307" t="str">
            <v/>
          </cell>
          <cell r="C307">
            <v>1305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L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</row>
        <row r="308">
          <cell r="A308" t="str">
            <v/>
          </cell>
          <cell r="B308" t="str">
            <v/>
          </cell>
          <cell r="C308">
            <v>1306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L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  <cell r="Z308" t="str">
            <v/>
          </cell>
        </row>
        <row r="309">
          <cell r="A309" t="str">
            <v/>
          </cell>
          <cell r="B309" t="str">
            <v/>
          </cell>
          <cell r="C309">
            <v>1307</v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L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</row>
        <row r="310">
          <cell r="A310" t="str">
            <v/>
          </cell>
          <cell r="B310" t="str">
            <v/>
          </cell>
          <cell r="C310">
            <v>1308</v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L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</row>
        <row r="311">
          <cell r="A311" t="str">
            <v/>
          </cell>
          <cell r="B311" t="str">
            <v/>
          </cell>
          <cell r="C311">
            <v>1309</v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L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</row>
        <row r="312">
          <cell r="A312" t="str">
            <v/>
          </cell>
          <cell r="B312" t="str">
            <v/>
          </cell>
          <cell r="C312">
            <v>1310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L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</row>
        <row r="313">
          <cell r="A313" t="str">
            <v/>
          </cell>
          <cell r="B313" t="str">
            <v/>
          </cell>
          <cell r="C313">
            <v>1311</v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L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</row>
        <row r="314">
          <cell r="A314" t="str">
            <v/>
          </cell>
          <cell r="B314" t="str">
            <v/>
          </cell>
          <cell r="C314">
            <v>1312</v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L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</row>
        <row r="315">
          <cell r="A315" t="str">
            <v/>
          </cell>
          <cell r="B315" t="str">
            <v/>
          </cell>
          <cell r="C315">
            <v>1313</v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L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</row>
        <row r="316">
          <cell r="A316" t="str">
            <v/>
          </cell>
          <cell r="B316" t="str">
            <v/>
          </cell>
          <cell r="C316">
            <v>1314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L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</row>
        <row r="317">
          <cell r="A317" t="str">
            <v/>
          </cell>
          <cell r="B317" t="str">
            <v/>
          </cell>
          <cell r="C317">
            <v>1315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L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  <cell r="Z317" t="str">
            <v/>
          </cell>
        </row>
        <row r="318">
          <cell r="A318" t="str">
            <v/>
          </cell>
          <cell r="B318" t="str">
            <v/>
          </cell>
          <cell r="C318">
            <v>1316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L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  <cell r="Z318" t="str">
            <v/>
          </cell>
        </row>
        <row r="319">
          <cell r="A319" t="str">
            <v/>
          </cell>
          <cell r="B319" t="str">
            <v/>
          </cell>
          <cell r="C319">
            <v>1317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L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</row>
        <row r="320">
          <cell r="A320" t="str">
            <v/>
          </cell>
          <cell r="B320" t="str">
            <v/>
          </cell>
          <cell r="C320">
            <v>1318</v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L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</row>
        <row r="321">
          <cell r="A321" t="str">
            <v/>
          </cell>
          <cell r="B321" t="str">
            <v/>
          </cell>
          <cell r="C321">
            <v>1319</v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L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</row>
        <row r="322">
          <cell r="A322" t="str">
            <v/>
          </cell>
          <cell r="B322" t="str">
            <v/>
          </cell>
          <cell r="C322">
            <v>1320</v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L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  <cell r="Z322" t="str">
            <v/>
          </cell>
        </row>
        <row r="323">
          <cell r="A323" t="str">
            <v/>
          </cell>
          <cell r="B323" t="str">
            <v/>
          </cell>
          <cell r="C323">
            <v>1321</v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L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  <cell r="Z323" t="str">
            <v/>
          </cell>
        </row>
        <row r="324">
          <cell r="A324" t="str">
            <v/>
          </cell>
          <cell r="B324" t="str">
            <v/>
          </cell>
          <cell r="C324">
            <v>1322</v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L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</row>
        <row r="325">
          <cell r="A325" t="str">
            <v/>
          </cell>
          <cell r="B325" t="str">
            <v/>
          </cell>
          <cell r="C325">
            <v>1323</v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L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</row>
        <row r="326">
          <cell r="A326" t="str">
            <v/>
          </cell>
          <cell r="B326" t="str">
            <v/>
          </cell>
          <cell r="C326">
            <v>1324</v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L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</row>
        <row r="327">
          <cell r="A327" t="str">
            <v/>
          </cell>
          <cell r="B327" t="str">
            <v/>
          </cell>
          <cell r="C327">
            <v>1325</v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L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</row>
        <row r="328">
          <cell r="A328" t="str">
            <v/>
          </cell>
          <cell r="B328" t="str">
            <v/>
          </cell>
          <cell r="C328">
            <v>1326</v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L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</row>
        <row r="329">
          <cell r="A329" t="str">
            <v/>
          </cell>
          <cell r="B329" t="str">
            <v/>
          </cell>
          <cell r="C329">
            <v>1327</v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L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</row>
        <row r="330">
          <cell r="A330" t="str">
            <v/>
          </cell>
          <cell r="B330" t="str">
            <v/>
          </cell>
          <cell r="C330">
            <v>1328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L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</row>
        <row r="331">
          <cell r="A331" t="str">
            <v/>
          </cell>
          <cell r="B331" t="str">
            <v/>
          </cell>
          <cell r="C331">
            <v>1329</v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L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</row>
        <row r="332">
          <cell r="A332" t="str">
            <v/>
          </cell>
          <cell r="B332" t="str">
            <v/>
          </cell>
          <cell r="C332">
            <v>1330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L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</row>
        <row r="333">
          <cell r="A333" t="str">
            <v/>
          </cell>
          <cell r="B333" t="str">
            <v/>
          </cell>
          <cell r="C333">
            <v>1331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L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</row>
        <row r="334">
          <cell r="A334" t="str">
            <v/>
          </cell>
          <cell r="B334" t="str">
            <v/>
          </cell>
          <cell r="C334">
            <v>1332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L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</row>
        <row r="335">
          <cell r="A335" t="str">
            <v/>
          </cell>
          <cell r="B335" t="str">
            <v/>
          </cell>
          <cell r="C335">
            <v>1333</v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L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</row>
        <row r="336">
          <cell r="A336" t="str">
            <v/>
          </cell>
          <cell r="B336" t="str">
            <v/>
          </cell>
          <cell r="C336">
            <v>1334</v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L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</row>
        <row r="337">
          <cell r="A337" t="str">
            <v/>
          </cell>
          <cell r="B337" t="str">
            <v/>
          </cell>
          <cell r="C337">
            <v>1335</v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L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</row>
        <row r="338">
          <cell r="A338" t="str">
            <v/>
          </cell>
          <cell r="B338" t="str">
            <v/>
          </cell>
          <cell r="C338">
            <v>1336</v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L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</row>
        <row r="339">
          <cell r="A339" t="str">
            <v/>
          </cell>
          <cell r="B339" t="str">
            <v/>
          </cell>
          <cell r="C339">
            <v>1337</v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L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  <cell r="Z339" t="str">
            <v/>
          </cell>
        </row>
        <row r="340">
          <cell r="A340" t="str">
            <v/>
          </cell>
          <cell r="B340" t="str">
            <v/>
          </cell>
          <cell r="C340">
            <v>1338</v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L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</row>
        <row r="341">
          <cell r="A341" t="str">
            <v/>
          </cell>
          <cell r="B341" t="str">
            <v/>
          </cell>
          <cell r="C341">
            <v>1339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L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</row>
        <row r="342">
          <cell r="A342" t="str">
            <v/>
          </cell>
          <cell r="B342" t="str">
            <v/>
          </cell>
          <cell r="C342">
            <v>1340</v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L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</row>
        <row r="343">
          <cell r="A343" t="str">
            <v/>
          </cell>
          <cell r="B343" t="str">
            <v/>
          </cell>
          <cell r="C343">
            <v>1341</v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L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</row>
        <row r="344">
          <cell r="A344" t="str">
            <v/>
          </cell>
          <cell r="B344" t="str">
            <v/>
          </cell>
          <cell r="C344">
            <v>1342</v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L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</row>
        <row r="345">
          <cell r="A345" t="str">
            <v/>
          </cell>
          <cell r="B345" t="str">
            <v/>
          </cell>
          <cell r="C345">
            <v>1343</v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L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</row>
        <row r="346">
          <cell r="A346" t="str">
            <v/>
          </cell>
          <cell r="B346" t="str">
            <v/>
          </cell>
          <cell r="C346">
            <v>1344</v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L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</row>
        <row r="347">
          <cell r="A347" t="str">
            <v/>
          </cell>
          <cell r="B347" t="str">
            <v/>
          </cell>
          <cell r="C347">
            <v>1345</v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L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</row>
        <row r="348">
          <cell r="A348" t="str">
            <v/>
          </cell>
          <cell r="B348" t="str">
            <v/>
          </cell>
          <cell r="C348">
            <v>1346</v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L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  <cell r="Z348" t="str">
            <v/>
          </cell>
        </row>
        <row r="349">
          <cell r="A349" t="str">
            <v/>
          </cell>
          <cell r="B349" t="str">
            <v/>
          </cell>
          <cell r="C349">
            <v>1347</v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L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</row>
        <row r="350">
          <cell r="A350" t="str">
            <v/>
          </cell>
          <cell r="B350" t="str">
            <v/>
          </cell>
          <cell r="C350">
            <v>1348</v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L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</row>
        <row r="351">
          <cell r="A351" t="str">
            <v/>
          </cell>
          <cell r="B351" t="str">
            <v/>
          </cell>
          <cell r="C351">
            <v>1349</v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L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</row>
        <row r="352">
          <cell r="A352" t="str">
            <v/>
          </cell>
          <cell r="B352" t="str">
            <v/>
          </cell>
          <cell r="C352">
            <v>1350</v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L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</row>
        <row r="353">
          <cell r="A353" t="str">
            <v/>
          </cell>
          <cell r="B353" t="str">
            <v/>
          </cell>
          <cell r="C353">
            <v>1351</v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L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</row>
        <row r="354">
          <cell r="A354" t="str">
            <v/>
          </cell>
          <cell r="B354" t="str">
            <v/>
          </cell>
          <cell r="C354">
            <v>1352</v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L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</row>
        <row r="355">
          <cell r="A355" t="str">
            <v/>
          </cell>
          <cell r="B355" t="str">
            <v/>
          </cell>
          <cell r="C355">
            <v>1353</v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L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</row>
        <row r="356">
          <cell r="A356" t="str">
            <v/>
          </cell>
          <cell r="B356" t="str">
            <v/>
          </cell>
          <cell r="C356">
            <v>1354</v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L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</row>
        <row r="357">
          <cell r="A357" t="str">
            <v/>
          </cell>
          <cell r="B357" t="str">
            <v/>
          </cell>
          <cell r="C357">
            <v>1355</v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L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  <cell r="Z357" t="str">
            <v/>
          </cell>
        </row>
        <row r="358">
          <cell r="A358" t="str">
            <v/>
          </cell>
          <cell r="B358" t="str">
            <v/>
          </cell>
          <cell r="C358">
            <v>1356</v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L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</row>
        <row r="359">
          <cell r="A359" t="str">
            <v/>
          </cell>
          <cell r="B359" t="str">
            <v/>
          </cell>
          <cell r="C359">
            <v>1357</v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L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</row>
        <row r="360">
          <cell r="A360" t="str">
            <v/>
          </cell>
          <cell r="B360" t="str">
            <v/>
          </cell>
          <cell r="C360">
            <v>1358</v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L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</row>
        <row r="361">
          <cell r="A361" t="str">
            <v/>
          </cell>
          <cell r="B361" t="str">
            <v/>
          </cell>
          <cell r="C361">
            <v>1359</v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L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</row>
        <row r="362">
          <cell r="A362" t="str">
            <v/>
          </cell>
          <cell r="B362" t="str">
            <v/>
          </cell>
          <cell r="C362">
            <v>1360</v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L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</row>
        <row r="363">
          <cell r="A363" t="str">
            <v/>
          </cell>
          <cell r="B363" t="str">
            <v/>
          </cell>
          <cell r="C363">
            <v>1361</v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L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</row>
        <row r="364">
          <cell r="A364" t="str">
            <v/>
          </cell>
          <cell r="B364" t="str">
            <v/>
          </cell>
          <cell r="C364">
            <v>1362</v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L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  <cell r="Z364" t="str">
            <v/>
          </cell>
        </row>
        <row r="365">
          <cell r="A365" t="str">
            <v/>
          </cell>
          <cell r="B365" t="str">
            <v/>
          </cell>
          <cell r="C365">
            <v>1363</v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L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</row>
        <row r="366">
          <cell r="A366" t="str">
            <v/>
          </cell>
          <cell r="B366" t="str">
            <v/>
          </cell>
          <cell r="C366">
            <v>1364</v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L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</row>
        <row r="367">
          <cell r="A367" t="str">
            <v/>
          </cell>
          <cell r="B367" t="str">
            <v/>
          </cell>
          <cell r="C367">
            <v>1365</v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L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</row>
        <row r="368">
          <cell r="A368" t="str">
            <v/>
          </cell>
          <cell r="B368" t="str">
            <v/>
          </cell>
          <cell r="C368">
            <v>1366</v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L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  <cell r="Z368" t="str">
            <v/>
          </cell>
        </row>
        <row r="369">
          <cell r="A369" t="str">
            <v/>
          </cell>
          <cell r="B369" t="str">
            <v/>
          </cell>
          <cell r="C369">
            <v>1367</v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L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</row>
        <row r="370">
          <cell r="A370" t="str">
            <v/>
          </cell>
          <cell r="B370" t="str">
            <v/>
          </cell>
          <cell r="C370">
            <v>1368</v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L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  <cell r="Z370" t="str">
            <v/>
          </cell>
        </row>
        <row r="371">
          <cell r="A371" t="str">
            <v/>
          </cell>
          <cell r="B371" t="str">
            <v/>
          </cell>
          <cell r="C371">
            <v>1369</v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L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</row>
        <row r="372">
          <cell r="A372" t="str">
            <v/>
          </cell>
          <cell r="B372" t="str">
            <v/>
          </cell>
          <cell r="C372">
            <v>1370</v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L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</row>
        <row r="373">
          <cell r="A373" t="str">
            <v/>
          </cell>
          <cell r="B373" t="str">
            <v/>
          </cell>
          <cell r="C373">
            <v>1371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L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</row>
        <row r="374">
          <cell r="A374" t="str">
            <v/>
          </cell>
          <cell r="B374" t="str">
            <v/>
          </cell>
          <cell r="C374">
            <v>1372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L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</row>
        <row r="375">
          <cell r="A375" t="str">
            <v/>
          </cell>
          <cell r="B375" t="str">
            <v/>
          </cell>
          <cell r="C375">
            <v>1373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L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</row>
        <row r="376">
          <cell r="A376" t="str">
            <v/>
          </cell>
          <cell r="B376" t="str">
            <v/>
          </cell>
          <cell r="C376">
            <v>1374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L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</row>
        <row r="377">
          <cell r="A377" t="str">
            <v/>
          </cell>
          <cell r="B377" t="str">
            <v/>
          </cell>
          <cell r="C377">
            <v>1375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L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  <cell r="Z377" t="str">
            <v/>
          </cell>
        </row>
        <row r="378">
          <cell r="A378" t="str">
            <v/>
          </cell>
          <cell r="B378" t="str">
            <v/>
          </cell>
          <cell r="C378">
            <v>1376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L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</row>
        <row r="379">
          <cell r="A379" t="str">
            <v/>
          </cell>
          <cell r="B379" t="str">
            <v/>
          </cell>
          <cell r="C379">
            <v>1377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L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</row>
        <row r="380">
          <cell r="A380" t="str">
            <v/>
          </cell>
          <cell r="B380" t="str">
            <v/>
          </cell>
          <cell r="C380">
            <v>1378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L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  <cell r="Z380" t="str">
            <v/>
          </cell>
        </row>
        <row r="381">
          <cell r="A381" t="str">
            <v/>
          </cell>
          <cell r="B381" t="str">
            <v/>
          </cell>
          <cell r="C381">
            <v>1379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L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</row>
        <row r="382">
          <cell r="A382" t="str">
            <v/>
          </cell>
          <cell r="B382" t="str">
            <v/>
          </cell>
          <cell r="C382">
            <v>1380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L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</row>
        <row r="383">
          <cell r="A383" t="str">
            <v/>
          </cell>
          <cell r="B383" t="str">
            <v/>
          </cell>
          <cell r="C383">
            <v>1381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L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</row>
        <row r="384">
          <cell r="A384" t="str">
            <v/>
          </cell>
          <cell r="B384" t="str">
            <v/>
          </cell>
          <cell r="C384">
            <v>1382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L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</row>
        <row r="385">
          <cell r="A385" t="str">
            <v/>
          </cell>
          <cell r="B385" t="str">
            <v/>
          </cell>
          <cell r="C385">
            <v>1383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L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  <cell r="Z385" t="str">
            <v/>
          </cell>
        </row>
        <row r="386">
          <cell r="A386" t="str">
            <v/>
          </cell>
          <cell r="B386" t="str">
            <v/>
          </cell>
          <cell r="C386">
            <v>1384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L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</row>
        <row r="387">
          <cell r="A387" t="str">
            <v/>
          </cell>
          <cell r="B387" t="str">
            <v/>
          </cell>
          <cell r="C387">
            <v>1385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L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</row>
        <row r="388">
          <cell r="A388" t="str">
            <v/>
          </cell>
          <cell r="B388" t="str">
            <v/>
          </cell>
          <cell r="C388">
            <v>1386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L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</row>
        <row r="389">
          <cell r="A389" t="str">
            <v/>
          </cell>
          <cell r="B389" t="str">
            <v/>
          </cell>
          <cell r="C389">
            <v>1387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L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</row>
        <row r="390">
          <cell r="A390" t="str">
            <v/>
          </cell>
          <cell r="B390" t="str">
            <v/>
          </cell>
          <cell r="C390">
            <v>1388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L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</row>
        <row r="391">
          <cell r="A391" t="str">
            <v/>
          </cell>
          <cell r="B391" t="str">
            <v/>
          </cell>
          <cell r="C391">
            <v>1389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L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</row>
        <row r="392">
          <cell r="A392" t="str">
            <v/>
          </cell>
          <cell r="B392" t="str">
            <v/>
          </cell>
          <cell r="C392">
            <v>1390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L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</row>
        <row r="393">
          <cell r="A393" t="str">
            <v/>
          </cell>
          <cell r="B393" t="str">
            <v/>
          </cell>
          <cell r="C393">
            <v>1391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L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</row>
        <row r="394">
          <cell r="A394" t="str">
            <v/>
          </cell>
          <cell r="B394" t="str">
            <v/>
          </cell>
          <cell r="C394">
            <v>1392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L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  <cell r="Z394" t="str">
            <v/>
          </cell>
        </row>
        <row r="395">
          <cell r="A395" t="str">
            <v/>
          </cell>
          <cell r="B395" t="str">
            <v/>
          </cell>
          <cell r="C395">
            <v>1393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L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</row>
        <row r="396">
          <cell r="A396" t="str">
            <v/>
          </cell>
          <cell r="B396" t="str">
            <v/>
          </cell>
          <cell r="C396">
            <v>1394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L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</row>
        <row r="397">
          <cell r="A397" t="str">
            <v/>
          </cell>
          <cell r="B397" t="str">
            <v/>
          </cell>
          <cell r="C397">
            <v>1395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L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  <cell r="Z397" t="str">
            <v/>
          </cell>
        </row>
        <row r="398">
          <cell r="A398" t="str">
            <v/>
          </cell>
          <cell r="B398" t="str">
            <v/>
          </cell>
          <cell r="C398">
            <v>1396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L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</row>
        <row r="399">
          <cell r="A399" t="str">
            <v/>
          </cell>
          <cell r="B399" t="str">
            <v/>
          </cell>
          <cell r="C399">
            <v>1397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L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</row>
        <row r="400">
          <cell r="A400" t="str">
            <v/>
          </cell>
          <cell r="B400" t="str">
            <v/>
          </cell>
          <cell r="C400">
            <v>1398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L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</row>
        <row r="401">
          <cell r="A401" t="str">
            <v/>
          </cell>
          <cell r="B401" t="str">
            <v/>
          </cell>
          <cell r="C401">
            <v>1399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L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</row>
        <row r="402">
          <cell r="A402" t="str">
            <v/>
          </cell>
          <cell r="B402" t="str">
            <v/>
          </cell>
          <cell r="C402">
            <v>1400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L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</row>
        <row r="403">
          <cell r="A403" t="str">
            <v/>
          </cell>
          <cell r="B403" t="str">
            <v/>
          </cell>
          <cell r="C403">
            <v>1401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L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</row>
        <row r="404">
          <cell r="A404" t="str">
            <v/>
          </cell>
          <cell r="B404" t="str">
            <v/>
          </cell>
          <cell r="C404">
            <v>1402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L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</row>
        <row r="405">
          <cell r="A405" t="str">
            <v/>
          </cell>
          <cell r="B405" t="str">
            <v/>
          </cell>
          <cell r="C405">
            <v>1403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L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</row>
        <row r="406">
          <cell r="A406" t="str">
            <v/>
          </cell>
          <cell r="B406" t="str">
            <v/>
          </cell>
          <cell r="C406">
            <v>1404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L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</row>
        <row r="407">
          <cell r="A407" t="str">
            <v/>
          </cell>
          <cell r="B407" t="str">
            <v/>
          </cell>
          <cell r="C407">
            <v>1405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L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</row>
        <row r="408">
          <cell r="A408" t="str">
            <v/>
          </cell>
          <cell r="B408" t="str">
            <v/>
          </cell>
          <cell r="C408">
            <v>1406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L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</row>
        <row r="409">
          <cell r="A409" t="str">
            <v/>
          </cell>
          <cell r="B409" t="str">
            <v/>
          </cell>
          <cell r="C409">
            <v>1407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L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</row>
        <row r="410">
          <cell r="A410" t="str">
            <v/>
          </cell>
          <cell r="B410" t="str">
            <v/>
          </cell>
          <cell r="C410">
            <v>1408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L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</row>
        <row r="411">
          <cell r="A411" t="str">
            <v/>
          </cell>
          <cell r="B411" t="str">
            <v/>
          </cell>
          <cell r="C411">
            <v>1409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L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  <cell r="Z411" t="str">
            <v/>
          </cell>
        </row>
        <row r="412">
          <cell r="A412" t="str">
            <v/>
          </cell>
          <cell r="B412" t="str">
            <v/>
          </cell>
          <cell r="C412">
            <v>1410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L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</row>
        <row r="413">
          <cell r="A413" t="str">
            <v/>
          </cell>
          <cell r="B413" t="str">
            <v/>
          </cell>
          <cell r="C413">
            <v>1411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L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  <cell r="Z413" t="str">
            <v/>
          </cell>
        </row>
        <row r="414">
          <cell r="A414" t="str">
            <v/>
          </cell>
          <cell r="B414" t="str">
            <v/>
          </cell>
          <cell r="C414">
            <v>1412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L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  <cell r="Z414" t="str">
            <v/>
          </cell>
        </row>
        <row r="415">
          <cell r="A415" t="str">
            <v/>
          </cell>
          <cell r="B415" t="str">
            <v/>
          </cell>
          <cell r="C415">
            <v>1413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L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</row>
        <row r="416">
          <cell r="A416" t="str">
            <v/>
          </cell>
          <cell r="B416" t="str">
            <v/>
          </cell>
          <cell r="C416">
            <v>1414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L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  <cell r="Z416" t="str">
            <v/>
          </cell>
        </row>
        <row r="417">
          <cell r="A417" t="str">
            <v/>
          </cell>
          <cell r="B417" t="str">
            <v/>
          </cell>
          <cell r="C417">
            <v>1415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L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</row>
        <row r="418">
          <cell r="A418" t="str">
            <v/>
          </cell>
          <cell r="B418" t="str">
            <v/>
          </cell>
          <cell r="C418">
            <v>1416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L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</row>
        <row r="419">
          <cell r="A419" t="str">
            <v/>
          </cell>
          <cell r="B419" t="str">
            <v/>
          </cell>
          <cell r="C419">
            <v>1417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L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</row>
        <row r="420">
          <cell r="A420" t="str">
            <v/>
          </cell>
          <cell r="B420" t="str">
            <v/>
          </cell>
          <cell r="C420">
            <v>1418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L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  <cell r="Z420" t="str">
            <v/>
          </cell>
        </row>
        <row r="421">
          <cell r="A421" t="str">
            <v/>
          </cell>
          <cell r="B421" t="str">
            <v/>
          </cell>
          <cell r="C421">
            <v>1419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L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  <cell r="Z421" t="str">
            <v/>
          </cell>
        </row>
        <row r="422">
          <cell r="A422" t="str">
            <v/>
          </cell>
          <cell r="B422" t="str">
            <v/>
          </cell>
          <cell r="C422">
            <v>1420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L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  <cell r="Z422" t="str">
            <v/>
          </cell>
        </row>
        <row r="423">
          <cell r="A423" t="str">
            <v/>
          </cell>
          <cell r="B423" t="str">
            <v/>
          </cell>
          <cell r="C423">
            <v>1421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L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</row>
        <row r="424">
          <cell r="A424" t="str">
            <v/>
          </cell>
          <cell r="B424" t="str">
            <v/>
          </cell>
          <cell r="C424">
            <v>1422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L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</row>
        <row r="425">
          <cell r="A425" t="str">
            <v/>
          </cell>
          <cell r="B425" t="str">
            <v/>
          </cell>
          <cell r="C425">
            <v>1423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L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</row>
        <row r="426">
          <cell r="A426" t="str">
            <v/>
          </cell>
          <cell r="B426" t="str">
            <v/>
          </cell>
          <cell r="C426">
            <v>1424</v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L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</row>
        <row r="427">
          <cell r="A427" t="str">
            <v/>
          </cell>
          <cell r="B427" t="str">
            <v/>
          </cell>
          <cell r="C427">
            <v>1425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L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</row>
        <row r="428">
          <cell r="A428" t="str">
            <v/>
          </cell>
          <cell r="B428" t="str">
            <v/>
          </cell>
          <cell r="C428">
            <v>1426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L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</row>
        <row r="429">
          <cell r="A429" t="str">
            <v/>
          </cell>
          <cell r="B429" t="str">
            <v/>
          </cell>
          <cell r="C429">
            <v>1427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L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</row>
        <row r="430">
          <cell r="A430" t="str">
            <v/>
          </cell>
          <cell r="B430" t="str">
            <v/>
          </cell>
          <cell r="C430">
            <v>1428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L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</row>
        <row r="431">
          <cell r="A431" t="str">
            <v/>
          </cell>
          <cell r="B431" t="str">
            <v/>
          </cell>
          <cell r="C431">
            <v>1429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L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</row>
        <row r="432">
          <cell r="A432" t="str">
            <v/>
          </cell>
          <cell r="B432" t="str">
            <v/>
          </cell>
          <cell r="C432">
            <v>1430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L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</row>
        <row r="433">
          <cell r="A433" t="str">
            <v/>
          </cell>
          <cell r="B433" t="str">
            <v/>
          </cell>
          <cell r="C433">
            <v>1431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L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</row>
        <row r="434">
          <cell r="A434" t="str">
            <v/>
          </cell>
          <cell r="B434" t="str">
            <v/>
          </cell>
          <cell r="C434">
            <v>1432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L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</row>
        <row r="435">
          <cell r="A435" t="str">
            <v/>
          </cell>
          <cell r="B435" t="str">
            <v/>
          </cell>
          <cell r="C435">
            <v>1433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L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</row>
        <row r="436">
          <cell r="A436" t="str">
            <v/>
          </cell>
          <cell r="B436" t="str">
            <v/>
          </cell>
          <cell r="C436">
            <v>1434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L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</row>
        <row r="437">
          <cell r="A437" t="str">
            <v/>
          </cell>
          <cell r="B437" t="str">
            <v/>
          </cell>
          <cell r="C437">
            <v>1435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L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</row>
        <row r="438">
          <cell r="A438" t="str">
            <v/>
          </cell>
          <cell r="B438" t="str">
            <v/>
          </cell>
          <cell r="C438">
            <v>1436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L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</row>
        <row r="439">
          <cell r="A439" t="str">
            <v/>
          </cell>
          <cell r="B439" t="str">
            <v/>
          </cell>
          <cell r="C439">
            <v>1437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L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  <cell r="Z439" t="str">
            <v/>
          </cell>
        </row>
        <row r="440">
          <cell r="A440" t="str">
            <v/>
          </cell>
          <cell r="B440" t="str">
            <v/>
          </cell>
          <cell r="C440">
            <v>1438</v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L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</row>
        <row r="441">
          <cell r="A441" t="str">
            <v/>
          </cell>
          <cell r="B441" t="str">
            <v/>
          </cell>
          <cell r="C441">
            <v>1439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L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</row>
        <row r="442">
          <cell r="A442" t="str">
            <v/>
          </cell>
          <cell r="B442" t="str">
            <v/>
          </cell>
          <cell r="C442">
            <v>1440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L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</row>
        <row r="443">
          <cell r="A443" t="str">
            <v/>
          </cell>
          <cell r="B443" t="str">
            <v/>
          </cell>
          <cell r="C443">
            <v>1441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L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</row>
        <row r="444">
          <cell r="A444" t="str">
            <v/>
          </cell>
          <cell r="B444" t="str">
            <v/>
          </cell>
          <cell r="C444">
            <v>1442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L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</row>
        <row r="445">
          <cell r="A445" t="str">
            <v/>
          </cell>
          <cell r="B445" t="str">
            <v/>
          </cell>
          <cell r="C445">
            <v>1443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L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</row>
        <row r="446">
          <cell r="A446" t="str">
            <v/>
          </cell>
          <cell r="B446" t="str">
            <v/>
          </cell>
          <cell r="C446">
            <v>1444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L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</row>
        <row r="447">
          <cell r="A447" t="str">
            <v/>
          </cell>
          <cell r="B447" t="str">
            <v/>
          </cell>
          <cell r="C447">
            <v>1445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L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</row>
        <row r="448">
          <cell r="A448" t="str">
            <v/>
          </cell>
          <cell r="B448" t="str">
            <v/>
          </cell>
          <cell r="C448">
            <v>1446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L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</row>
        <row r="449">
          <cell r="A449" t="str">
            <v/>
          </cell>
          <cell r="B449" t="str">
            <v/>
          </cell>
          <cell r="C449">
            <v>1447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L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</row>
        <row r="450">
          <cell r="A450" t="str">
            <v/>
          </cell>
          <cell r="B450" t="str">
            <v/>
          </cell>
          <cell r="C450">
            <v>1448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L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  <cell r="Z450" t="str">
            <v/>
          </cell>
        </row>
        <row r="451">
          <cell r="A451" t="str">
            <v/>
          </cell>
          <cell r="B451" t="str">
            <v/>
          </cell>
          <cell r="C451">
            <v>1449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L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</row>
        <row r="452">
          <cell r="A452" t="str">
            <v/>
          </cell>
          <cell r="B452" t="str">
            <v/>
          </cell>
          <cell r="C452">
            <v>1450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L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</row>
        <row r="453">
          <cell r="A453" t="str">
            <v/>
          </cell>
          <cell r="B453" t="str">
            <v/>
          </cell>
          <cell r="C453">
            <v>1451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L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</row>
        <row r="454">
          <cell r="A454" t="str">
            <v/>
          </cell>
          <cell r="B454" t="str">
            <v/>
          </cell>
          <cell r="C454">
            <v>1452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L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</row>
        <row r="455">
          <cell r="A455" t="str">
            <v/>
          </cell>
          <cell r="B455" t="str">
            <v/>
          </cell>
          <cell r="C455">
            <v>1453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L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</row>
        <row r="456">
          <cell r="A456" t="str">
            <v/>
          </cell>
          <cell r="B456" t="str">
            <v/>
          </cell>
          <cell r="C456">
            <v>1454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L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</row>
        <row r="457">
          <cell r="A457" t="str">
            <v/>
          </cell>
          <cell r="B457" t="str">
            <v/>
          </cell>
          <cell r="C457">
            <v>1455</v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L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</row>
        <row r="458">
          <cell r="A458" t="str">
            <v/>
          </cell>
          <cell r="B458" t="str">
            <v/>
          </cell>
          <cell r="C458">
            <v>1456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L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</row>
        <row r="459">
          <cell r="A459" t="str">
            <v/>
          </cell>
          <cell r="B459" t="str">
            <v/>
          </cell>
          <cell r="C459">
            <v>1457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L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</row>
        <row r="460">
          <cell r="A460" t="str">
            <v/>
          </cell>
          <cell r="B460" t="str">
            <v/>
          </cell>
          <cell r="C460">
            <v>1458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L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</row>
        <row r="461">
          <cell r="A461" t="str">
            <v/>
          </cell>
          <cell r="B461" t="str">
            <v/>
          </cell>
          <cell r="C461">
            <v>1459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L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</row>
        <row r="462">
          <cell r="A462" t="str">
            <v/>
          </cell>
          <cell r="B462" t="str">
            <v/>
          </cell>
          <cell r="C462">
            <v>1460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L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</row>
        <row r="463">
          <cell r="A463" t="str">
            <v/>
          </cell>
          <cell r="B463" t="str">
            <v/>
          </cell>
          <cell r="C463">
            <v>1461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L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</row>
        <row r="464">
          <cell r="A464" t="str">
            <v/>
          </cell>
          <cell r="B464" t="str">
            <v/>
          </cell>
          <cell r="C464">
            <v>1462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L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</row>
        <row r="465">
          <cell r="A465" t="str">
            <v/>
          </cell>
          <cell r="B465" t="str">
            <v/>
          </cell>
          <cell r="C465">
            <v>1463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L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</row>
        <row r="466">
          <cell r="A466" t="str">
            <v/>
          </cell>
          <cell r="B466" t="str">
            <v/>
          </cell>
          <cell r="C466">
            <v>1464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L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</row>
        <row r="467">
          <cell r="A467" t="str">
            <v/>
          </cell>
          <cell r="B467" t="str">
            <v/>
          </cell>
          <cell r="C467">
            <v>1465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L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</row>
        <row r="468">
          <cell r="A468" t="str">
            <v/>
          </cell>
          <cell r="B468" t="str">
            <v/>
          </cell>
          <cell r="C468">
            <v>1466</v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L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</row>
        <row r="469">
          <cell r="A469" t="str">
            <v/>
          </cell>
          <cell r="B469" t="str">
            <v/>
          </cell>
          <cell r="C469">
            <v>1467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L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</row>
        <row r="470">
          <cell r="A470" t="str">
            <v/>
          </cell>
          <cell r="B470" t="str">
            <v/>
          </cell>
          <cell r="C470">
            <v>1468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L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</row>
        <row r="471">
          <cell r="A471" t="str">
            <v/>
          </cell>
          <cell r="B471" t="str">
            <v/>
          </cell>
          <cell r="C471">
            <v>1469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L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</row>
        <row r="472">
          <cell r="A472" t="str">
            <v/>
          </cell>
          <cell r="B472" t="str">
            <v/>
          </cell>
          <cell r="C472">
            <v>1470</v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L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</row>
        <row r="473">
          <cell r="A473" t="str">
            <v/>
          </cell>
          <cell r="B473" t="str">
            <v/>
          </cell>
          <cell r="C473">
            <v>1471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L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</row>
        <row r="474">
          <cell r="A474" t="str">
            <v/>
          </cell>
          <cell r="B474" t="str">
            <v/>
          </cell>
          <cell r="C474">
            <v>1472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L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  <cell r="Z474" t="str">
            <v/>
          </cell>
        </row>
        <row r="475">
          <cell r="A475" t="str">
            <v/>
          </cell>
          <cell r="B475" t="str">
            <v/>
          </cell>
          <cell r="C475">
            <v>1473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L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</row>
        <row r="476">
          <cell r="A476" t="str">
            <v/>
          </cell>
          <cell r="B476" t="str">
            <v/>
          </cell>
          <cell r="C476">
            <v>1474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L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</row>
        <row r="477">
          <cell r="A477" t="str">
            <v/>
          </cell>
          <cell r="B477" t="str">
            <v/>
          </cell>
          <cell r="C477">
            <v>1475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L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</row>
        <row r="478">
          <cell r="A478" t="str">
            <v/>
          </cell>
          <cell r="B478" t="str">
            <v/>
          </cell>
          <cell r="C478">
            <v>1476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L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  <cell r="Z478" t="str">
            <v/>
          </cell>
        </row>
        <row r="479">
          <cell r="A479" t="str">
            <v/>
          </cell>
          <cell r="B479" t="str">
            <v/>
          </cell>
          <cell r="C479">
            <v>1477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L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</row>
        <row r="480">
          <cell r="A480" t="str">
            <v/>
          </cell>
          <cell r="B480" t="str">
            <v/>
          </cell>
          <cell r="C480">
            <v>1478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L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</row>
        <row r="481">
          <cell r="A481" t="str">
            <v/>
          </cell>
          <cell r="B481" t="str">
            <v/>
          </cell>
          <cell r="C481">
            <v>1479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L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</row>
        <row r="482">
          <cell r="A482" t="str">
            <v/>
          </cell>
          <cell r="B482" t="str">
            <v/>
          </cell>
          <cell r="C482">
            <v>1480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L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</row>
        <row r="483">
          <cell r="A483" t="str">
            <v/>
          </cell>
          <cell r="B483" t="str">
            <v/>
          </cell>
          <cell r="C483">
            <v>1481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L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</row>
        <row r="484">
          <cell r="A484" t="str">
            <v/>
          </cell>
          <cell r="B484" t="str">
            <v/>
          </cell>
          <cell r="C484">
            <v>1482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L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</row>
        <row r="485">
          <cell r="A485" t="str">
            <v/>
          </cell>
          <cell r="B485" t="str">
            <v/>
          </cell>
          <cell r="C485">
            <v>1483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L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</row>
        <row r="486">
          <cell r="A486" t="str">
            <v/>
          </cell>
          <cell r="B486" t="str">
            <v/>
          </cell>
          <cell r="C486">
            <v>1484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L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  <cell r="Z486" t="str">
            <v/>
          </cell>
        </row>
        <row r="487">
          <cell r="A487" t="str">
            <v/>
          </cell>
          <cell r="B487" t="str">
            <v/>
          </cell>
          <cell r="C487">
            <v>1485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L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</row>
        <row r="488">
          <cell r="A488" t="str">
            <v/>
          </cell>
          <cell r="B488" t="str">
            <v/>
          </cell>
          <cell r="C488">
            <v>1486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L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</row>
        <row r="489">
          <cell r="A489" t="str">
            <v/>
          </cell>
          <cell r="B489" t="str">
            <v/>
          </cell>
          <cell r="C489">
            <v>1487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L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</row>
        <row r="490">
          <cell r="A490" t="str">
            <v/>
          </cell>
          <cell r="B490" t="str">
            <v/>
          </cell>
          <cell r="C490">
            <v>1488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L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  <cell r="Z490" t="str">
            <v/>
          </cell>
        </row>
        <row r="491">
          <cell r="A491" t="str">
            <v/>
          </cell>
          <cell r="B491" t="str">
            <v/>
          </cell>
          <cell r="C491">
            <v>1489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L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</row>
        <row r="492">
          <cell r="A492" t="str">
            <v/>
          </cell>
          <cell r="B492" t="str">
            <v/>
          </cell>
          <cell r="C492">
            <v>1490</v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L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</row>
        <row r="493">
          <cell r="A493" t="str">
            <v/>
          </cell>
          <cell r="B493" t="str">
            <v/>
          </cell>
          <cell r="C493">
            <v>1491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L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</row>
        <row r="494">
          <cell r="A494" t="str">
            <v/>
          </cell>
          <cell r="B494" t="str">
            <v/>
          </cell>
          <cell r="C494">
            <v>1492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L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</row>
        <row r="495">
          <cell r="A495" t="str">
            <v/>
          </cell>
          <cell r="B495" t="str">
            <v/>
          </cell>
          <cell r="C495">
            <v>1493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L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  <cell r="Z495" t="str">
            <v/>
          </cell>
        </row>
        <row r="496">
          <cell r="A496" t="str">
            <v/>
          </cell>
          <cell r="B496" t="str">
            <v/>
          </cell>
          <cell r="C496">
            <v>1494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L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</row>
        <row r="497">
          <cell r="A497" t="str">
            <v/>
          </cell>
          <cell r="B497" t="str">
            <v/>
          </cell>
          <cell r="C497">
            <v>1495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L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</row>
        <row r="498">
          <cell r="A498" t="str">
            <v/>
          </cell>
          <cell r="B498" t="str">
            <v/>
          </cell>
          <cell r="C498">
            <v>1496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L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</row>
        <row r="499">
          <cell r="A499" t="str">
            <v/>
          </cell>
          <cell r="B499" t="str">
            <v/>
          </cell>
          <cell r="C499">
            <v>1497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L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  <cell r="Z499" t="str">
            <v/>
          </cell>
        </row>
        <row r="500">
          <cell r="A500" t="str">
            <v/>
          </cell>
          <cell r="B500" t="str">
            <v/>
          </cell>
          <cell r="C500">
            <v>1498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L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</row>
        <row r="501">
          <cell r="A501" t="str">
            <v/>
          </cell>
          <cell r="B501" t="str">
            <v/>
          </cell>
          <cell r="C501">
            <v>1499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L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</row>
        <row r="502">
          <cell r="A502" t="str">
            <v/>
          </cell>
          <cell r="B502" t="str">
            <v/>
          </cell>
          <cell r="C502">
            <v>1500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L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</row>
        <row r="503">
          <cell r="A503" t="str">
            <v/>
          </cell>
          <cell r="B503" t="str">
            <v/>
          </cell>
          <cell r="C503">
            <v>1501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L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  <cell r="Z503" t="str">
            <v/>
          </cell>
        </row>
        <row r="504">
          <cell r="A504" t="str">
            <v/>
          </cell>
          <cell r="B504" t="str">
            <v/>
          </cell>
          <cell r="C504">
            <v>1502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L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</row>
        <row r="505">
          <cell r="A505" t="str">
            <v/>
          </cell>
          <cell r="B505" t="str">
            <v/>
          </cell>
          <cell r="C505">
            <v>1503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L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</row>
        <row r="506">
          <cell r="A506" t="str">
            <v/>
          </cell>
          <cell r="B506" t="str">
            <v/>
          </cell>
          <cell r="C506">
            <v>1504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L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</row>
        <row r="507">
          <cell r="A507" t="str">
            <v/>
          </cell>
          <cell r="B507" t="str">
            <v/>
          </cell>
          <cell r="C507">
            <v>1505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L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  <cell r="Z507" t="str">
            <v/>
          </cell>
        </row>
        <row r="508">
          <cell r="A508" t="str">
            <v/>
          </cell>
          <cell r="B508" t="str">
            <v/>
          </cell>
          <cell r="C508">
            <v>1506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L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</row>
        <row r="509">
          <cell r="A509" t="str">
            <v/>
          </cell>
          <cell r="B509" t="str">
            <v/>
          </cell>
          <cell r="C509">
            <v>1507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L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</row>
        <row r="510">
          <cell r="A510" t="str">
            <v/>
          </cell>
          <cell r="B510" t="str">
            <v/>
          </cell>
          <cell r="C510">
            <v>1508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L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</row>
        <row r="511">
          <cell r="A511" t="str">
            <v/>
          </cell>
          <cell r="B511" t="str">
            <v/>
          </cell>
          <cell r="C511">
            <v>1509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L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  <cell r="Z511" t="str">
            <v/>
          </cell>
        </row>
        <row r="512">
          <cell r="A512" t="str">
            <v/>
          </cell>
          <cell r="B512" t="str">
            <v/>
          </cell>
          <cell r="C512">
            <v>1510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L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</row>
        <row r="513">
          <cell r="A513" t="str">
            <v/>
          </cell>
          <cell r="B513" t="str">
            <v/>
          </cell>
          <cell r="C513">
            <v>1511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L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</row>
        <row r="514">
          <cell r="A514" t="str">
            <v/>
          </cell>
          <cell r="B514" t="str">
            <v/>
          </cell>
          <cell r="C514">
            <v>1512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L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</row>
        <row r="515">
          <cell r="A515" t="str">
            <v/>
          </cell>
          <cell r="B515" t="str">
            <v/>
          </cell>
          <cell r="C515">
            <v>1513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L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  <cell r="Z515" t="str">
            <v/>
          </cell>
        </row>
        <row r="516">
          <cell r="A516" t="str">
            <v/>
          </cell>
          <cell r="B516" t="str">
            <v/>
          </cell>
          <cell r="C516">
            <v>1514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L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</row>
        <row r="517">
          <cell r="A517" t="str">
            <v/>
          </cell>
          <cell r="B517" t="str">
            <v/>
          </cell>
          <cell r="C517">
            <v>1515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L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</row>
        <row r="518">
          <cell r="A518" t="str">
            <v/>
          </cell>
          <cell r="B518" t="str">
            <v/>
          </cell>
          <cell r="C518">
            <v>1516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L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</row>
        <row r="519">
          <cell r="A519" t="str">
            <v/>
          </cell>
          <cell r="B519" t="str">
            <v/>
          </cell>
          <cell r="C519">
            <v>1517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L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</row>
        <row r="520">
          <cell r="A520" t="str">
            <v/>
          </cell>
          <cell r="B520" t="str">
            <v/>
          </cell>
          <cell r="C520">
            <v>1518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L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</row>
        <row r="521">
          <cell r="A521" t="str">
            <v/>
          </cell>
          <cell r="B521" t="str">
            <v/>
          </cell>
          <cell r="C521">
            <v>1519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L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</row>
        <row r="522">
          <cell r="A522" t="str">
            <v/>
          </cell>
          <cell r="B522" t="str">
            <v/>
          </cell>
          <cell r="C522">
            <v>1520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L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</row>
        <row r="523">
          <cell r="A523" t="str">
            <v/>
          </cell>
          <cell r="B523" t="str">
            <v/>
          </cell>
          <cell r="C523">
            <v>1521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L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  <cell r="Z523" t="str">
            <v/>
          </cell>
        </row>
        <row r="524">
          <cell r="A524" t="str">
            <v/>
          </cell>
          <cell r="B524" t="str">
            <v/>
          </cell>
          <cell r="C524">
            <v>1522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L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</row>
        <row r="525">
          <cell r="A525" t="str">
            <v/>
          </cell>
          <cell r="B525" t="str">
            <v/>
          </cell>
          <cell r="C525">
            <v>1523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L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</row>
        <row r="526">
          <cell r="A526" t="str">
            <v/>
          </cell>
          <cell r="B526" t="str">
            <v/>
          </cell>
          <cell r="C526">
            <v>1524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L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</row>
        <row r="527">
          <cell r="A527" t="str">
            <v/>
          </cell>
          <cell r="B527" t="str">
            <v/>
          </cell>
          <cell r="C527">
            <v>1525</v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L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</row>
        <row r="528">
          <cell r="A528" t="str">
            <v/>
          </cell>
          <cell r="B528" t="str">
            <v/>
          </cell>
          <cell r="C528">
            <v>1526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L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</row>
        <row r="529">
          <cell r="A529" t="str">
            <v/>
          </cell>
          <cell r="B529" t="str">
            <v/>
          </cell>
          <cell r="C529">
            <v>1527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L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</row>
        <row r="530">
          <cell r="A530" t="str">
            <v/>
          </cell>
          <cell r="B530" t="str">
            <v/>
          </cell>
          <cell r="C530">
            <v>1528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L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</row>
        <row r="531">
          <cell r="A531" t="str">
            <v/>
          </cell>
          <cell r="B531" t="str">
            <v/>
          </cell>
          <cell r="C531">
            <v>1529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L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  <cell r="Z531" t="str">
            <v/>
          </cell>
        </row>
        <row r="532">
          <cell r="A532" t="str">
            <v/>
          </cell>
          <cell r="B532" t="str">
            <v/>
          </cell>
          <cell r="C532">
            <v>1530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L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</row>
        <row r="533">
          <cell r="A533" t="str">
            <v/>
          </cell>
          <cell r="B533" t="str">
            <v/>
          </cell>
          <cell r="C533">
            <v>1531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L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</row>
        <row r="534">
          <cell r="A534" t="str">
            <v/>
          </cell>
          <cell r="B534" t="str">
            <v/>
          </cell>
          <cell r="C534">
            <v>1532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L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</row>
        <row r="535">
          <cell r="A535" t="str">
            <v/>
          </cell>
          <cell r="B535" t="str">
            <v/>
          </cell>
          <cell r="C535">
            <v>1533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L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  <cell r="Z535" t="str">
            <v/>
          </cell>
        </row>
        <row r="536">
          <cell r="A536" t="str">
            <v/>
          </cell>
          <cell r="B536" t="str">
            <v/>
          </cell>
          <cell r="C536">
            <v>1534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L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</row>
        <row r="537">
          <cell r="A537" t="str">
            <v/>
          </cell>
          <cell r="B537" t="str">
            <v/>
          </cell>
          <cell r="C537">
            <v>1535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L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</row>
        <row r="538">
          <cell r="A538" t="str">
            <v/>
          </cell>
          <cell r="B538" t="str">
            <v/>
          </cell>
          <cell r="C538">
            <v>1536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L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</row>
        <row r="539">
          <cell r="A539" t="str">
            <v/>
          </cell>
          <cell r="B539" t="str">
            <v/>
          </cell>
          <cell r="C539">
            <v>1537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L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  <cell r="Z539" t="str">
            <v/>
          </cell>
        </row>
        <row r="540">
          <cell r="A540" t="str">
            <v/>
          </cell>
          <cell r="B540" t="str">
            <v/>
          </cell>
          <cell r="C540">
            <v>1538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L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</row>
        <row r="541">
          <cell r="A541" t="str">
            <v/>
          </cell>
          <cell r="B541" t="str">
            <v/>
          </cell>
          <cell r="C541">
            <v>1539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L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</row>
        <row r="542">
          <cell r="A542" t="str">
            <v/>
          </cell>
          <cell r="B542" t="str">
            <v/>
          </cell>
          <cell r="C542">
            <v>1540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L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</row>
        <row r="543">
          <cell r="A543" t="str">
            <v/>
          </cell>
          <cell r="B543" t="str">
            <v/>
          </cell>
          <cell r="C543">
            <v>1541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L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  <cell r="Z543" t="str">
            <v/>
          </cell>
        </row>
        <row r="544">
          <cell r="A544" t="str">
            <v/>
          </cell>
          <cell r="B544" t="str">
            <v/>
          </cell>
          <cell r="C544">
            <v>1542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L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</row>
        <row r="545">
          <cell r="A545" t="str">
            <v/>
          </cell>
          <cell r="B545" t="str">
            <v/>
          </cell>
          <cell r="C545">
            <v>1543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L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</row>
        <row r="546">
          <cell r="A546" t="str">
            <v/>
          </cell>
          <cell r="B546" t="str">
            <v/>
          </cell>
          <cell r="C546">
            <v>1544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L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</row>
        <row r="547">
          <cell r="A547" t="str">
            <v/>
          </cell>
          <cell r="B547" t="str">
            <v/>
          </cell>
          <cell r="C547">
            <v>1545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L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  <cell r="Z547" t="str">
            <v/>
          </cell>
        </row>
        <row r="548">
          <cell r="A548" t="str">
            <v/>
          </cell>
          <cell r="B548" t="str">
            <v/>
          </cell>
          <cell r="C548">
            <v>1546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L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</row>
        <row r="549">
          <cell r="A549" t="str">
            <v/>
          </cell>
          <cell r="B549" t="str">
            <v/>
          </cell>
          <cell r="C549">
            <v>1547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L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</row>
        <row r="550">
          <cell r="A550" t="str">
            <v/>
          </cell>
          <cell r="B550" t="str">
            <v/>
          </cell>
          <cell r="C550">
            <v>1548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L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</row>
        <row r="551">
          <cell r="A551" t="str">
            <v/>
          </cell>
          <cell r="B551" t="str">
            <v/>
          </cell>
          <cell r="C551">
            <v>1549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L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</row>
        <row r="552">
          <cell r="A552" t="str">
            <v/>
          </cell>
          <cell r="B552" t="str">
            <v/>
          </cell>
          <cell r="C552">
            <v>1550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L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</row>
        <row r="553">
          <cell r="A553" t="str">
            <v/>
          </cell>
          <cell r="B553" t="str">
            <v/>
          </cell>
          <cell r="C553">
            <v>1551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L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</row>
        <row r="554">
          <cell r="A554" t="str">
            <v/>
          </cell>
          <cell r="B554" t="str">
            <v/>
          </cell>
          <cell r="C554">
            <v>1552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L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</row>
        <row r="555">
          <cell r="A555" t="str">
            <v/>
          </cell>
          <cell r="B555" t="str">
            <v/>
          </cell>
          <cell r="C555">
            <v>1553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L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  <cell r="Z555" t="str">
            <v/>
          </cell>
        </row>
        <row r="556">
          <cell r="A556" t="str">
            <v/>
          </cell>
          <cell r="B556" t="str">
            <v/>
          </cell>
          <cell r="C556">
            <v>1554</v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L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</row>
        <row r="557">
          <cell r="A557" t="str">
            <v/>
          </cell>
          <cell r="B557" t="str">
            <v/>
          </cell>
          <cell r="C557">
            <v>1555</v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L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</row>
        <row r="558">
          <cell r="A558" t="str">
            <v/>
          </cell>
          <cell r="B558" t="str">
            <v/>
          </cell>
          <cell r="C558">
            <v>1556</v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L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</row>
        <row r="559">
          <cell r="A559" t="str">
            <v/>
          </cell>
          <cell r="B559" t="str">
            <v/>
          </cell>
          <cell r="C559">
            <v>1557</v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L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  <cell r="Z559" t="str">
            <v/>
          </cell>
        </row>
        <row r="560">
          <cell r="A560" t="str">
            <v/>
          </cell>
          <cell r="B560" t="str">
            <v/>
          </cell>
          <cell r="C560">
            <v>1558</v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L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</row>
        <row r="561">
          <cell r="A561" t="str">
            <v/>
          </cell>
          <cell r="B561" t="str">
            <v/>
          </cell>
          <cell r="C561">
            <v>1559</v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L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</row>
        <row r="562">
          <cell r="A562" t="str">
            <v/>
          </cell>
          <cell r="B562" t="str">
            <v/>
          </cell>
          <cell r="C562">
            <v>1560</v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L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</row>
        <row r="563">
          <cell r="A563" t="str">
            <v/>
          </cell>
          <cell r="B563" t="str">
            <v/>
          </cell>
          <cell r="C563">
            <v>1561</v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L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  <cell r="Z563" t="str">
            <v/>
          </cell>
        </row>
        <row r="564">
          <cell r="A564" t="str">
            <v/>
          </cell>
          <cell r="B564" t="str">
            <v/>
          </cell>
          <cell r="C564">
            <v>1562</v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L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</row>
        <row r="565">
          <cell r="A565" t="str">
            <v/>
          </cell>
          <cell r="B565" t="str">
            <v/>
          </cell>
          <cell r="C565">
            <v>1563</v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L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</row>
        <row r="566">
          <cell r="A566" t="str">
            <v/>
          </cell>
          <cell r="B566" t="str">
            <v/>
          </cell>
          <cell r="C566">
            <v>1564</v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L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</row>
        <row r="567">
          <cell r="A567" t="str">
            <v/>
          </cell>
          <cell r="B567" t="str">
            <v/>
          </cell>
          <cell r="C567">
            <v>1565</v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L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  <cell r="Z567" t="str">
            <v/>
          </cell>
        </row>
        <row r="568">
          <cell r="A568" t="str">
            <v/>
          </cell>
          <cell r="B568" t="str">
            <v/>
          </cell>
          <cell r="C568">
            <v>1566</v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L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</row>
        <row r="569">
          <cell r="A569" t="str">
            <v/>
          </cell>
          <cell r="B569" t="str">
            <v/>
          </cell>
          <cell r="C569">
            <v>1567</v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L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</row>
        <row r="570">
          <cell r="A570" t="str">
            <v/>
          </cell>
          <cell r="B570" t="str">
            <v/>
          </cell>
          <cell r="C570">
            <v>1568</v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L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</row>
        <row r="571">
          <cell r="A571" t="str">
            <v/>
          </cell>
          <cell r="B571" t="str">
            <v/>
          </cell>
          <cell r="C571">
            <v>1569</v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L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  <cell r="Z571" t="str">
            <v/>
          </cell>
        </row>
        <row r="572">
          <cell r="A572" t="str">
            <v/>
          </cell>
          <cell r="B572" t="str">
            <v/>
          </cell>
          <cell r="C572">
            <v>1570</v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L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</row>
        <row r="573">
          <cell r="A573" t="str">
            <v/>
          </cell>
          <cell r="B573" t="str">
            <v/>
          </cell>
          <cell r="C573">
            <v>1571</v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L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</row>
        <row r="574">
          <cell r="A574" t="str">
            <v/>
          </cell>
          <cell r="B574" t="str">
            <v/>
          </cell>
          <cell r="C574">
            <v>1572</v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L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</row>
        <row r="575">
          <cell r="A575" t="str">
            <v/>
          </cell>
          <cell r="B575" t="str">
            <v/>
          </cell>
          <cell r="C575">
            <v>1573</v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L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  <cell r="Z575" t="str">
            <v/>
          </cell>
        </row>
        <row r="576">
          <cell r="A576" t="str">
            <v/>
          </cell>
          <cell r="B576" t="str">
            <v/>
          </cell>
          <cell r="C576">
            <v>1574</v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L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</row>
        <row r="577">
          <cell r="A577" t="str">
            <v/>
          </cell>
          <cell r="B577" t="str">
            <v/>
          </cell>
          <cell r="C577">
            <v>1575</v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L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</row>
        <row r="578">
          <cell r="A578" t="str">
            <v/>
          </cell>
          <cell r="B578" t="str">
            <v/>
          </cell>
          <cell r="C578">
            <v>1576</v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L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</row>
        <row r="579">
          <cell r="A579" t="str">
            <v/>
          </cell>
          <cell r="B579" t="str">
            <v/>
          </cell>
          <cell r="C579">
            <v>1577</v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L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  <cell r="Z579" t="str">
            <v/>
          </cell>
        </row>
        <row r="580">
          <cell r="A580" t="str">
            <v/>
          </cell>
          <cell r="B580" t="str">
            <v/>
          </cell>
          <cell r="C580">
            <v>1578</v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L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</row>
        <row r="581">
          <cell r="A581" t="str">
            <v/>
          </cell>
          <cell r="B581" t="str">
            <v/>
          </cell>
          <cell r="C581">
            <v>1579</v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L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</row>
        <row r="582">
          <cell r="A582" t="str">
            <v/>
          </cell>
          <cell r="B582" t="str">
            <v/>
          </cell>
          <cell r="C582">
            <v>1580</v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L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</row>
        <row r="583">
          <cell r="A583" t="str">
            <v/>
          </cell>
          <cell r="B583" t="str">
            <v/>
          </cell>
          <cell r="C583">
            <v>1581</v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L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  <cell r="Z583" t="str">
            <v/>
          </cell>
        </row>
        <row r="584">
          <cell r="A584" t="str">
            <v/>
          </cell>
          <cell r="B584" t="str">
            <v/>
          </cell>
          <cell r="C584">
            <v>1582</v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L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</row>
        <row r="585">
          <cell r="A585" t="str">
            <v/>
          </cell>
          <cell r="B585" t="str">
            <v/>
          </cell>
          <cell r="C585">
            <v>1583</v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L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</row>
        <row r="586">
          <cell r="A586" t="str">
            <v/>
          </cell>
          <cell r="B586" t="str">
            <v/>
          </cell>
          <cell r="C586">
            <v>1584</v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L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</row>
        <row r="587">
          <cell r="A587" t="str">
            <v/>
          </cell>
          <cell r="B587" t="str">
            <v/>
          </cell>
          <cell r="C587">
            <v>1585</v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L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  <cell r="Z587" t="str">
            <v/>
          </cell>
        </row>
        <row r="588">
          <cell r="A588" t="str">
            <v/>
          </cell>
          <cell r="B588" t="str">
            <v/>
          </cell>
          <cell r="C588">
            <v>1586</v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L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</row>
        <row r="589">
          <cell r="A589" t="str">
            <v/>
          </cell>
          <cell r="B589" t="str">
            <v/>
          </cell>
          <cell r="C589">
            <v>1587</v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L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</row>
        <row r="590">
          <cell r="A590" t="str">
            <v/>
          </cell>
          <cell r="B590" t="str">
            <v/>
          </cell>
          <cell r="C590">
            <v>1588</v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L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</row>
        <row r="591">
          <cell r="A591" t="str">
            <v/>
          </cell>
          <cell r="B591" t="str">
            <v/>
          </cell>
          <cell r="C591">
            <v>1589</v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L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  <cell r="Z591" t="str">
            <v/>
          </cell>
        </row>
        <row r="592">
          <cell r="A592" t="str">
            <v/>
          </cell>
          <cell r="B592" t="str">
            <v/>
          </cell>
          <cell r="C592">
            <v>1590</v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L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</row>
        <row r="593">
          <cell r="A593" t="str">
            <v/>
          </cell>
          <cell r="B593" t="str">
            <v/>
          </cell>
          <cell r="C593">
            <v>1591</v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L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</row>
        <row r="594">
          <cell r="A594" t="str">
            <v/>
          </cell>
          <cell r="B594" t="str">
            <v/>
          </cell>
          <cell r="C594">
            <v>1592</v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L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</row>
        <row r="595">
          <cell r="A595" t="str">
            <v/>
          </cell>
          <cell r="B595" t="str">
            <v/>
          </cell>
          <cell r="C595">
            <v>1593</v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L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  <cell r="Z595" t="str">
            <v/>
          </cell>
        </row>
        <row r="596">
          <cell r="A596" t="str">
            <v/>
          </cell>
          <cell r="B596" t="str">
            <v/>
          </cell>
          <cell r="C596">
            <v>1594</v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L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</row>
        <row r="597">
          <cell r="A597" t="str">
            <v/>
          </cell>
          <cell r="B597" t="str">
            <v/>
          </cell>
          <cell r="C597">
            <v>1595</v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L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</row>
        <row r="598">
          <cell r="A598" t="str">
            <v/>
          </cell>
          <cell r="B598" t="str">
            <v/>
          </cell>
          <cell r="C598">
            <v>1596</v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L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</row>
        <row r="599">
          <cell r="A599" t="str">
            <v/>
          </cell>
          <cell r="B599" t="str">
            <v/>
          </cell>
          <cell r="C599">
            <v>1597</v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L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  <cell r="Z599" t="str">
            <v/>
          </cell>
        </row>
        <row r="600">
          <cell r="A600" t="str">
            <v/>
          </cell>
          <cell r="B600" t="str">
            <v/>
          </cell>
          <cell r="C600">
            <v>1598</v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L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</row>
        <row r="601">
          <cell r="A601" t="str">
            <v/>
          </cell>
          <cell r="B601" t="str">
            <v/>
          </cell>
          <cell r="C601">
            <v>1599</v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L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</row>
        <row r="602">
          <cell r="A602" t="str">
            <v/>
          </cell>
          <cell r="B602" t="str">
            <v/>
          </cell>
          <cell r="C602">
            <v>1600</v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L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</row>
        <row r="603">
          <cell r="A603" t="str">
            <v/>
          </cell>
          <cell r="B603" t="str">
            <v/>
          </cell>
          <cell r="C603">
            <v>1601</v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L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  <cell r="Z603" t="str">
            <v/>
          </cell>
        </row>
        <row r="604">
          <cell r="A604" t="str">
            <v/>
          </cell>
          <cell r="B604" t="str">
            <v/>
          </cell>
          <cell r="C604">
            <v>1602</v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L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</row>
        <row r="605">
          <cell r="A605" t="str">
            <v/>
          </cell>
          <cell r="B605" t="str">
            <v/>
          </cell>
          <cell r="C605">
            <v>1603</v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L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</row>
        <row r="606">
          <cell r="A606" t="str">
            <v/>
          </cell>
          <cell r="B606" t="str">
            <v/>
          </cell>
          <cell r="C606">
            <v>1604</v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L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</row>
        <row r="607">
          <cell r="A607" t="str">
            <v/>
          </cell>
          <cell r="B607" t="str">
            <v/>
          </cell>
          <cell r="C607">
            <v>1605</v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L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  <cell r="Z607" t="str">
            <v/>
          </cell>
        </row>
        <row r="608">
          <cell r="A608" t="str">
            <v/>
          </cell>
          <cell r="B608" t="str">
            <v/>
          </cell>
          <cell r="C608">
            <v>1606</v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L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</row>
        <row r="609">
          <cell r="A609" t="str">
            <v/>
          </cell>
          <cell r="B609" t="str">
            <v/>
          </cell>
          <cell r="C609">
            <v>1607</v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L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</row>
        <row r="610">
          <cell r="A610" t="str">
            <v/>
          </cell>
          <cell r="B610" t="str">
            <v/>
          </cell>
          <cell r="C610">
            <v>1608</v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L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</row>
        <row r="611">
          <cell r="A611" t="str">
            <v/>
          </cell>
          <cell r="B611" t="str">
            <v/>
          </cell>
          <cell r="C611">
            <v>1609</v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L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  <cell r="Z611" t="str">
            <v/>
          </cell>
        </row>
        <row r="612">
          <cell r="A612" t="str">
            <v/>
          </cell>
          <cell r="B612" t="str">
            <v/>
          </cell>
          <cell r="C612">
            <v>1610</v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L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</row>
        <row r="613">
          <cell r="A613" t="str">
            <v/>
          </cell>
          <cell r="B613" t="str">
            <v/>
          </cell>
          <cell r="C613">
            <v>1611</v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L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</row>
        <row r="614">
          <cell r="A614" t="str">
            <v/>
          </cell>
          <cell r="B614" t="str">
            <v/>
          </cell>
          <cell r="C614">
            <v>1612</v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L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</row>
        <row r="615">
          <cell r="A615" t="str">
            <v/>
          </cell>
          <cell r="B615" t="str">
            <v/>
          </cell>
          <cell r="C615">
            <v>1613</v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L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  <cell r="Z615" t="str">
            <v/>
          </cell>
        </row>
        <row r="616">
          <cell r="A616" t="str">
            <v/>
          </cell>
          <cell r="B616" t="str">
            <v/>
          </cell>
          <cell r="C616">
            <v>1614</v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L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</row>
        <row r="617">
          <cell r="A617" t="str">
            <v/>
          </cell>
          <cell r="B617" t="str">
            <v/>
          </cell>
          <cell r="C617">
            <v>1615</v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L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</row>
        <row r="618">
          <cell r="A618" t="str">
            <v/>
          </cell>
          <cell r="B618" t="str">
            <v/>
          </cell>
          <cell r="C618">
            <v>1616</v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L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</row>
        <row r="619">
          <cell r="A619" t="str">
            <v/>
          </cell>
          <cell r="B619" t="str">
            <v/>
          </cell>
          <cell r="C619">
            <v>1617</v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L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  <cell r="Z619" t="str">
            <v/>
          </cell>
        </row>
        <row r="620">
          <cell r="A620" t="str">
            <v/>
          </cell>
          <cell r="B620" t="str">
            <v/>
          </cell>
          <cell r="C620">
            <v>1618</v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L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</row>
        <row r="621">
          <cell r="A621" t="str">
            <v/>
          </cell>
          <cell r="B621" t="str">
            <v/>
          </cell>
          <cell r="C621">
            <v>1619</v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L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</row>
        <row r="622">
          <cell r="A622" t="str">
            <v/>
          </cell>
          <cell r="B622" t="str">
            <v/>
          </cell>
          <cell r="C622">
            <v>1620</v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L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</row>
        <row r="623">
          <cell r="A623" t="str">
            <v/>
          </cell>
          <cell r="B623" t="str">
            <v/>
          </cell>
          <cell r="C623">
            <v>1621</v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L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  <cell r="Z623" t="str">
            <v/>
          </cell>
        </row>
        <row r="624">
          <cell r="A624" t="str">
            <v/>
          </cell>
          <cell r="B624" t="str">
            <v/>
          </cell>
          <cell r="C624">
            <v>1622</v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L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</row>
        <row r="625">
          <cell r="A625" t="str">
            <v/>
          </cell>
          <cell r="B625" t="str">
            <v/>
          </cell>
          <cell r="C625">
            <v>1623</v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L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</row>
        <row r="626">
          <cell r="A626" t="str">
            <v/>
          </cell>
          <cell r="B626" t="str">
            <v/>
          </cell>
          <cell r="C626">
            <v>1624</v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L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</row>
        <row r="627">
          <cell r="A627" t="str">
            <v/>
          </cell>
          <cell r="B627" t="str">
            <v/>
          </cell>
          <cell r="C627">
            <v>1625</v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L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  <cell r="Z627" t="str">
            <v/>
          </cell>
        </row>
        <row r="628">
          <cell r="A628" t="str">
            <v/>
          </cell>
          <cell r="B628" t="str">
            <v/>
          </cell>
          <cell r="C628">
            <v>1626</v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L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</row>
        <row r="629">
          <cell r="A629" t="str">
            <v/>
          </cell>
          <cell r="B629" t="str">
            <v/>
          </cell>
          <cell r="C629">
            <v>1627</v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L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</row>
        <row r="630">
          <cell r="A630" t="str">
            <v/>
          </cell>
          <cell r="B630" t="str">
            <v/>
          </cell>
          <cell r="C630">
            <v>1628</v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L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</row>
        <row r="631">
          <cell r="A631" t="str">
            <v/>
          </cell>
          <cell r="B631" t="str">
            <v/>
          </cell>
          <cell r="C631">
            <v>1629</v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L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  <cell r="Z631" t="str">
            <v/>
          </cell>
        </row>
        <row r="632">
          <cell r="A632" t="str">
            <v/>
          </cell>
          <cell r="B632" t="str">
            <v/>
          </cell>
          <cell r="C632">
            <v>1630</v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L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</row>
        <row r="633">
          <cell r="A633" t="str">
            <v/>
          </cell>
          <cell r="B633" t="str">
            <v/>
          </cell>
          <cell r="C633">
            <v>1631</v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L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</row>
        <row r="634">
          <cell r="A634" t="str">
            <v/>
          </cell>
          <cell r="B634" t="str">
            <v/>
          </cell>
          <cell r="C634">
            <v>1632</v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L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</row>
        <row r="635">
          <cell r="A635" t="str">
            <v/>
          </cell>
          <cell r="B635" t="str">
            <v/>
          </cell>
          <cell r="C635">
            <v>1633</v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L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</row>
        <row r="636">
          <cell r="A636" t="str">
            <v/>
          </cell>
          <cell r="B636" t="str">
            <v/>
          </cell>
          <cell r="C636">
            <v>1634</v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L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</row>
        <row r="637">
          <cell r="A637" t="str">
            <v/>
          </cell>
          <cell r="B637" t="str">
            <v/>
          </cell>
          <cell r="C637">
            <v>1635</v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L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</row>
        <row r="638">
          <cell r="A638" t="str">
            <v/>
          </cell>
          <cell r="B638" t="str">
            <v/>
          </cell>
          <cell r="C638">
            <v>1636</v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L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</row>
        <row r="639">
          <cell r="A639" t="str">
            <v/>
          </cell>
          <cell r="B639" t="str">
            <v/>
          </cell>
          <cell r="C639">
            <v>1637</v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L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  <cell r="Z639" t="str">
            <v/>
          </cell>
        </row>
        <row r="640">
          <cell r="A640" t="str">
            <v/>
          </cell>
          <cell r="B640" t="str">
            <v/>
          </cell>
          <cell r="C640">
            <v>1638</v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L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</row>
        <row r="641">
          <cell r="A641" t="str">
            <v/>
          </cell>
          <cell r="B641" t="str">
            <v/>
          </cell>
          <cell r="C641">
            <v>1639</v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L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</row>
        <row r="642">
          <cell r="A642" t="str">
            <v/>
          </cell>
          <cell r="B642" t="str">
            <v/>
          </cell>
          <cell r="C642">
            <v>1640</v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L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</row>
        <row r="643">
          <cell r="A643" t="str">
            <v/>
          </cell>
          <cell r="B643" t="str">
            <v/>
          </cell>
          <cell r="C643">
            <v>1641</v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L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  <cell r="Z643" t="str">
            <v/>
          </cell>
        </row>
        <row r="644">
          <cell r="A644" t="str">
            <v/>
          </cell>
          <cell r="B644" t="str">
            <v/>
          </cell>
          <cell r="C644">
            <v>1642</v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L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</row>
        <row r="645">
          <cell r="A645" t="str">
            <v/>
          </cell>
          <cell r="B645" t="str">
            <v/>
          </cell>
          <cell r="C645">
            <v>1643</v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L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</row>
        <row r="646">
          <cell r="A646" t="str">
            <v/>
          </cell>
          <cell r="B646" t="str">
            <v/>
          </cell>
          <cell r="C646">
            <v>1644</v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L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</row>
        <row r="647">
          <cell r="A647" t="str">
            <v/>
          </cell>
          <cell r="B647" t="str">
            <v/>
          </cell>
          <cell r="C647">
            <v>1645</v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L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  <cell r="Z647" t="str">
            <v/>
          </cell>
        </row>
        <row r="648">
          <cell r="A648" t="str">
            <v/>
          </cell>
          <cell r="B648" t="str">
            <v/>
          </cell>
          <cell r="C648">
            <v>1646</v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L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</row>
        <row r="649">
          <cell r="A649" t="str">
            <v/>
          </cell>
          <cell r="B649" t="str">
            <v/>
          </cell>
          <cell r="C649">
            <v>1647</v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L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</row>
        <row r="650">
          <cell r="A650" t="str">
            <v/>
          </cell>
          <cell r="B650" t="str">
            <v/>
          </cell>
          <cell r="C650">
            <v>1648</v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L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</row>
        <row r="651">
          <cell r="A651" t="str">
            <v/>
          </cell>
          <cell r="B651" t="str">
            <v/>
          </cell>
          <cell r="C651">
            <v>1649</v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L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  <cell r="Z651" t="str">
            <v/>
          </cell>
        </row>
        <row r="652">
          <cell r="A652" t="str">
            <v/>
          </cell>
          <cell r="B652" t="str">
            <v/>
          </cell>
          <cell r="C652">
            <v>1650</v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L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</row>
        <row r="653">
          <cell r="A653" t="str">
            <v/>
          </cell>
          <cell r="B653" t="str">
            <v/>
          </cell>
          <cell r="C653">
            <v>1651</v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L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</row>
        <row r="654">
          <cell r="A654" t="str">
            <v/>
          </cell>
          <cell r="B654" t="str">
            <v/>
          </cell>
          <cell r="C654">
            <v>1652</v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L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</row>
        <row r="655">
          <cell r="A655" t="str">
            <v/>
          </cell>
          <cell r="B655" t="str">
            <v/>
          </cell>
          <cell r="C655">
            <v>1653</v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L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  <cell r="Z655" t="str">
            <v/>
          </cell>
        </row>
        <row r="656">
          <cell r="A656" t="str">
            <v/>
          </cell>
          <cell r="B656" t="str">
            <v/>
          </cell>
          <cell r="C656">
            <v>1654</v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L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</row>
        <row r="657">
          <cell r="A657" t="str">
            <v/>
          </cell>
          <cell r="B657" t="str">
            <v/>
          </cell>
          <cell r="C657">
            <v>1655</v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L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</row>
        <row r="658">
          <cell r="A658" t="str">
            <v/>
          </cell>
          <cell r="B658" t="str">
            <v/>
          </cell>
          <cell r="C658">
            <v>1656</v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L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</row>
        <row r="659">
          <cell r="A659" t="str">
            <v/>
          </cell>
          <cell r="B659" t="str">
            <v/>
          </cell>
          <cell r="C659">
            <v>1657</v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L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  <cell r="Z659" t="str">
            <v/>
          </cell>
        </row>
        <row r="660">
          <cell r="A660" t="str">
            <v/>
          </cell>
          <cell r="B660" t="str">
            <v/>
          </cell>
          <cell r="C660">
            <v>1658</v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L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</row>
        <row r="661">
          <cell r="A661" t="str">
            <v/>
          </cell>
          <cell r="B661" t="str">
            <v/>
          </cell>
          <cell r="C661">
            <v>1659</v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L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</row>
        <row r="662">
          <cell r="A662" t="str">
            <v/>
          </cell>
          <cell r="B662" t="str">
            <v/>
          </cell>
          <cell r="C662">
            <v>1660</v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L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</row>
        <row r="663">
          <cell r="A663" t="str">
            <v/>
          </cell>
          <cell r="B663" t="str">
            <v/>
          </cell>
          <cell r="C663">
            <v>1661</v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L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  <cell r="Z663" t="str">
            <v/>
          </cell>
        </row>
        <row r="664">
          <cell r="A664" t="str">
            <v/>
          </cell>
          <cell r="B664" t="str">
            <v/>
          </cell>
          <cell r="C664">
            <v>1662</v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L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</row>
        <row r="665">
          <cell r="A665" t="str">
            <v/>
          </cell>
          <cell r="B665" t="str">
            <v/>
          </cell>
          <cell r="C665">
            <v>1663</v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L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</row>
        <row r="666">
          <cell r="A666" t="str">
            <v/>
          </cell>
          <cell r="B666" t="str">
            <v/>
          </cell>
          <cell r="C666">
            <v>1664</v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L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</row>
        <row r="667">
          <cell r="A667" t="str">
            <v/>
          </cell>
          <cell r="B667" t="str">
            <v/>
          </cell>
          <cell r="C667">
            <v>1665</v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L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</row>
        <row r="668">
          <cell r="A668" t="str">
            <v/>
          </cell>
          <cell r="B668" t="str">
            <v/>
          </cell>
          <cell r="C668">
            <v>1666</v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L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</row>
        <row r="669">
          <cell r="A669" t="str">
            <v/>
          </cell>
          <cell r="B669" t="str">
            <v/>
          </cell>
          <cell r="C669">
            <v>1667</v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L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</row>
        <row r="670">
          <cell r="A670" t="str">
            <v/>
          </cell>
          <cell r="B670" t="str">
            <v/>
          </cell>
          <cell r="C670">
            <v>1668</v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L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</row>
        <row r="671">
          <cell r="A671" t="str">
            <v/>
          </cell>
          <cell r="B671" t="str">
            <v/>
          </cell>
          <cell r="C671">
            <v>1669</v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L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  <cell r="Z671" t="str">
            <v/>
          </cell>
        </row>
        <row r="672">
          <cell r="A672" t="str">
            <v/>
          </cell>
          <cell r="B672" t="str">
            <v/>
          </cell>
          <cell r="C672">
            <v>1670</v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L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</row>
        <row r="673">
          <cell r="A673" t="str">
            <v/>
          </cell>
          <cell r="B673" t="str">
            <v/>
          </cell>
          <cell r="C673">
            <v>1671</v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L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</row>
        <row r="674">
          <cell r="A674" t="str">
            <v/>
          </cell>
          <cell r="B674" t="str">
            <v/>
          </cell>
          <cell r="C674">
            <v>1672</v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L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</row>
        <row r="675">
          <cell r="A675" t="str">
            <v/>
          </cell>
          <cell r="B675" t="str">
            <v/>
          </cell>
          <cell r="C675">
            <v>1673</v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L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  <cell r="Z675" t="str">
            <v/>
          </cell>
        </row>
        <row r="676">
          <cell r="A676" t="str">
            <v/>
          </cell>
          <cell r="B676" t="str">
            <v/>
          </cell>
          <cell r="C676">
            <v>1674</v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L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</row>
        <row r="677">
          <cell r="A677" t="str">
            <v/>
          </cell>
          <cell r="B677" t="str">
            <v/>
          </cell>
          <cell r="C677">
            <v>1675</v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L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</row>
        <row r="678">
          <cell r="A678" t="str">
            <v/>
          </cell>
          <cell r="B678" t="str">
            <v/>
          </cell>
          <cell r="C678">
            <v>1676</v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L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</row>
        <row r="679">
          <cell r="A679" t="str">
            <v/>
          </cell>
          <cell r="B679" t="str">
            <v/>
          </cell>
          <cell r="C679">
            <v>1677</v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L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  <cell r="Z679" t="str">
            <v/>
          </cell>
        </row>
        <row r="680">
          <cell r="A680" t="str">
            <v/>
          </cell>
          <cell r="B680" t="str">
            <v/>
          </cell>
          <cell r="C680">
            <v>1678</v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L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</row>
        <row r="681">
          <cell r="A681" t="str">
            <v/>
          </cell>
          <cell r="B681" t="str">
            <v/>
          </cell>
          <cell r="C681">
            <v>1679</v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L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</row>
        <row r="682">
          <cell r="A682" t="str">
            <v/>
          </cell>
          <cell r="B682" t="str">
            <v/>
          </cell>
          <cell r="C682">
            <v>1680</v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L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</row>
        <row r="683">
          <cell r="A683" t="str">
            <v/>
          </cell>
          <cell r="B683" t="str">
            <v/>
          </cell>
          <cell r="C683">
            <v>1681</v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L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  <cell r="Z683" t="str">
            <v/>
          </cell>
        </row>
        <row r="684">
          <cell r="A684" t="str">
            <v/>
          </cell>
          <cell r="B684" t="str">
            <v/>
          </cell>
          <cell r="C684">
            <v>1682</v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L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</row>
        <row r="685">
          <cell r="A685" t="str">
            <v/>
          </cell>
          <cell r="B685" t="str">
            <v/>
          </cell>
          <cell r="C685">
            <v>1683</v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L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</row>
        <row r="686">
          <cell r="A686" t="str">
            <v/>
          </cell>
          <cell r="B686" t="str">
            <v/>
          </cell>
          <cell r="C686">
            <v>1684</v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L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</row>
        <row r="687">
          <cell r="A687" t="str">
            <v/>
          </cell>
          <cell r="B687" t="str">
            <v/>
          </cell>
          <cell r="C687">
            <v>1685</v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L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</row>
        <row r="688">
          <cell r="A688" t="str">
            <v/>
          </cell>
          <cell r="B688" t="str">
            <v/>
          </cell>
          <cell r="C688">
            <v>1686</v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L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  <cell r="Z688" t="str">
            <v/>
          </cell>
        </row>
        <row r="689">
          <cell r="A689" t="str">
            <v/>
          </cell>
          <cell r="B689" t="str">
            <v/>
          </cell>
          <cell r="C689">
            <v>1687</v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L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  <cell r="Z689" t="str">
            <v/>
          </cell>
        </row>
        <row r="690">
          <cell r="A690" t="str">
            <v/>
          </cell>
          <cell r="B690" t="str">
            <v/>
          </cell>
          <cell r="C690">
            <v>1688</v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L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  <cell r="Z690" t="str">
            <v/>
          </cell>
        </row>
        <row r="691">
          <cell r="A691" t="str">
            <v/>
          </cell>
          <cell r="B691" t="str">
            <v/>
          </cell>
          <cell r="C691">
            <v>1689</v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L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  <cell r="Z691" t="str">
            <v/>
          </cell>
        </row>
        <row r="692">
          <cell r="A692" t="str">
            <v/>
          </cell>
          <cell r="B692" t="str">
            <v/>
          </cell>
          <cell r="C692">
            <v>1690</v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L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  <cell r="Z692" t="str">
            <v/>
          </cell>
        </row>
        <row r="693">
          <cell r="A693" t="str">
            <v/>
          </cell>
          <cell r="B693" t="str">
            <v/>
          </cell>
          <cell r="C693">
            <v>1691</v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L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  <cell r="Z693" t="str">
            <v/>
          </cell>
        </row>
        <row r="694">
          <cell r="A694" t="str">
            <v/>
          </cell>
          <cell r="B694" t="str">
            <v/>
          </cell>
          <cell r="C694">
            <v>1692</v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L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  <cell r="Z694" t="str">
            <v/>
          </cell>
        </row>
        <row r="695">
          <cell r="A695" t="str">
            <v/>
          </cell>
          <cell r="B695" t="str">
            <v/>
          </cell>
          <cell r="C695">
            <v>1693</v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L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</row>
        <row r="696">
          <cell r="A696" t="str">
            <v/>
          </cell>
          <cell r="B696" t="str">
            <v/>
          </cell>
          <cell r="C696">
            <v>1694</v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L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  <cell r="Z696" t="str">
            <v/>
          </cell>
        </row>
        <row r="697">
          <cell r="A697" t="str">
            <v/>
          </cell>
          <cell r="B697" t="str">
            <v/>
          </cell>
          <cell r="C697">
            <v>1695</v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L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  <cell r="Z697" t="str">
            <v/>
          </cell>
        </row>
        <row r="698">
          <cell r="A698" t="str">
            <v/>
          </cell>
          <cell r="B698" t="str">
            <v/>
          </cell>
          <cell r="C698">
            <v>1696</v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L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  <cell r="Z698" t="str">
            <v/>
          </cell>
        </row>
        <row r="699">
          <cell r="A699" t="str">
            <v/>
          </cell>
          <cell r="B699" t="str">
            <v/>
          </cell>
          <cell r="C699">
            <v>1697</v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L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  <cell r="Z699" t="str">
            <v/>
          </cell>
        </row>
        <row r="700">
          <cell r="A700" t="str">
            <v/>
          </cell>
          <cell r="B700" t="str">
            <v/>
          </cell>
          <cell r="C700">
            <v>1698</v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L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  <cell r="Z700" t="str">
            <v/>
          </cell>
        </row>
        <row r="701">
          <cell r="A701" t="str">
            <v/>
          </cell>
          <cell r="B701" t="str">
            <v/>
          </cell>
          <cell r="C701">
            <v>1699</v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L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</row>
        <row r="702">
          <cell r="A702" t="str">
            <v/>
          </cell>
          <cell r="B702" t="str">
            <v/>
          </cell>
          <cell r="C702">
            <v>1700</v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L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</row>
        <row r="703">
          <cell r="A703" t="str">
            <v/>
          </cell>
          <cell r="B703" t="str">
            <v/>
          </cell>
          <cell r="C703">
            <v>1701</v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L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  <cell r="Z703" t="str">
            <v/>
          </cell>
        </row>
        <row r="704">
          <cell r="A704" t="str">
            <v/>
          </cell>
          <cell r="B704" t="str">
            <v/>
          </cell>
          <cell r="C704">
            <v>1702</v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L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  <cell r="Z704" t="str">
            <v/>
          </cell>
        </row>
        <row r="705">
          <cell r="A705" t="str">
            <v/>
          </cell>
          <cell r="B705" t="str">
            <v/>
          </cell>
          <cell r="C705">
            <v>1703</v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L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  <cell r="Z705" t="str">
            <v/>
          </cell>
        </row>
        <row r="706">
          <cell r="A706" t="str">
            <v/>
          </cell>
          <cell r="B706" t="str">
            <v/>
          </cell>
          <cell r="C706">
            <v>1704</v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L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</row>
        <row r="707">
          <cell r="A707" t="str">
            <v/>
          </cell>
          <cell r="B707" t="str">
            <v/>
          </cell>
          <cell r="C707">
            <v>1705</v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L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</row>
        <row r="708">
          <cell r="A708" t="str">
            <v/>
          </cell>
          <cell r="B708" t="str">
            <v/>
          </cell>
          <cell r="C708">
            <v>1706</v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L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  <cell r="Z708" t="str">
            <v/>
          </cell>
        </row>
        <row r="709">
          <cell r="A709" t="str">
            <v/>
          </cell>
          <cell r="B709" t="str">
            <v/>
          </cell>
          <cell r="C709">
            <v>1707</v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L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  <cell r="Z709" t="str">
            <v/>
          </cell>
        </row>
        <row r="710">
          <cell r="A710" t="str">
            <v/>
          </cell>
          <cell r="B710" t="str">
            <v/>
          </cell>
          <cell r="C710">
            <v>1708</v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L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  <cell r="Z710" t="str">
            <v/>
          </cell>
        </row>
        <row r="711">
          <cell r="A711" t="str">
            <v/>
          </cell>
          <cell r="B711" t="str">
            <v/>
          </cell>
          <cell r="C711">
            <v>1709</v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L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  <cell r="Z711" t="str">
            <v/>
          </cell>
        </row>
        <row r="712">
          <cell r="A712" t="str">
            <v/>
          </cell>
          <cell r="B712" t="str">
            <v/>
          </cell>
          <cell r="C712">
            <v>1710</v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L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  <cell r="Z712" t="str">
            <v/>
          </cell>
        </row>
        <row r="713">
          <cell r="A713" t="str">
            <v/>
          </cell>
          <cell r="B713" t="str">
            <v/>
          </cell>
          <cell r="C713">
            <v>1711</v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L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  <cell r="Z713" t="str">
            <v/>
          </cell>
        </row>
        <row r="714">
          <cell r="A714" t="str">
            <v/>
          </cell>
          <cell r="B714" t="str">
            <v/>
          </cell>
          <cell r="C714">
            <v>1712</v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L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  <cell r="Z714" t="str">
            <v/>
          </cell>
        </row>
        <row r="715">
          <cell r="A715" t="str">
            <v/>
          </cell>
          <cell r="B715" t="str">
            <v/>
          </cell>
          <cell r="C715">
            <v>1713</v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L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</row>
        <row r="716">
          <cell r="A716" t="str">
            <v/>
          </cell>
          <cell r="B716" t="str">
            <v/>
          </cell>
          <cell r="C716">
            <v>1714</v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L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</row>
        <row r="717">
          <cell r="A717" t="str">
            <v/>
          </cell>
          <cell r="B717" t="str">
            <v/>
          </cell>
          <cell r="C717">
            <v>1715</v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L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</row>
        <row r="718">
          <cell r="A718" t="str">
            <v/>
          </cell>
          <cell r="B718" t="str">
            <v/>
          </cell>
          <cell r="C718">
            <v>1716</v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L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</row>
        <row r="719">
          <cell r="A719" t="str">
            <v/>
          </cell>
          <cell r="B719" t="str">
            <v/>
          </cell>
          <cell r="C719">
            <v>1717</v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L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</row>
        <row r="720">
          <cell r="A720" t="str">
            <v/>
          </cell>
          <cell r="B720" t="str">
            <v/>
          </cell>
          <cell r="C720">
            <v>1718</v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L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</row>
        <row r="721">
          <cell r="A721" t="str">
            <v/>
          </cell>
          <cell r="B721" t="str">
            <v/>
          </cell>
          <cell r="C721">
            <v>1719</v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L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  <cell r="Z721" t="str">
            <v/>
          </cell>
        </row>
        <row r="722">
          <cell r="A722" t="str">
            <v/>
          </cell>
          <cell r="B722" t="str">
            <v/>
          </cell>
          <cell r="C722">
            <v>1720</v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L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</row>
        <row r="723">
          <cell r="A723" t="str">
            <v/>
          </cell>
          <cell r="B723" t="str">
            <v/>
          </cell>
          <cell r="C723">
            <v>1721</v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L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</row>
        <row r="724">
          <cell r="A724" t="str">
            <v/>
          </cell>
          <cell r="B724" t="str">
            <v/>
          </cell>
          <cell r="C724">
            <v>1722</v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L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</row>
        <row r="725">
          <cell r="A725" t="str">
            <v/>
          </cell>
          <cell r="B725" t="str">
            <v/>
          </cell>
          <cell r="C725">
            <v>1723</v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L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</row>
        <row r="726">
          <cell r="A726" t="str">
            <v/>
          </cell>
          <cell r="B726" t="str">
            <v/>
          </cell>
          <cell r="C726">
            <v>1724</v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L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</row>
        <row r="727">
          <cell r="A727" t="str">
            <v/>
          </cell>
          <cell r="B727" t="str">
            <v/>
          </cell>
          <cell r="C727">
            <v>1725</v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L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</row>
        <row r="728">
          <cell r="A728" t="str">
            <v/>
          </cell>
          <cell r="B728" t="str">
            <v/>
          </cell>
          <cell r="C728">
            <v>1726</v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L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  <cell r="Z728" t="str">
            <v/>
          </cell>
        </row>
        <row r="729">
          <cell r="A729" t="str">
            <v/>
          </cell>
          <cell r="B729" t="str">
            <v/>
          </cell>
          <cell r="C729">
            <v>1727</v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L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  <cell r="Z729" t="str">
            <v/>
          </cell>
        </row>
        <row r="730">
          <cell r="A730" t="str">
            <v/>
          </cell>
          <cell r="B730" t="str">
            <v/>
          </cell>
          <cell r="C730">
            <v>1728</v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L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  <cell r="Z730" t="str">
            <v/>
          </cell>
        </row>
        <row r="731">
          <cell r="A731" t="str">
            <v/>
          </cell>
          <cell r="B731" t="str">
            <v/>
          </cell>
          <cell r="C731">
            <v>1729</v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L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  <cell r="Z731" t="str">
            <v/>
          </cell>
        </row>
        <row r="732">
          <cell r="A732" t="str">
            <v/>
          </cell>
          <cell r="B732" t="str">
            <v/>
          </cell>
          <cell r="C732">
            <v>1730</v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L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  <cell r="Z732" t="str">
            <v/>
          </cell>
        </row>
        <row r="733">
          <cell r="A733" t="str">
            <v/>
          </cell>
          <cell r="B733" t="str">
            <v/>
          </cell>
          <cell r="C733">
            <v>1731</v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L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</row>
        <row r="734">
          <cell r="A734" t="str">
            <v/>
          </cell>
          <cell r="B734" t="str">
            <v/>
          </cell>
          <cell r="C734">
            <v>1732</v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L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  <cell r="Z734" t="str">
            <v/>
          </cell>
        </row>
        <row r="735">
          <cell r="A735" t="str">
            <v/>
          </cell>
          <cell r="B735" t="str">
            <v/>
          </cell>
          <cell r="C735">
            <v>1733</v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L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</row>
        <row r="736">
          <cell r="A736" t="str">
            <v/>
          </cell>
          <cell r="B736" t="str">
            <v/>
          </cell>
          <cell r="C736">
            <v>1734</v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L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  <cell r="Z736" t="str">
            <v/>
          </cell>
        </row>
        <row r="737">
          <cell r="A737" t="str">
            <v/>
          </cell>
          <cell r="B737" t="str">
            <v/>
          </cell>
          <cell r="C737">
            <v>1735</v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L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</row>
        <row r="738">
          <cell r="A738" t="str">
            <v/>
          </cell>
          <cell r="B738" t="str">
            <v/>
          </cell>
          <cell r="C738">
            <v>1736</v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L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  <cell r="Z738" t="str">
            <v/>
          </cell>
        </row>
        <row r="739">
          <cell r="A739" t="str">
            <v/>
          </cell>
          <cell r="B739" t="str">
            <v/>
          </cell>
          <cell r="C739">
            <v>1737</v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L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</row>
        <row r="740">
          <cell r="A740" t="str">
            <v/>
          </cell>
          <cell r="B740" t="str">
            <v/>
          </cell>
          <cell r="C740">
            <v>1738</v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L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</row>
        <row r="741">
          <cell r="A741" t="str">
            <v/>
          </cell>
          <cell r="B741" t="str">
            <v/>
          </cell>
          <cell r="C741">
            <v>1739</v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L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</row>
        <row r="742">
          <cell r="A742" t="str">
            <v/>
          </cell>
          <cell r="B742" t="str">
            <v/>
          </cell>
          <cell r="C742">
            <v>1740</v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L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</row>
        <row r="743">
          <cell r="A743" t="str">
            <v/>
          </cell>
          <cell r="B743" t="str">
            <v/>
          </cell>
          <cell r="C743">
            <v>1741</v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L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</row>
        <row r="744">
          <cell r="A744" t="str">
            <v/>
          </cell>
          <cell r="B744" t="str">
            <v/>
          </cell>
          <cell r="C744">
            <v>1742</v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L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</row>
        <row r="745">
          <cell r="A745" t="str">
            <v/>
          </cell>
          <cell r="B745" t="str">
            <v/>
          </cell>
          <cell r="C745">
            <v>1743</v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L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</row>
        <row r="746">
          <cell r="A746" t="str">
            <v/>
          </cell>
          <cell r="B746" t="str">
            <v/>
          </cell>
          <cell r="C746">
            <v>1744</v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L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</row>
        <row r="747">
          <cell r="A747" t="str">
            <v/>
          </cell>
          <cell r="B747" t="str">
            <v/>
          </cell>
          <cell r="C747">
            <v>1745</v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L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</row>
        <row r="748">
          <cell r="A748" t="str">
            <v/>
          </cell>
          <cell r="B748" t="str">
            <v/>
          </cell>
          <cell r="C748">
            <v>1746</v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L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  <cell r="Z748" t="str">
            <v/>
          </cell>
        </row>
        <row r="749">
          <cell r="A749" t="str">
            <v/>
          </cell>
          <cell r="B749" t="str">
            <v/>
          </cell>
          <cell r="C749">
            <v>1747</v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L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</row>
        <row r="750">
          <cell r="A750" t="str">
            <v/>
          </cell>
          <cell r="B750" t="str">
            <v/>
          </cell>
          <cell r="C750">
            <v>1748</v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L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</row>
        <row r="751">
          <cell r="A751" t="str">
            <v/>
          </cell>
          <cell r="B751" t="str">
            <v/>
          </cell>
          <cell r="C751">
            <v>1749</v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L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</row>
        <row r="752">
          <cell r="A752" t="str">
            <v/>
          </cell>
          <cell r="B752" t="str">
            <v/>
          </cell>
          <cell r="C752">
            <v>1750</v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L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</row>
        <row r="753">
          <cell r="A753" t="str">
            <v/>
          </cell>
          <cell r="B753" t="str">
            <v/>
          </cell>
          <cell r="C753">
            <v>1751</v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L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</row>
        <row r="754">
          <cell r="A754" t="str">
            <v/>
          </cell>
          <cell r="B754" t="str">
            <v/>
          </cell>
          <cell r="C754">
            <v>1752</v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L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</row>
        <row r="755">
          <cell r="A755" t="str">
            <v/>
          </cell>
          <cell r="B755" t="str">
            <v/>
          </cell>
          <cell r="C755">
            <v>1753</v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L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</row>
        <row r="756">
          <cell r="A756" t="str">
            <v/>
          </cell>
          <cell r="B756" t="str">
            <v/>
          </cell>
          <cell r="C756">
            <v>1754</v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L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</row>
        <row r="757">
          <cell r="A757" t="str">
            <v/>
          </cell>
          <cell r="B757" t="str">
            <v/>
          </cell>
          <cell r="C757">
            <v>1755</v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L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</row>
        <row r="758">
          <cell r="A758" t="str">
            <v/>
          </cell>
          <cell r="B758" t="str">
            <v/>
          </cell>
          <cell r="C758">
            <v>1756</v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L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</row>
        <row r="759">
          <cell r="A759" t="str">
            <v/>
          </cell>
          <cell r="B759" t="str">
            <v/>
          </cell>
          <cell r="C759">
            <v>1757</v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L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</row>
        <row r="760">
          <cell r="A760" t="str">
            <v/>
          </cell>
          <cell r="B760" t="str">
            <v/>
          </cell>
          <cell r="C760">
            <v>1758</v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L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</row>
        <row r="761">
          <cell r="A761" t="str">
            <v/>
          </cell>
          <cell r="B761" t="str">
            <v/>
          </cell>
          <cell r="C761">
            <v>1759</v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L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  <cell r="Z761" t="str">
            <v/>
          </cell>
        </row>
        <row r="762">
          <cell r="A762" t="str">
            <v/>
          </cell>
          <cell r="B762" t="str">
            <v/>
          </cell>
          <cell r="C762">
            <v>1760</v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L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</row>
        <row r="763">
          <cell r="A763" t="str">
            <v/>
          </cell>
          <cell r="B763" t="str">
            <v/>
          </cell>
          <cell r="C763">
            <v>1761</v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L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</row>
        <row r="764">
          <cell r="A764" t="str">
            <v/>
          </cell>
          <cell r="B764" t="str">
            <v/>
          </cell>
          <cell r="C764">
            <v>1762</v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L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</row>
        <row r="765">
          <cell r="A765" t="str">
            <v/>
          </cell>
          <cell r="B765" t="str">
            <v/>
          </cell>
          <cell r="C765">
            <v>1763</v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L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</row>
        <row r="766">
          <cell r="A766" t="str">
            <v/>
          </cell>
          <cell r="B766" t="str">
            <v/>
          </cell>
          <cell r="C766">
            <v>1764</v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L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</row>
        <row r="767">
          <cell r="A767" t="str">
            <v/>
          </cell>
          <cell r="B767" t="str">
            <v/>
          </cell>
          <cell r="C767">
            <v>1765</v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L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  <cell r="Z767" t="str">
            <v/>
          </cell>
        </row>
        <row r="768">
          <cell r="A768" t="str">
            <v/>
          </cell>
          <cell r="B768" t="str">
            <v/>
          </cell>
          <cell r="C768">
            <v>1766</v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L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</row>
        <row r="769">
          <cell r="A769" t="str">
            <v/>
          </cell>
          <cell r="B769" t="str">
            <v/>
          </cell>
          <cell r="C769">
            <v>1767</v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L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</row>
        <row r="770">
          <cell r="A770" t="str">
            <v/>
          </cell>
          <cell r="B770" t="str">
            <v/>
          </cell>
          <cell r="C770">
            <v>1768</v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L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</row>
        <row r="771">
          <cell r="A771" t="str">
            <v/>
          </cell>
          <cell r="B771" t="str">
            <v/>
          </cell>
          <cell r="C771">
            <v>1769</v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L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</row>
        <row r="772">
          <cell r="A772" t="str">
            <v/>
          </cell>
          <cell r="B772" t="str">
            <v/>
          </cell>
          <cell r="C772">
            <v>1770</v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L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</row>
        <row r="773">
          <cell r="A773" t="str">
            <v/>
          </cell>
          <cell r="B773" t="str">
            <v/>
          </cell>
          <cell r="C773">
            <v>1771</v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L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</row>
        <row r="774">
          <cell r="A774" t="str">
            <v/>
          </cell>
          <cell r="B774" t="str">
            <v/>
          </cell>
          <cell r="C774">
            <v>1772</v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L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</row>
        <row r="775">
          <cell r="A775" t="str">
            <v/>
          </cell>
          <cell r="B775" t="str">
            <v/>
          </cell>
          <cell r="C775">
            <v>1773</v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L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</row>
        <row r="776">
          <cell r="A776" t="str">
            <v/>
          </cell>
          <cell r="B776" t="str">
            <v/>
          </cell>
          <cell r="C776">
            <v>1774</v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L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</row>
        <row r="777">
          <cell r="A777" t="str">
            <v/>
          </cell>
          <cell r="B777" t="str">
            <v/>
          </cell>
          <cell r="C777">
            <v>1775</v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L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</row>
        <row r="778">
          <cell r="A778" t="str">
            <v/>
          </cell>
          <cell r="B778" t="str">
            <v/>
          </cell>
          <cell r="C778">
            <v>1776</v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L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</row>
        <row r="779">
          <cell r="A779" t="str">
            <v/>
          </cell>
          <cell r="B779" t="str">
            <v/>
          </cell>
          <cell r="C779">
            <v>1777</v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L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</row>
        <row r="780">
          <cell r="A780" t="str">
            <v/>
          </cell>
          <cell r="B780" t="str">
            <v/>
          </cell>
          <cell r="C780">
            <v>1778</v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L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</row>
        <row r="781">
          <cell r="A781" t="str">
            <v/>
          </cell>
          <cell r="B781" t="str">
            <v/>
          </cell>
          <cell r="C781">
            <v>1779</v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L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</row>
        <row r="782">
          <cell r="A782" t="str">
            <v/>
          </cell>
          <cell r="B782" t="str">
            <v/>
          </cell>
          <cell r="C782">
            <v>1780</v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L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</row>
        <row r="783">
          <cell r="A783" t="str">
            <v/>
          </cell>
          <cell r="B783" t="str">
            <v/>
          </cell>
          <cell r="C783">
            <v>1781</v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L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  <cell r="Z783" t="str">
            <v/>
          </cell>
        </row>
        <row r="784">
          <cell r="A784" t="str">
            <v/>
          </cell>
          <cell r="B784" t="str">
            <v/>
          </cell>
          <cell r="C784">
            <v>1782</v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L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</row>
        <row r="785">
          <cell r="A785" t="str">
            <v/>
          </cell>
          <cell r="B785" t="str">
            <v/>
          </cell>
          <cell r="C785">
            <v>1783</v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L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</row>
        <row r="786">
          <cell r="A786" t="str">
            <v/>
          </cell>
          <cell r="B786" t="str">
            <v/>
          </cell>
          <cell r="C786">
            <v>1784</v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L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</row>
        <row r="787">
          <cell r="A787" t="str">
            <v/>
          </cell>
          <cell r="B787" t="str">
            <v/>
          </cell>
          <cell r="C787">
            <v>1785</v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L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</row>
        <row r="788">
          <cell r="A788" t="str">
            <v/>
          </cell>
          <cell r="B788" t="str">
            <v/>
          </cell>
          <cell r="C788">
            <v>1786</v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L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</row>
        <row r="789">
          <cell r="A789" t="str">
            <v/>
          </cell>
          <cell r="B789" t="str">
            <v/>
          </cell>
          <cell r="C789">
            <v>1787</v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L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</row>
        <row r="790">
          <cell r="A790" t="str">
            <v/>
          </cell>
          <cell r="B790" t="str">
            <v/>
          </cell>
          <cell r="C790">
            <v>1788</v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L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</row>
        <row r="791">
          <cell r="A791" t="str">
            <v/>
          </cell>
          <cell r="B791" t="str">
            <v/>
          </cell>
          <cell r="C791">
            <v>1789</v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L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</row>
        <row r="792">
          <cell r="A792" t="str">
            <v/>
          </cell>
          <cell r="B792" t="str">
            <v/>
          </cell>
          <cell r="C792">
            <v>1790</v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L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</row>
        <row r="793">
          <cell r="A793" t="str">
            <v/>
          </cell>
          <cell r="B793" t="str">
            <v/>
          </cell>
          <cell r="C793">
            <v>1791</v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L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</row>
        <row r="794">
          <cell r="A794" t="str">
            <v/>
          </cell>
          <cell r="B794" t="str">
            <v/>
          </cell>
          <cell r="C794">
            <v>1792</v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L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</row>
        <row r="795">
          <cell r="A795" t="str">
            <v/>
          </cell>
          <cell r="B795" t="str">
            <v/>
          </cell>
          <cell r="C795">
            <v>1793</v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L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</row>
        <row r="796">
          <cell r="A796" t="str">
            <v/>
          </cell>
          <cell r="B796" t="str">
            <v/>
          </cell>
          <cell r="C796">
            <v>1794</v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L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</row>
        <row r="797">
          <cell r="A797" t="str">
            <v/>
          </cell>
          <cell r="B797" t="str">
            <v/>
          </cell>
          <cell r="C797">
            <v>1795</v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L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</row>
        <row r="798">
          <cell r="A798" t="str">
            <v/>
          </cell>
          <cell r="B798" t="str">
            <v/>
          </cell>
          <cell r="C798">
            <v>1796</v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L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</row>
        <row r="799">
          <cell r="A799" t="str">
            <v/>
          </cell>
          <cell r="B799" t="str">
            <v/>
          </cell>
          <cell r="C799">
            <v>1797</v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L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  <cell r="Z799" t="str">
            <v/>
          </cell>
        </row>
        <row r="800">
          <cell r="A800" t="str">
            <v/>
          </cell>
          <cell r="B800" t="str">
            <v/>
          </cell>
          <cell r="C800">
            <v>1798</v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L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  <cell r="Z800" t="str">
            <v/>
          </cell>
        </row>
        <row r="801">
          <cell r="A801" t="str">
            <v/>
          </cell>
          <cell r="B801" t="str">
            <v/>
          </cell>
          <cell r="C801">
            <v>1799</v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L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</row>
        <row r="802">
          <cell r="A802" t="str">
            <v/>
          </cell>
          <cell r="B802" t="str">
            <v/>
          </cell>
          <cell r="C802">
            <v>1800</v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L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</row>
        <row r="803">
          <cell r="A803" t="str">
            <v/>
          </cell>
          <cell r="B803" t="str">
            <v/>
          </cell>
          <cell r="C803">
            <v>1801</v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L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</row>
        <row r="804">
          <cell r="A804" t="str">
            <v/>
          </cell>
          <cell r="B804" t="str">
            <v/>
          </cell>
          <cell r="C804">
            <v>1802</v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L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</row>
        <row r="805">
          <cell r="A805" t="str">
            <v/>
          </cell>
          <cell r="B805" t="str">
            <v/>
          </cell>
          <cell r="C805">
            <v>1803</v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L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</row>
        <row r="806">
          <cell r="A806" t="str">
            <v/>
          </cell>
          <cell r="B806" t="str">
            <v/>
          </cell>
          <cell r="C806">
            <v>1804</v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L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</row>
        <row r="807">
          <cell r="A807" t="str">
            <v/>
          </cell>
          <cell r="B807" t="str">
            <v/>
          </cell>
          <cell r="C807">
            <v>1805</v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L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</row>
        <row r="808">
          <cell r="A808" t="str">
            <v/>
          </cell>
          <cell r="B808" t="str">
            <v/>
          </cell>
          <cell r="C808">
            <v>1806</v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L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</row>
        <row r="809">
          <cell r="A809" t="str">
            <v/>
          </cell>
          <cell r="B809" t="str">
            <v/>
          </cell>
          <cell r="C809">
            <v>1807</v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L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</row>
        <row r="810">
          <cell r="A810" t="str">
            <v/>
          </cell>
          <cell r="B810" t="str">
            <v/>
          </cell>
          <cell r="C810">
            <v>1808</v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L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</row>
        <row r="811">
          <cell r="A811" t="str">
            <v/>
          </cell>
          <cell r="B811" t="str">
            <v/>
          </cell>
          <cell r="C811">
            <v>1809</v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L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</row>
        <row r="812">
          <cell r="A812" t="str">
            <v/>
          </cell>
          <cell r="B812" t="str">
            <v/>
          </cell>
          <cell r="C812">
            <v>1810</v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L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</row>
        <row r="813">
          <cell r="A813" t="str">
            <v/>
          </cell>
          <cell r="B813" t="str">
            <v/>
          </cell>
          <cell r="C813">
            <v>1811</v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L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</row>
        <row r="814">
          <cell r="A814" t="str">
            <v/>
          </cell>
          <cell r="B814" t="str">
            <v/>
          </cell>
          <cell r="C814">
            <v>1812</v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L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</row>
        <row r="815">
          <cell r="A815" t="str">
            <v/>
          </cell>
          <cell r="B815" t="str">
            <v/>
          </cell>
          <cell r="C815">
            <v>1813</v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L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  <cell r="Z815" t="str">
            <v/>
          </cell>
        </row>
        <row r="816">
          <cell r="A816" t="str">
            <v/>
          </cell>
          <cell r="B816" t="str">
            <v/>
          </cell>
          <cell r="C816">
            <v>1814</v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L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</row>
        <row r="817">
          <cell r="A817" t="str">
            <v/>
          </cell>
          <cell r="B817" t="str">
            <v/>
          </cell>
          <cell r="C817">
            <v>1815</v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L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</row>
        <row r="818">
          <cell r="A818" t="str">
            <v/>
          </cell>
          <cell r="B818" t="str">
            <v/>
          </cell>
          <cell r="C818">
            <v>1816</v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L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  <cell r="Z818" t="str">
            <v/>
          </cell>
        </row>
        <row r="819">
          <cell r="A819" t="str">
            <v/>
          </cell>
          <cell r="B819" t="str">
            <v/>
          </cell>
          <cell r="C819">
            <v>1817</v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L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  <cell r="Z819" t="str">
            <v/>
          </cell>
        </row>
        <row r="820">
          <cell r="A820" t="str">
            <v/>
          </cell>
          <cell r="B820" t="str">
            <v/>
          </cell>
          <cell r="C820">
            <v>1818</v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L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</row>
        <row r="821">
          <cell r="A821" t="str">
            <v/>
          </cell>
          <cell r="B821" t="str">
            <v/>
          </cell>
          <cell r="C821">
            <v>1819</v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L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</row>
        <row r="822">
          <cell r="A822" t="str">
            <v/>
          </cell>
          <cell r="B822" t="str">
            <v/>
          </cell>
          <cell r="C822">
            <v>1820</v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L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</row>
        <row r="823">
          <cell r="A823" t="str">
            <v/>
          </cell>
          <cell r="B823" t="str">
            <v/>
          </cell>
          <cell r="C823">
            <v>1821</v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L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</row>
        <row r="824">
          <cell r="A824" t="str">
            <v/>
          </cell>
          <cell r="B824" t="str">
            <v/>
          </cell>
          <cell r="C824">
            <v>1822</v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L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</row>
        <row r="825">
          <cell r="A825" t="str">
            <v/>
          </cell>
          <cell r="B825" t="str">
            <v/>
          </cell>
          <cell r="C825">
            <v>1823</v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L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  <cell r="Z825" t="str">
            <v/>
          </cell>
        </row>
        <row r="826">
          <cell r="A826" t="str">
            <v/>
          </cell>
          <cell r="B826" t="str">
            <v/>
          </cell>
          <cell r="C826">
            <v>1824</v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L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  <cell r="Z826" t="str">
            <v/>
          </cell>
        </row>
        <row r="827">
          <cell r="A827" t="str">
            <v/>
          </cell>
          <cell r="B827" t="str">
            <v/>
          </cell>
          <cell r="C827">
            <v>1825</v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L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  <cell r="Z827" t="str">
            <v/>
          </cell>
        </row>
        <row r="828">
          <cell r="A828" t="str">
            <v/>
          </cell>
          <cell r="B828" t="str">
            <v/>
          </cell>
          <cell r="C828">
            <v>1826</v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L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  <cell r="Z828" t="str">
            <v/>
          </cell>
        </row>
        <row r="829">
          <cell r="A829" t="str">
            <v/>
          </cell>
          <cell r="B829" t="str">
            <v/>
          </cell>
          <cell r="C829">
            <v>1827</v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L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  <cell r="Z829" t="str">
            <v/>
          </cell>
        </row>
        <row r="830">
          <cell r="A830" t="str">
            <v/>
          </cell>
          <cell r="B830" t="str">
            <v/>
          </cell>
          <cell r="C830">
            <v>1828</v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L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  <cell r="Z830" t="str">
            <v/>
          </cell>
        </row>
        <row r="831">
          <cell r="A831" t="str">
            <v/>
          </cell>
          <cell r="B831" t="str">
            <v/>
          </cell>
          <cell r="C831">
            <v>1829</v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L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  <cell r="Z831" t="str">
            <v/>
          </cell>
        </row>
        <row r="832">
          <cell r="A832" t="str">
            <v/>
          </cell>
          <cell r="B832" t="str">
            <v/>
          </cell>
          <cell r="C832">
            <v>1830</v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L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</row>
        <row r="833">
          <cell r="A833" t="str">
            <v/>
          </cell>
          <cell r="B833" t="str">
            <v/>
          </cell>
          <cell r="C833">
            <v>1831</v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L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</row>
        <row r="834">
          <cell r="A834" t="str">
            <v/>
          </cell>
          <cell r="B834" t="str">
            <v/>
          </cell>
          <cell r="C834">
            <v>1832</v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L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</row>
        <row r="835">
          <cell r="A835" t="str">
            <v/>
          </cell>
          <cell r="B835" t="str">
            <v/>
          </cell>
          <cell r="C835">
            <v>1833</v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L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  <cell r="Z835" t="str">
            <v/>
          </cell>
        </row>
        <row r="836">
          <cell r="A836" t="str">
            <v/>
          </cell>
          <cell r="B836" t="str">
            <v/>
          </cell>
          <cell r="C836">
            <v>1834</v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L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</row>
        <row r="837">
          <cell r="A837" t="str">
            <v/>
          </cell>
          <cell r="B837" t="str">
            <v/>
          </cell>
          <cell r="C837">
            <v>1835</v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L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  <cell r="Z837" t="str">
            <v/>
          </cell>
        </row>
        <row r="838">
          <cell r="A838" t="str">
            <v/>
          </cell>
          <cell r="B838" t="str">
            <v/>
          </cell>
          <cell r="C838">
            <v>1836</v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L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  <cell r="Z838" t="str">
            <v/>
          </cell>
        </row>
        <row r="839">
          <cell r="A839" t="str">
            <v/>
          </cell>
          <cell r="B839" t="str">
            <v/>
          </cell>
          <cell r="C839">
            <v>1837</v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L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</row>
        <row r="840">
          <cell r="A840" t="str">
            <v/>
          </cell>
          <cell r="B840" t="str">
            <v/>
          </cell>
          <cell r="C840">
            <v>1838</v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L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</row>
        <row r="841">
          <cell r="A841" t="str">
            <v/>
          </cell>
          <cell r="B841" t="str">
            <v/>
          </cell>
          <cell r="C841">
            <v>1839</v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L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</row>
        <row r="842">
          <cell r="A842" t="str">
            <v/>
          </cell>
          <cell r="B842" t="str">
            <v/>
          </cell>
          <cell r="C842">
            <v>1840</v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L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</row>
        <row r="843">
          <cell r="A843" t="str">
            <v/>
          </cell>
          <cell r="B843" t="str">
            <v/>
          </cell>
          <cell r="C843">
            <v>1841</v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L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</row>
        <row r="844">
          <cell r="A844" t="str">
            <v/>
          </cell>
          <cell r="B844" t="str">
            <v/>
          </cell>
          <cell r="C844">
            <v>1842</v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L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  <cell r="Z844" t="str">
            <v/>
          </cell>
        </row>
        <row r="845">
          <cell r="A845" t="str">
            <v/>
          </cell>
          <cell r="B845" t="str">
            <v/>
          </cell>
          <cell r="C845">
            <v>1843</v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L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</row>
        <row r="846">
          <cell r="A846" t="str">
            <v/>
          </cell>
          <cell r="B846" t="str">
            <v/>
          </cell>
          <cell r="C846">
            <v>1844</v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L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  <cell r="Z846" t="str">
            <v/>
          </cell>
        </row>
        <row r="847">
          <cell r="A847" t="str">
            <v/>
          </cell>
          <cell r="B847" t="str">
            <v/>
          </cell>
          <cell r="C847">
            <v>1845</v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L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  <cell r="Z847" t="str">
            <v/>
          </cell>
        </row>
        <row r="848">
          <cell r="A848" t="str">
            <v/>
          </cell>
          <cell r="B848" t="str">
            <v/>
          </cell>
          <cell r="C848">
            <v>1846</v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L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  <cell r="Z848" t="str">
            <v/>
          </cell>
        </row>
        <row r="849">
          <cell r="A849" t="str">
            <v/>
          </cell>
          <cell r="B849" t="str">
            <v/>
          </cell>
          <cell r="C849">
            <v>1847</v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L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  <cell r="Z849" t="str">
            <v/>
          </cell>
        </row>
        <row r="850">
          <cell r="A850" t="str">
            <v/>
          </cell>
          <cell r="B850" t="str">
            <v/>
          </cell>
          <cell r="C850">
            <v>1848</v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L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  <cell r="Z850" t="str">
            <v/>
          </cell>
        </row>
        <row r="851">
          <cell r="A851" t="str">
            <v/>
          </cell>
          <cell r="B851" t="str">
            <v/>
          </cell>
          <cell r="C851">
            <v>1849</v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L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</row>
        <row r="852">
          <cell r="A852" t="str">
            <v/>
          </cell>
          <cell r="B852" t="str">
            <v/>
          </cell>
          <cell r="C852">
            <v>1850</v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L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</row>
        <row r="853">
          <cell r="A853" t="str">
            <v/>
          </cell>
          <cell r="B853" t="str">
            <v/>
          </cell>
          <cell r="C853">
            <v>1851</v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L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</row>
        <row r="854">
          <cell r="A854" t="str">
            <v/>
          </cell>
          <cell r="B854" t="str">
            <v/>
          </cell>
          <cell r="C854">
            <v>1852</v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L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</row>
        <row r="855">
          <cell r="A855" t="str">
            <v/>
          </cell>
          <cell r="B855" t="str">
            <v/>
          </cell>
          <cell r="C855">
            <v>1853</v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L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</row>
        <row r="856">
          <cell r="A856" t="str">
            <v/>
          </cell>
          <cell r="B856" t="str">
            <v/>
          </cell>
          <cell r="C856">
            <v>1854</v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L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</row>
        <row r="857">
          <cell r="A857" t="str">
            <v/>
          </cell>
          <cell r="B857" t="str">
            <v/>
          </cell>
          <cell r="C857">
            <v>1855</v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L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</row>
        <row r="858">
          <cell r="A858" t="str">
            <v/>
          </cell>
          <cell r="B858" t="str">
            <v/>
          </cell>
          <cell r="C858">
            <v>1856</v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L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</row>
        <row r="859">
          <cell r="A859" t="str">
            <v/>
          </cell>
          <cell r="B859" t="str">
            <v/>
          </cell>
          <cell r="C859">
            <v>1857</v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L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</row>
        <row r="860">
          <cell r="A860" t="str">
            <v/>
          </cell>
          <cell r="B860" t="str">
            <v/>
          </cell>
          <cell r="C860">
            <v>1858</v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L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</row>
        <row r="861">
          <cell r="A861" t="str">
            <v/>
          </cell>
          <cell r="B861" t="str">
            <v/>
          </cell>
          <cell r="C861">
            <v>1859</v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L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</row>
        <row r="862">
          <cell r="A862" t="str">
            <v/>
          </cell>
          <cell r="B862" t="str">
            <v/>
          </cell>
          <cell r="C862">
            <v>1860</v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L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  <cell r="Z862" t="str">
            <v/>
          </cell>
        </row>
        <row r="863">
          <cell r="A863" t="str">
            <v/>
          </cell>
          <cell r="B863" t="str">
            <v/>
          </cell>
          <cell r="C863">
            <v>1861</v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L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  <cell r="Z863" t="str">
            <v/>
          </cell>
        </row>
        <row r="864">
          <cell r="A864" t="str">
            <v/>
          </cell>
          <cell r="B864" t="str">
            <v/>
          </cell>
          <cell r="C864">
            <v>1862</v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L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</row>
        <row r="865">
          <cell r="A865" t="str">
            <v/>
          </cell>
          <cell r="B865" t="str">
            <v/>
          </cell>
          <cell r="C865">
            <v>1863</v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L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  <cell r="Z865" t="str">
            <v/>
          </cell>
        </row>
        <row r="866">
          <cell r="A866" t="str">
            <v/>
          </cell>
          <cell r="B866" t="str">
            <v/>
          </cell>
          <cell r="C866">
            <v>1864</v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L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  <cell r="Z866" t="str">
            <v/>
          </cell>
        </row>
        <row r="867">
          <cell r="A867" t="str">
            <v/>
          </cell>
          <cell r="B867" t="str">
            <v/>
          </cell>
          <cell r="C867">
            <v>1865</v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L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</row>
        <row r="868">
          <cell r="A868" t="str">
            <v/>
          </cell>
          <cell r="B868" t="str">
            <v/>
          </cell>
          <cell r="C868">
            <v>1866</v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L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</row>
        <row r="869">
          <cell r="A869" t="str">
            <v/>
          </cell>
          <cell r="B869" t="str">
            <v/>
          </cell>
          <cell r="C869">
            <v>1867</v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L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</row>
        <row r="870">
          <cell r="A870" t="str">
            <v/>
          </cell>
          <cell r="B870" t="str">
            <v/>
          </cell>
          <cell r="C870">
            <v>1868</v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L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</row>
        <row r="871">
          <cell r="A871" t="str">
            <v/>
          </cell>
          <cell r="B871" t="str">
            <v/>
          </cell>
          <cell r="C871">
            <v>1869</v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L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  <cell r="Z871" t="str">
            <v/>
          </cell>
        </row>
        <row r="872">
          <cell r="A872" t="str">
            <v/>
          </cell>
          <cell r="B872" t="str">
            <v/>
          </cell>
          <cell r="C872">
            <v>1870</v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L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  <cell r="Z872" t="str">
            <v/>
          </cell>
        </row>
        <row r="873">
          <cell r="A873" t="str">
            <v/>
          </cell>
          <cell r="B873" t="str">
            <v/>
          </cell>
          <cell r="C873">
            <v>1871</v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L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  <cell r="Z873" t="str">
            <v/>
          </cell>
        </row>
        <row r="874">
          <cell r="A874" t="str">
            <v/>
          </cell>
          <cell r="B874" t="str">
            <v/>
          </cell>
          <cell r="C874">
            <v>1872</v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L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  <cell r="Z874" t="str">
            <v/>
          </cell>
        </row>
        <row r="875">
          <cell r="A875" t="str">
            <v/>
          </cell>
          <cell r="B875" t="str">
            <v/>
          </cell>
          <cell r="C875">
            <v>1873</v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L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  <cell r="Z875" t="str">
            <v/>
          </cell>
        </row>
        <row r="876">
          <cell r="A876" t="str">
            <v/>
          </cell>
          <cell r="B876" t="str">
            <v/>
          </cell>
          <cell r="C876">
            <v>1874</v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L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  <cell r="Z876" t="str">
            <v/>
          </cell>
        </row>
        <row r="877">
          <cell r="A877" t="str">
            <v/>
          </cell>
          <cell r="B877" t="str">
            <v/>
          </cell>
          <cell r="C877">
            <v>1875</v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L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  <cell r="Z877" t="str">
            <v/>
          </cell>
        </row>
        <row r="878">
          <cell r="A878" t="str">
            <v/>
          </cell>
          <cell r="B878" t="str">
            <v/>
          </cell>
          <cell r="C878">
            <v>1876</v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L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</row>
        <row r="879">
          <cell r="A879" t="str">
            <v/>
          </cell>
          <cell r="B879" t="str">
            <v/>
          </cell>
          <cell r="C879">
            <v>1877</v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L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</row>
        <row r="880">
          <cell r="A880" t="str">
            <v/>
          </cell>
          <cell r="B880" t="str">
            <v/>
          </cell>
          <cell r="C880">
            <v>1878</v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L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</row>
        <row r="881">
          <cell r="A881" t="str">
            <v/>
          </cell>
          <cell r="B881" t="str">
            <v/>
          </cell>
          <cell r="C881">
            <v>1879</v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L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</row>
        <row r="882">
          <cell r="A882" t="str">
            <v/>
          </cell>
          <cell r="B882" t="str">
            <v/>
          </cell>
          <cell r="C882">
            <v>1880</v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L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</row>
        <row r="883">
          <cell r="A883" t="str">
            <v/>
          </cell>
          <cell r="B883" t="str">
            <v/>
          </cell>
          <cell r="C883">
            <v>1881</v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L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</row>
        <row r="884">
          <cell r="A884" t="str">
            <v/>
          </cell>
          <cell r="B884" t="str">
            <v/>
          </cell>
          <cell r="C884">
            <v>1882</v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L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</row>
        <row r="885">
          <cell r="A885" t="str">
            <v/>
          </cell>
          <cell r="B885" t="str">
            <v/>
          </cell>
          <cell r="C885">
            <v>1883</v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L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</row>
        <row r="886">
          <cell r="A886" t="str">
            <v/>
          </cell>
          <cell r="B886" t="str">
            <v/>
          </cell>
          <cell r="C886">
            <v>1884</v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L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</row>
        <row r="887">
          <cell r="A887" t="str">
            <v/>
          </cell>
          <cell r="B887" t="str">
            <v/>
          </cell>
          <cell r="C887">
            <v>1885</v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L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</row>
        <row r="888">
          <cell r="A888" t="str">
            <v/>
          </cell>
          <cell r="B888" t="str">
            <v/>
          </cell>
          <cell r="C888">
            <v>1886</v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L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</row>
        <row r="889">
          <cell r="A889" t="str">
            <v/>
          </cell>
          <cell r="B889" t="str">
            <v/>
          </cell>
          <cell r="C889">
            <v>1887</v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L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</row>
        <row r="890">
          <cell r="A890" t="str">
            <v/>
          </cell>
          <cell r="B890" t="str">
            <v/>
          </cell>
          <cell r="C890">
            <v>1888</v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L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</row>
        <row r="891">
          <cell r="A891" t="str">
            <v/>
          </cell>
          <cell r="B891" t="str">
            <v/>
          </cell>
          <cell r="C891">
            <v>1889</v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L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</row>
        <row r="892">
          <cell r="A892" t="str">
            <v/>
          </cell>
          <cell r="B892" t="str">
            <v/>
          </cell>
          <cell r="C892">
            <v>1890</v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L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</row>
        <row r="893">
          <cell r="A893" t="str">
            <v/>
          </cell>
          <cell r="B893" t="str">
            <v/>
          </cell>
          <cell r="C893">
            <v>1891</v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L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</row>
        <row r="894">
          <cell r="A894" t="str">
            <v/>
          </cell>
          <cell r="B894" t="str">
            <v/>
          </cell>
          <cell r="C894">
            <v>1892</v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L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</row>
        <row r="895">
          <cell r="A895" t="str">
            <v/>
          </cell>
          <cell r="B895" t="str">
            <v/>
          </cell>
          <cell r="C895">
            <v>1893</v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L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</row>
        <row r="896">
          <cell r="A896" t="str">
            <v/>
          </cell>
          <cell r="B896" t="str">
            <v/>
          </cell>
          <cell r="C896">
            <v>1894</v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L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</row>
        <row r="897">
          <cell r="A897" t="str">
            <v/>
          </cell>
          <cell r="B897" t="str">
            <v/>
          </cell>
          <cell r="C897">
            <v>1895</v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L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</row>
        <row r="898">
          <cell r="A898" t="str">
            <v/>
          </cell>
          <cell r="B898" t="str">
            <v/>
          </cell>
          <cell r="C898">
            <v>1896</v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L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</row>
        <row r="899">
          <cell r="A899" t="str">
            <v/>
          </cell>
          <cell r="B899" t="str">
            <v/>
          </cell>
          <cell r="C899">
            <v>1897</v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L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</row>
        <row r="900">
          <cell r="A900" t="str">
            <v/>
          </cell>
          <cell r="B900" t="str">
            <v/>
          </cell>
          <cell r="C900">
            <v>1898</v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L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</row>
        <row r="901">
          <cell r="A901" t="str">
            <v/>
          </cell>
          <cell r="B901" t="str">
            <v/>
          </cell>
          <cell r="C901">
            <v>1899</v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L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</row>
        <row r="902">
          <cell r="A902" t="str">
            <v/>
          </cell>
          <cell r="B902" t="str">
            <v/>
          </cell>
          <cell r="C902">
            <v>1900</v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L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</row>
        <row r="903">
          <cell r="A903" t="str">
            <v/>
          </cell>
          <cell r="B903" t="str">
            <v/>
          </cell>
          <cell r="C903">
            <v>1901</v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L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  <cell r="Z903" t="str">
            <v/>
          </cell>
        </row>
        <row r="904">
          <cell r="A904" t="str">
            <v/>
          </cell>
          <cell r="B904" t="str">
            <v/>
          </cell>
          <cell r="C904">
            <v>1902</v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L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  <cell r="Z904" t="str">
            <v/>
          </cell>
        </row>
        <row r="905">
          <cell r="A905" t="str">
            <v/>
          </cell>
          <cell r="B905" t="str">
            <v/>
          </cell>
          <cell r="C905">
            <v>1903</v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L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</row>
        <row r="906">
          <cell r="A906" t="str">
            <v/>
          </cell>
          <cell r="B906" t="str">
            <v/>
          </cell>
          <cell r="C906">
            <v>1904</v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L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</row>
        <row r="907">
          <cell r="A907" t="str">
            <v/>
          </cell>
          <cell r="B907" t="str">
            <v/>
          </cell>
          <cell r="C907">
            <v>1905</v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L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</row>
        <row r="908">
          <cell r="A908" t="str">
            <v/>
          </cell>
          <cell r="B908" t="str">
            <v/>
          </cell>
          <cell r="C908">
            <v>1906</v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L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</row>
        <row r="909">
          <cell r="A909" t="str">
            <v/>
          </cell>
          <cell r="B909" t="str">
            <v/>
          </cell>
          <cell r="C909">
            <v>1907</v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L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</row>
        <row r="910">
          <cell r="A910" t="str">
            <v/>
          </cell>
          <cell r="B910" t="str">
            <v/>
          </cell>
          <cell r="C910">
            <v>1908</v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L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</row>
        <row r="911">
          <cell r="A911" t="str">
            <v/>
          </cell>
          <cell r="B911" t="str">
            <v/>
          </cell>
          <cell r="C911">
            <v>1909</v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L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</row>
        <row r="912">
          <cell r="A912" t="str">
            <v/>
          </cell>
          <cell r="B912" t="str">
            <v/>
          </cell>
          <cell r="C912">
            <v>1910</v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L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</row>
        <row r="913">
          <cell r="A913" t="str">
            <v/>
          </cell>
          <cell r="B913" t="str">
            <v/>
          </cell>
          <cell r="C913">
            <v>1911</v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L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</row>
        <row r="914">
          <cell r="A914" t="str">
            <v/>
          </cell>
          <cell r="B914" t="str">
            <v/>
          </cell>
          <cell r="C914">
            <v>1912</v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L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</row>
        <row r="915">
          <cell r="A915" t="str">
            <v/>
          </cell>
          <cell r="B915" t="str">
            <v/>
          </cell>
          <cell r="C915">
            <v>1913</v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L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</row>
        <row r="916">
          <cell r="A916" t="str">
            <v/>
          </cell>
          <cell r="B916" t="str">
            <v/>
          </cell>
          <cell r="C916">
            <v>1914</v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L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</row>
        <row r="917">
          <cell r="A917" t="str">
            <v/>
          </cell>
          <cell r="B917" t="str">
            <v/>
          </cell>
          <cell r="C917">
            <v>1915</v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L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</row>
        <row r="918">
          <cell r="A918" t="str">
            <v/>
          </cell>
          <cell r="B918" t="str">
            <v/>
          </cell>
          <cell r="C918">
            <v>1916</v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L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</row>
        <row r="919">
          <cell r="A919" t="str">
            <v/>
          </cell>
          <cell r="B919" t="str">
            <v/>
          </cell>
          <cell r="C919">
            <v>1917</v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L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</row>
        <row r="920">
          <cell r="A920" t="str">
            <v/>
          </cell>
          <cell r="B920" t="str">
            <v/>
          </cell>
          <cell r="C920">
            <v>1918</v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L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</row>
        <row r="921">
          <cell r="A921" t="str">
            <v/>
          </cell>
          <cell r="B921" t="str">
            <v/>
          </cell>
          <cell r="C921">
            <v>1919</v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L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</row>
        <row r="922">
          <cell r="A922" t="str">
            <v/>
          </cell>
          <cell r="B922" t="str">
            <v/>
          </cell>
          <cell r="C922">
            <v>1920</v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L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</row>
        <row r="923">
          <cell r="A923" t="str">
            <v/>
          </cell>
          <cell r="B923" t="str">
            <v/>
          </cell>
          <cell r="C923">
            <v>1921</v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L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</row>
        <row r="924">
          <cell r="A924" t="str">
            <v/>
          </cell>
          <cell r="B924" t="str">
            <v/>
          </cell>
          <cell r="C924">
            <v>1922</v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L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</row>
        <row r="925">
          <cell r="A925" t="str">
            <v/>
          </cell>
          <cell r="B925" t="str">
            <v/>
          </cell>
          <cell r="C925">
            <v>1923</v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L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</row>
        <row r="926">
          <cell r="A926" t="str">
            <v/>
          </cell>
          <cell r="B926" t="str">
            <v/>
          </cell>
          <cell r="C926">
            <v>1924</v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L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</row>
        <row r="927">
          <cell r="A927" t="str">
            <v/>
          </cell>
          <cell r="B927" t="str">
            <v/>
          </cell>
          <cell r="C927">
            <v>1925</v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L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</row>
        <row r="928">
          <cell r="A928" t="str">
            <v/>
          </cell>
          <cell r="B928" t="str">
            <v/>
          </cell>
          <cell r="C928">
            <v>1926</v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L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</row>
        <row r="929">
          <cell r="A929" t="str">
            <v/>
          </cell>
          <cell r="B929" t="str">
            <v/>
          </cell>
          <cell r="C929">
            <v>1927</v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L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</row>
        <row r="930">
          <cell r="A930" t="str">
            <v/>
          </cell>
          <cell r="B930" t="str">
            <v/>
          </cell>
          <cell r="C930">
            <v>1928</v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L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</row>
        <row r="931">
          <cell r="A931" t="str">
            <v/>
          </cell>
          <cell r="B931" t="str">
            <v/>
          </cell>
          <cell r="C931">
            <v>1929</v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L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</row>
        <row r="932">
          <cell r="A932" t="str">
            <v/>
          </cell>
          <cell r="B932" t="str">
            <v/>
          </cell>
          <cell r="C932">
            <v>1930</v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L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</row>
        <row r="933">
          <cell r="A933" t="str">
            <v/>
          </cell>
          <cell r="B933" t="str">
            <v/>
          </cell>
          <cell r="C933">
            <v>1931</v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L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</row>
        <row r="934">
          <cell r="A934" t="str">
            <v/>
          </cell>
          <cell r="B934" t="str">
            <v/>
          </cell>
          <cell r="C934">
            <v>1932</v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L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</row>
        <row r="935">
          <cell r="A935" t="str">
            <v/>
          </cell>
          <cell r="B935" t="str">
            <v/>
          </cell>
          <cell r="C935">
            <v>1933</v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L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</row>
        <row r="936">
          <cell r="A936" t="str">
            <v/>
          </cell>
          <cell r="B936" t="str">
            <v/>
          </cell>
          <cell r="C936">
            <v>1934</v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L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</row>
        <row r="937">
          <cell r="A937" t="str">
            <v/>
          </cell>
          <cell r="B937" t="str">
            <v/>
          </cell>
          <cell r="C937">
            <v>1935</v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L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</row>
        <row r="938">
          <cell r="A938" t="str">
            <v/>
          </cell>
          <cell r="B938" t="str">
            <v/>
          </cell>
          <cell r="C938">
            <v>1936</v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L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</row>
        <row r="939">
          <cell r="A939" t="str">
            <v/>
          </cell>
          <cell r="B939" t="str">
            <v/>
          </cell>
          <cell r="C939">
            <v>1937</v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L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</row>
        <row r="940">
          <cell r="A940" t="str">
            <v/>
          </cell>
          <cell r="B940" t="str">
            <v/>
          </cell>
          <cell r="C940">
            <v>1938</v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L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</row>
        <row r="941">
          <cell r="A941" t="str">
            <v/>
          </cell>
          <cell r="B941" t="str">
            <v/>
          </cell>
          <cell r="C941">
            <v>1939</v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L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</row>
        <row r="942">
          <cell r="A942" t="str">
            <v/>
          </cell>
          <cell r="B942" t="str">
            <v/>
          </cell>
          <cell r="C942">
            <v>1940</v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L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</row>
        <row r="943">
          <cell r="A943" t="str">
            <v/>
          </cell>
          <cell r="B943" t="str">
            <v/>
          </cell>
          <cell r="C943">
            <v>1941</v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L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</row>
        <row r="944">
          <cell r="A944" t="str">
            <v/>
          </cell>
          <cell r="B944" t="str">
            <v/>
          </cell>
          <cell r="C944">
            <v>1942</v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L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</row>
        <row r="945">
          <cell r="A945" t="str">
            <v/>
          </cell>
          <cell r="B945" t="str">
            <v/>
          </cell>
          <cell r="C945">
            <v>1943</v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L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</row>
        <row r="946">
          <cell r="A946" t="str">
            <v/>
          </cell>
          <cell r="B946" t="str">
            <v/>
          </cell>
          <cell r="C946">
            <v>1944</v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L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</row>
        <row r="947">
          <cell r="A947" t="str">
            <v/>
          </cell>
          <cell r="B947" t="str">
            <v/>
          </cell>
          <cell r="C947">
            <v>1945</v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L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</row>
        <row r="948">
          <cell r="A948" t="str">
            <v/>
          </cell>
          <cell r="B948" t="str">
            <v/>
          </cell>
          <cell r="C948">
            <v>1946</v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L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  <cell r="Z948" t="str">
            <v/>
          </cell>
        </row>
        <row r="949">
          <cell r="A949" t="str">
            <v/>
          </cell>
          <cell r="B949" t="str">
            <v/>
          </cell>
          <cell r="C949">
            <v>1947</v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L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  <cell r="Z949" t="str">
            <v/>
          </cell>
        </row>
        <row r="950">
          <cell r="A950" t="str">
            <v/>
          </cell>
          <cell r="B950" t="str">
            <v/>
          </cell>
          <cell r="C950">
            <v>1948</v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L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  <cell r="Z950" t="str">
            <v/>
          </cell>
        </row>
        <row r="951">
          <cell r="A951" t="str">
            <v/>
          </cell>
          <cell r="B951" t="str">
            <v/>
          </cell>
          <cell r="C951">
            <v>1949</v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L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  <cell r="Z951" t="str">
            <v/>
          </cell>
        </row>
        <row r="952">
          <cell r="A952" t="str">
            <v/>
          </cell>
          <cell r="B952" t="str">
            <v/>
          </cell>
          <cell r="C952">
            <v>1950</v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L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</row>
        <row r="953">
          <cell r="A953" t="str">
            <v/>
          </cell>
          <cell r="B953" t="str">
            <v/>
          </cell>
          <cell r="C953">
            <v>1951</v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L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</row>
        <row r="954">
          <cell r="A954" t="str">
            <v/>
          </cell>
          <cell r="B954" t="str">
            <v/>
          </cell>
          <cell r="C954">
            <v>1952</v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L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</row>
        <row r="955">
          <cell r="A955" t="str">
            <v/>
          </cell>
          <cell r="B955" t="str">
            <v/>
          </cell>
          <cell r="C955">
            <v>1953</v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L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  <cell r="Z955" t="str">
            <v/>
          </cell>
        </row>
        <row r="956">
          <cell r="A956" t="str">
            <v/>
          </cell>
          <cell r="B956" t="str">
            <v/>
          </cell>
          <cell r="C956">
            <v>1954</v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L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  <cell r="Z956" t="str">
            <v/>
          </cell>
        </row>
        <row r="957">
          <cell r="A957" t="str">
            <v/>
          </cell>
          <cell r="B957" t="str">
            <v/>
          </cell>
          <cell r="C957">
            <v>1955</v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L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</row>
        <row r="958">
          <cell r="A958" t="str">
            <v/>
          </cell>
          <cell r="B958" t="str">
            <v/>
          </cell>
          <cell r="C958">
            <v>1956</v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L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</row>
        <row r="959">
          <cell r="A959" t="str">
            <v/>
          </cell>
          <cell r="B959" t="str">
            <v/>
          </cell>
          <cell r="C959">
            <v>1957</v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L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</row>
        <row r="960">
          <cell r="A960" t="str">
            <v/>
          </cell>
          <cell r="B960" t="str">
            <v/>
          </cell>
          <cell r="C960">
            <v>1958</v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L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  <cell r="Z960" t="str">
            <v/>
          </cell>
        </row>
        <row r="961">
          <cell r="A961" t="str">
            <v/>
          </cell>
          <cell r="B961" t="str">
            <v/>
          </cell>
          <cell r="C961">
            <v>1959</v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L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  <cell r="Z961" t="str">
            <v/>
          </cell>
        </row>
        <row r="962">
          <cell r="A962" t="str">
            <v/>
          </cell>
          <cell r="B962" t="str">
            <v/>
          </cell>
          <cell r="C962">
            <v>1960</v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L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</row>
        <row r="963">
          <cell r="A963" t="str">
            <v/>
          </cell>
          <cell r="B963" t="str">
            <v/>
          </cell>
          <cell r="C963">
            <v>1961</v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L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</row>
        <row r="964">
          <cell r="A964" t="str">
            <v/>
          </cell>
          <cell r="B964" t="str">
            <v/>
          </cell>
          <cell r="C964">
            <v>1962</v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L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  <cell r="Z964" t="str">
            <v/>
          </cell>
        </row>
        <row r="965">
          <cell r="A965" t="str">
            <v/>
          </cell>
          <cell r="B965" t="str">
            <v/>
          </cell>
          <cell r="C965">
            <v>1963</v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L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  <cell r="Z965" t="str">
            <v/>
          </cell>
        </row>
        <row r="966">
          <cell r="A966" t="str">
            <v/>
          </cell>
          <cell r="B966" t="str">
            <v/>
          </cell>
          <cell r="C966">
            <v>1964</v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L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</row>
        <row r="967">
          <cell r="A967" t="str">
            <v/>
          </cell>
          <cell r="B967" t="str">
            <v/>
          </cell>
          <cell r="C967">
            <v>1965</v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L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</row>
        <row r="968">
          <cell r="A968" t="str">
            <v/>
          </cell>
          <cell r="B968" t="str">
            <v/>
          </cell>
          <cell r="C968">
            <v>1966</v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L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  <cell r="Z968" t="str">
            <v/>
          </cell>
        </row>
        <row r="969">
          <cell r="A969" t="str">
            <v/>
          </cell>
          <cell r="B969" t="str">
            <v/>
          </cell>
          <cell r="C969">
            <v>1967</v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L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  <cell r="Z969" t="str">
            <v/>
          </cell>
        </row>
        <row r="970">
          <cell r="A970" t="str">
            <v/>
          </cell>
          <cell r="B970" t="str">
            <v/>
          </cell>
          <cell r="C970">
            <v>1968</v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L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  <cell r="Z970" t="str">
            <v/>
          </cell>
        </row>
        <row r="971">
          <cell r="A971" t="str">
            <v/>
          </cell>
          <cell r="B971" t="str">
            <v/>
          </cell>
          <cell r="C971">
            <v>1969</v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L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</row>
        <row r="972">
          <cell r="A972" t="str">
            <v/>
          </cell>
          <cell r="B972" t="str">
            <v/>
          </cell>
          <cell r="C972">
            <v>1970</v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L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  <cell r="Z972" t="str">
            <v/>
          </cell>
        </row>
        <row r="973">
          <cell r="A973" t="str">
            <v/>
          </cell>
          <cell r="B973" t="str">
            <v/>
          </cell>
          <cell r="C973">
            <v>1971</v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L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  <cell r="Z973" t="str">
            <v/>
          </cell>
        </row>
        <row r="974">
          <cell r="A974" t="str">
            <v/>
          </cell>
          <cell r="B974" t="str">
            <v/>
          </cell>
          <cell r="C974">
            <v>1972</v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L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</row>
        <row r="975">
          <cell r="A975" t="str">
            <v/>
          </cell>
          <cell r="B975" t="str">
            <v/>
          </cell>
          <cell r="C975">
            <v>1973</v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L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</row>
        <row r="976">
          <cell r="A976" t="str">
            <v/>
          </cell>
          <cell r="B976" t="str">
            <v/>
          </cell>
          <cell r="C976">
            <v>1974</v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L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</row>
        <row r="977">
          <cell r="A977" t="str">
            <v/>
          </cell>
          <cell r="B977" t="str">
            <v/>
          </cell>
          <cell r="C977">
            <v>1975</v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L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</row>
        <row r="978">
          <cell r="A978" t="str">
            <v/>
          </cell>
          <cell r="B978" t="str">
            <v/>
          </cell>
          <cell r="C978">
            <v>1976</v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L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</row>
        <row r="979">
          <cell r="A979" t="str">
            <v/>
          </cell>
          <cell r="B979" t="str">
            <v/>
          </cell>
          <cell r="C979">
            <v>1977</v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L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</row>
        <row r="980">
          <cell r="A980" t="str">
            <v/>
          </cell>
          <cell r="B980" t="str">
            <v/>
          </cell>
          <cell r="C980">
            <v>1978</v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L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</row>
        <row r="981">
          <cell r="A981" t="str">
            <v/>
          </cell>
          <cell r="B981" t="str">
            <v/>
          </cell>
          <cell r="C981">
            <v>1979</v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L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</row>
        <row r="982">
          <cell r="A982" t="str">
            <v/>
          </cell>
          <cell r="B982" t="str">
            <v/>
          </cell>
          <cell r="C982">
            <v>1980</v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L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  <cell r="Z982" t="str">
            <v/>
          </cell>
        </row>
        <row r="983">
          <cell r="A983" t="str">
            <v/>
          </cell>
          <cell r="B983" t="str">
            <v/>
          </cell>
          <cell r="C983">
            <v>1981</v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L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</row>
        <row r="984">
          <cell r="A984" t="str">
            <v/>
          </cell>
          <cell r="B984" t="str">
            <v/>
          </cell>
          <cell r="C984">
            <v>1982</v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L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</row>
        <row r="985">
          <cell r="A985" t="str">
            <v/>
          </cell>
          <cell r="B985" t="str">
            <v/>
          </cell>
          <cell r="C985">
            <v>1983</v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L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</row>
        <row r="986">
          <cell r="A986" t="str">
            <v/>
          </cell>
          <cell r="B986" t="str">
            <v/>
          </cell>
          <cell r="C986">
            <v>1984</v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L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</row>
        <row r="987">
          <cell r="A987" t="str">
            <v/>
          </cell>
          <cell r="B987" t="str">
            <v/>
          </cell>
          <cell r="C987">
            <v>1985</v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L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</row>
        <row r="988">
          <cell r="A988" t="str">
            <v/>
          </cell>
          <cell r="B988" t="str">
            <v/>
          </cell>
          <cell r="C988">
            <v>1986</v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L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</row>
        <row r="989">
          <cell r="A989" t="str">
            <v/>
          </cell>
          <cell r="B989" t="str">
            <v/>
          </cell>
          <cell r="C989">
            <v>1987</v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L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</row>
        <row r="990">
          <cell r="A990" t="str">
            <v/>
          </cell>
          <cell r="B990" t="str">
            <v/>
          </cell>
          <cell r="C990">
            <v>1988</v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L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</row>
        <row r="991">
          <cell r="A991" t="str">
            <v/>
          </cell>
          <cell r="B991" t="str">
            <v/>
          </cell>
          <cell r="C991">
            <v>1989</v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L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</row>
        <row r="992">
          <cell r="A992" t="str">
            <v/>
          </cell>
          <cell r="B992" t="str">
            <v/>
          </cell>
          <cell r="C992">
            <v>1990</v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L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</row>
        <row r="993">
          <cell r="A993" t="str">
            <v/>
          </cell>
          <cell r="B993" t="str">
            <v/>
          </cell>
          <cell r="C993">
            <v>1991</v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L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</row>
        <row r="994">
          <cell r="A994" t="str">
            <v/>
          </cell>
          <cell r="B994" t="str">
            <v/>
          </cell>
          <cell r="C994">
            <v>1992</v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L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</row>
        <row r="995">
          <cell r="A995" t="str">
            <v/>
          </cell>
          <cell r="B995" t="str">
            <v/>
          </cell>
          <cell r="C995">
            <v>1993</v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L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</row>
        <row r="996">
          <cell r="A996" t="str">
            <v/>
          </cell>
          <cell r="B996" t="str">
            <v/>
          </cell>
          <cell r="C996">
            <v>1994</v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L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</row>
        <row r="997">
          <cell r="A997" t="str">
            <v/>
          </cell>
          <cell r="B997" t="str">
            <v/>
          </cell>
          <cell r="C997">
            <v>1995</v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L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  <cell r="Z997" t="str">
            <v/>
          </cell>
        </row>
        <row r="998">
          <cell r="A998" t="str">
            <v/>
          </cell>
          <cell r="B998" t="str">
            <v/>
          </cell>
          <cell r="C998">
            <v>1996</v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L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  <cell r="Z998" t="str">
            <v/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pinex (2)"/>
      <sheetName val="Assets (2)"/>
      <sheetName val="Balance Sheet"/>
      <sheetName val="p&amp;l"/>
      <sheetName val="CashFlow"/>
      <sheetName val="Statement of Ch"/>
      <sheetName val="Notes1-5"/>
      <sheetName val="Note6-8.2"/>
      <sheetName val="Note9-9.6"/>
      <sheetName val="Note 9.7-9.8"/>
      <sheetName val="Notes10-10.4.2"/>
      <sheetName val="10.5-11.3"/>
      <sheetName val="Note 12"/>
      <sheetName val="Note12.3-15.1"/>
      <sheetName val="Note16-21.1"/>
      <sheetName val="Note22-22.7"/>
      <sheetName val="pinex"/>
      <sheetName val="Notes25-26.1"/>
      <sheetName val="Notes26.2-32"/>
      <sheetName val="Notes33-34"/>
      <sheetName val="Notes39-40"/>
      <sheetName val="Notes41-42.1"/>
      <sheetName val="Notes41-42.1 (2)"/>
      <sheetName val="Notes42.2-44"/>
      <sheetName val="Note 45"/>
      <sheetName val="Annexure"/>
      <sheetName val="affair"/>
      <sheetName val="inc-exp"/>
      <sheetName val="Currency-expo"/>
      <sheetName val="YieldAd"/>
      <sheetName val="YieldAd-net"/>
      <sheetName val="MaturLiabili"/>
      <sheetName val="MaturiAssets"/>
      <sheetName val="YielDeposit"/>
      <sheetName val="Sheet1"/>
      <sheetName val="Sheet2"/>
      <sheetName val="Sheet3"/>
      <sheetName val="Notes(New)39-40"/>
      <sheetName val="Sheet6"/>
      <sheetName val="Deferred (2)"/>
      <sheetName val="Taxrelief"/>
      <sheetName val="OLD"/>
      <sheetName val="Assets"/>
      <sheetName val="Sheet4"/>
      <sheetName val="Defeered Work"/>
      <sheetName val="Liabiliteis"/>
      <sheetName val="Sheet2 (2)"/>
      <sheetName val="Sheet3 (2)"/>
      <sheetName val="Chart1"/>
      <sheetName val="Sheet1 (2)"/>
      <sheetName val="Lease"/>
      <sheetName val="Total Adjustments"/>
      <sheetName val="PremiumMaturity"/>
      <sheetName val="NEWAD"/>
      <sheetName val="Notes1_5"/>
      <sheetName val="acct"/>
      <sheetName val="Assignmentform"/>
      <sheetName val="Liquidity"/>
      <sheetName val="PNSC"/>
      <sheetName val="CFR-5"/>
      <sheetName val="Links"/>
      <sheetName val="Rate Input"/>
      <sheetName val="Profit Worksheet"/>
      <sheetName val="SHF-1026-EXP"/>
      <sheetName val="SITE-1001-P&amp;L"/>
      <sheetName val="CLM-1012-P&amp;L"/>
      <sheetName val="SHF-1026-P&amp;L"/>
      <sheetName val="KRG-1002-P&amp;L"/>
      <sheetName val="MAIN-1003-P&amp;L"/>
      <sheetName val="KSE-1010-P&amp;L"/>
      <sheetName val="JODIA-1011-P&amp;L"/>
      <sheetName val="JODIA-1011-EXP"/>
      <sheetName val="CLM-1012-EXP"/>
      <sheetName val="SITE-1001-EXP"/>
      <sheetName val="KRG-1002-EXP"/>
      <sheetName val="MAIN-1003-EXP"/>
      <sheetName val="A"/>
      <sheetName val="CliftonMain-1003-P&amp;L"/>
      <sheetName val="CliftonMain-1003-EXP"/>
      <sheetName val="nt²"/>
      <sheetName val="nt__2"/>
      <sheetName val="nt__3"/>
      <sheetName val="nt__4"/>
      <sheetName val="SALARY"/>
      <sheetName val="Parameters"/>
      <sheetName val="broker sheet-2"/>
      <sheetName val="pinex_(2)"/>
      <sheetName val="Assets_(2)"/>
      <sheetName val="Balance_Sheet"/>
      <sheetName val="Statement_of_Ch"/>
      <sheetName val="Note6-8_2"/>
      <sheetName val="Note9-9_6"/>
      <sheetName val="Note_9_7-9_8"/>
      <sheetName val="Notes10-10_4_2"/>
      <sheetName val="10_5-11_3"/>
      <sheetName val="Note_12"/>
      <sheetName val="Note12_3-15_1"/>
      <sheetName val="Note16-21_1"/>
      <sheetName val="Note22-22_7"/>
      <sheetName val="Notes25-26_1"/>
      <sheetName val="Notes26_2-32"/>
      <sheetName val="Notes41-42_1"/>
      <sheetName val="Notes41-42_1_(2)"/>
      <sheetName val="Notes42_2-44"/>
      <sheetName val="Note_45"/>
      <sheetName val="Deferred_(2)"/>
      <sheetName val="Defeered_Work"/>
      <sheetName val="Sheet2_(2)"/>
      <sheetName val="Sheet3_(2)"/>
      <sheetName val="Sheet1_(2)"/>
      <sheetName val="Total_Adjustments"/>
      <sheetName val="Rate_Input"/>
      <sheetName val="Profit_Worksheet"/>
      <sheetName val="pinex_(2)1"/>
      <sheetName val="Assets_(2)1"/>
      <sheetName val="Balance_Sheet1"/>
      <sheetName val="Statement_of_Ch1"/>
      <sheetName val="Note6-8_21"/>
      <sheetName val="Note9-9_61"/>
      <sheetName val="Note_9_7-9_81"/>
      <sheetName val="Notes10-10_4_21"/>
      <sheetName val="10_5-11_31"/>
      <sheetName val="Note_121"/>
      <sheetName val="Note12_3-15_11"/>
      <sheetName val="Note16-21_11"/>
      <sheetName val="Note22-22_71"/>
      <sheetName val="Notes25-26_11"/>
      <sheetName val="Notes26_2-321"/>
      <sheetName val="Notes41-42_11"/>
      <sheetName val="Notes41-42_1_(2)1"/>
      <sheetName val="Notes42_2-441"/>
      <sheetName val="Note_451"/>
      <sheetName val="Deferred_(2)1"/>
      <sheetName val="Defeered_Work1"/>
      <sheetName val="Sheet2_(2)1"/>
      <sheetName val="Sheet3_(2)1"/>
      <sheetName val="Sheet1_(2)1"/>
      <sheetName val="Total_Adjustments1"/>
      <sheetName val="Rate_Input1"/>
      <sheetName val="Profit_Worksheet1"/>
      <sheetName val="Notes _2_"/>
      <sheetName val="PL_Million_"/>
      <sheetName val="Fin_Histo_PL"/>
      <sheetName val="Deposit"/>
      <sheetName val="2000_ Projects Summary"/>
      <sheetName val="PDF1"/>
      <sheetName val="SOURCE"/>
      <sheetName val="Note1_11"/>
      <sheetName val="Non-Statistical Sampling"/>
      <sheetName val="REV VAR INC"/>
      <sheetName val="Statement of Claims"/>
      <sheetName val="Sheet5"/>
      <sheetName val="Augbkp98"/>
      <sheetName val="Summary"/>
      <sheetName val="Revenue-Fire-Marine-Motor"/>
      <sheetName val="R"/>
      <sheetName val="Graphs 1"/>
      <sheetName val="Macro1"/>
      <sheetName val="Final Accounts 2001As per Audit"/>
      <sheetName val="Grouping"/>
      <sheetName val="pinex_(2)2"/>
      <sheetName val="Assets_(2)2"/>
      <sheetName val="Balance_Sheet2"/>
      <sheetName val="Statement_of_Ch2"/>
      <sheetName val="Note6-8_22"/>
      <sheetName val="Note9-9_62"/>
      <sheetName val="Note_9_7-9_82"/>
      <sheetName val="Notes10-10_4_22"/>
      <sheetName val="10_5-11_32"/>
      <sheetName val="Note_122"/>
      <sheetName val="Note12_3-15_12"/>
      <sheetName val="Note16-21_12"/>
      <sheetName val="Note22-22_72"/>
      <sheetName val="Notes25-26_12"/>
      <sheetName val="Notes26_2-322"/>
      <sheetName val="Notes41-42_12"/>
      <sheetName val="Notes41-42_1_(2)2"/>
      <sheetName val="Notes42_2-442"/>
      <sheetName val="Note_452"/>
      <sheetName val="Deferred_(2)2"/>
      <sheetName val="Defeered_Work2"/>
      <sheetName val="Sheet2_(2)2"/>
      <sheetName val="Sheet3_(2)2"/>
      <sheetName val="Sheet1_(2)2"/>
      <sheetName val="Total_Adjustments2"/>
      <sheetName val="Rate_Input2"/>
      <sheetName val="Profit_Worksheet2"/>
      <sheetName val="broker_sheet-2"/>
      <sheetName val="Notes__2_"/>
      <sheetName val="2000__Projects_Summary"/>
      <sheetName val="Non-Statistical_Sampling"/>
      <sheetName val="REV_VAR_INC"/>
      <sheetName val="Statement_of_Claims"/>
      <sheetName val="Report .1"/>
      <sheetName val="PPC-ORD DTL"/>
      <sheetName val="Net"/>
      <sheetName val="Profiles"/>
      <sheetName val="Currency"/>
      <sheetName val="DropDown"/>
      <sheetName val="Segment new 1"/>
      <sheetName val="Drop down"/>
      <sheetName val="16-Avg Sales Price"/>
      <sheetName val="stdd costBPCS"/>
      <sheetName val="ៀFinal Accou"/>
      <sheetName val="ḜFinal Accou"/>
      <sheetName val="⒐Final Accou"/>
      <sheetName val="nt__5"/>
      <sheetName val="nt__6"/>
      <sheetName val="nt__7"/>
      <sheetName val="nt__8"/>
      <sheetName val="nt__9"/>
      <sheetName val="DATABASE"/>
      <sheetName val="BScN Local Students"/>
      <sheetName val="A-C CODE &amp; NAME"/>
      <sheetName val="会社別"/>
      <sheetName val="Code"/>
      <sheetName val="Abu Dhabi"/>
      <sheetName val="B-S(p)"/>
      <sheetName val="BS-OVS"/>
      <sheetName val="BSDOMOVS"/>
      <sheetName val="Lead"/>
      <sheetName val="SETUP"/>
      <sheetName val="Note Line"/>
      <sheetName val="pinex_(2)3"/>
      <sheetName val="Assets_(2)3"/>
      <sheetName val="Balance_Sheet3"/>
      <sheetName val="Statement_of_Ch3"/>
      <sheetName val="Note6-8_23"/>
      <sheetName val="Note9-9_63"/>
      <sheetName val="Note_9_7-9_83"/>
      <sheetName val="Notes10-10_4_23"/>
      <sheetName val="10_5-11_33"/>
      <sheetName val="Note_123"/>
      <sheetName val="Note12_3-15_13"/>
      <sheetName val="Note16-21_13"/>
      <sheetName val="Note22-22_73"/>
      <sheetName val="Notes25-26_13"/>
      <sheetName val="Notes26_2-323"/>
      <sheetName val="Notes41-42_13"/>
      <sheetName val="Notes41-42_1_(2)3"/>
      <sheetName val="Notes42_2-443"/>
      <sheetName val="Note_453"/>
      <sheetName val="Deferred_(2)3"/>
      <sheetName val="Defeered_Work3"/>
      <sheetName val="Sheet2_(2)3"/>
      <sheetName val="Sheet3_(2)3"/>
      <sheetName val="Sheet1_(2)3"/>
      <sheetName val="Total_Adjustments3"/>
      <sheetName val="Rate_Input3"/>
      <sheetName val="Profit_Worksheet3"/>
      <sheetName val="broker_sheet-21"/>
      <sheetName val="Notes__2_1"/>
      <sheetName val="2000__Projects_Summary1"/>
      <sheetName val="Non-Statistical_Sampling1"/>
      <sheetName val="REV_VAR_INC1"/>
      <sheetName val="Statement_of_Claims1"/>
      <sheetName val="Graphs_1"/>
      <sheetName val="Final_Accounts_2001As_per_Audit"/>
      <sheetName val="Report__1"/>
      <sheetName val="Segment_new_1"/>
      <sheetName val="Drop_down"/>
      <sheetName val="16-Avg_Sales_Price"/>
      <sheetName val="stdd_costBPCS"/>
      <sheetName val="P &amp; L"/>
      <sheetName val="New Employee"/>
      <sheetName val="Finance Cost Top Sheet"/>
      <sheetName val="Payroll Costs"/>
      <sheetName val="Neat 9"/>
      <sheetName val="BS"/>
      <sheetName val="EDP_Euros"/>
      <sheetName val="Iberdrola_Euros"/>
      <sheetName val="MMR"/>
      <sheetName val="Aylık"/>
      <sheetName val="IIM"/>
      <sheetName val="Cash Flow"/>
      <sheetName val="B-6"/>
      <sheetName val="PL "/>
      <sheetName val="Notes"/>
      <sheetName val="cpur"/>
      <sheetName val="IGData"/>
      <sheetName val="Adv to vendor"/>
      <sheetName val="GP Analysis"/>
      <sheetName val="FundsNW"/>
      <sheetName val="Stock in Trade"/>
      <sheetName val="Abu_Dhabi"/>
      <sheetName val="Rate Verification"/>
      <sheetName val="Product Wise Breakup"/>
      <sheetName val="Monthly breakup"/>
      <sheetName val="Categoried of Deposit (2)"/>
      <sheetName val="recon-cons"/>
      <sheetName val="112209"/>
      <sheetName val="Fixed Asset"/>
      <sheetName val="Sheet Index"/>
      <sheetName val="pack customer"/>
      <sheetName val="CE-10th-June-06"/>
      <sheetName val="PORT-FOL(1)"/>
      <sheetName val="A-C_CODE_&amp;_NAME"/>
      <sheetName val="ៀFinal_Accou"/>
      <sheetName val="ḜFinal_Accou"/>
      <sheetName val="⒐Final_Accou"/>
      <sheetName val="PPC-ORD_DTL"/>
      <sheetName val="Note_Line"/>
      <sheetName val="MUS Calculations- Figure 5410.1"/>
      <sheetName val="Departmental Cost"/>
      <sheetName val="GLADIS"/>
      <sheetName val="GLIB6"/>
      <sheetName val="Sampling Table"/>
      <sheetName val="30-11-2007"/>
      <sheetName val="Call Volume (actual)"/>
      <sheetName val="Lead Schedule"/>
      <sheetName val="pinex_(2)6"/>
      <sheetName val="Assets_(2)6"/>
      <sheetName val="Balance_Sheet6"/>
      <sheetName val="Statement_of_Ch6"/>
      <sheetName val="Note6-8_26"/>
      <sheetName val="Note9-9_66"/>
      <sheetName val="Note_9_7-9_86"/>
      <sheetName val="Notes10-10_4_26"/>
      <sheetName val="10_5-11_36"/>
      <sheetName val="Note_126"/>
      <sheetName val="Note12_3-15_16"/>
      <sheetName val="Note16-21_16"/>
      <sheetName val="Note22-22_76"/>
      <sheetName val="Notes25-26_16"/>
      <sheetName val="Notes26_2-326"/>
      <sheetName val="Notes41-42_16"/>
      <sheetName val="Notes41-42_1_(2)6"/>
      <sheetName val="Notes42_2-446"/>
      <sheetName val="Note_456"/>
      <sheetName val="Deferred_(2)6"/>
      <sheetName val="Defeered_Work6"/>
      <sheetName val="Sheet2_(2)6"/>
      <sheetName val="Sheet3_(2)6"/>
      <sheetName val="Sheet1_(2)6"/>
      <sheetName val="Total_Adjustments6"/>
      <sheetName val="Rate_Input6"/>
      <sheetName val="Profit_Worksheet6"/>
      <sheetName val="broker_sheet-24"/>
      <sheetName val="Notes__2_4"/>
      <sheetName val="2000__Projects_Summary4"/>
      <sheetName val="Statement_of_Claims4"/>
      <sheetName val="Non-Statistical_Sampling4"/>
      <sheetName val="REV_VAR_INC4"/>
      <sheetName val="pinex_(2)4"/>
      <sheetName val="Assets_(2)4"/>
      <sheetName val="Balance_Sheet4"/>
      <sheetName val="Statement_of_Ch4"/>
      <sheetName val="Note6-8_24"/>
      <sheetName val="Note9-9_64"/>
      <sheetName val="Note_9_7-9_84"/>
      <sheetName val="Notes10-10_4_24"/>
      <sheetName val="10_5-11_34"/>
      <sheetName val="Note_124"/>
      <sheetName val="Note12_3-15_14"/>
      <sheetName val="Note16-21_14"/>
      <sheetName val="Note22-22_74"/>
      <sheetName val="Notes25-26_14"/>
      <sheetName val="Notes26_2-324"/>
      <sheetName val="Notes41-42_14"/>
      <sheetName val="Notes41-42_1_(2)4"/>
      <sheetName val="Notes42_2-444"/>
      <sheetName val="Note_454"/>
      <sheetName val="Deferred_(2)4"/>
      <sheetName val="Defeered_Work4"/>
      <sheetName val="Sheet2_(2)4"/>
      <sheetName val="Sheet3_(2)4"/>
      <sheetName val="Sheet1_(2)4"/>
      <sheetName val="Total_Adjustments4"/>
      <sheetName val="Rate_Input4"/>
      <sheetName val="Profit_Worksheet4"/>
      <sheetName val="broker_sheet-22"/>
      <sheetName val="Notes__2_2"/>
      <sheetName val="2000__Projects_Summary2"/>
      <sheetName val="Statement_of_Claims2"/>
      <sheetName val="Non-Statistical_Sampling2"/>
      <sheetName val="REV_VAR_INC2"/>
      <sheetName val="pinex_(2)5"/>
      <sheetName val="Assets_(2)5"/>
      <sheetName val="Balance_Sheet5"/>
      <sheetName val="Statement_of_Ch5"/>
      <sheetName val="Note6-8_25"/>
      <sheetName val="Note9-9_65"/>
      <sheetName val="Note_9_7-9_85"/>
      <sheetName val="Notes10-10_4_25"/>
      <sheetName val="10_5-11_35"/>
      <sheetName val="Note_125"/>
      <sheetName val="Note12_3-15_15"/>
      <sheetName val="Note16-21_15"/>
      <sheetName val="Note22-22_75"/>
      <sheetName val="Notes25-26_15"/>
      <sheetName val="Notes26_2-325"/>
      <sheetName val="Notes41-42_15"/>
      <sheetName val="Notes41-42_1_(2)5"/>
      <sheetName val="Notes42_2-445"/>
      <sheetName val="Note_455"/>
      <sheetName val="Deferred_(2)5"/>
      <sheetName val="Defeered_Work5"/>
      <sheetName val="Sheet2_(2)5"/>
      <sheetName val="Sheet3_(2)5"/>
      <sheetName val="Sheet1_(2)5"/>
      <sheetName val="Total_Adjustments5"/>
      <sheetName val="Rate_Input5"/>
      <sheetName val="Profit_Worksheet5"/>
      <sheetName val="broker_sheet-23"/>
      <sheetName val="Notes__2_3"/>
      <sheetName val="2000__Projects_Summary3"/>
      <sheetName val="Statement_of_Claims3"/>
      <sheetName val="Non-Statistical_Sampling3"/>
      <sheetName val="REV_VAR_INC3"/>
      <sheetName val="Other Payments"/>
      <sheetName val="Saqlain"/>
      <sheetName val="reference price list"/>
      <sheetName val="TABLES"/>
      <sheetName val="pinex_(2)7"/>
      <sheetName val="Assets_(2)7"/>
      <sheetName val="Balance_Sheet7"/>
      <sheetName val="Statement_of_Ch7"/>
      <sheetName val="Note6-8_27"/>
      <sheetName val="Note9-9_67"/>
      <sheetName val="Note_9_7-9_87"/>
      <sheetName val="Notes10-10_4_27"/>
      <sheetName val="10_5-11_37"/>
      <sheetName val="Note_127"/>
      <sheetName val="Note12_3-15_17"/>
      <sheetName val="Note16-21_17"/>
      <sheetName val="Note22-22_77"/>
      <sheetName val="Notes25-26_17"/>
      <sheetName val="Notes26_2-327"/>
      <sheetName val="Notes41-42_17"/>
      <sheetName val="Notes41-42_1_(2)7"/>
      <sheetName val="Notes42_2-447"/>
      <sheetName val="Note_457"/>
      <sheetName val="Deferred_(2)7"/>
      <sheetName val="Defeered_Work7"/>
      <sheetName val="Sheet2_(2)7"/>
      <sheetName val="Sheet3_(2)7"/>
      <sheetName val="Sheet1_(2)7"/>
      <sheetName val="Total_Adjustments7"/>
      <sheetName val="Rate_Input7"/>
      <sheetName val="Profit_Worksheet7"/>
      <sheetName val="broker_sheet-25"/>
      <sheetName val="pinex_(2)8"/>
      <sheetName val="Assets_(2)8"/>
      <sheetName val="Balance_Sheet8"/>
      <sheetName val="Statement_of_Ch8"/>
      <sheetName val="Note6-8_28"/>
      <sheetName val="Note9-9_68"/>
      <sheetName val="Note_9_7-9_88"/>
      <sheetName val="Notes10-10_4_28"/>
      <sheetName val="10_5-11_38"/>
      <sheetName val="Note_128"/>
      <sheetName val="Note12_3-15_18"/>
      <sheetName val="Note16-21_18"/>
      <sheetName val="Note22-22_78"/>
      <sheetName val="Notes25-26_18"/>
      <sheetName val="Notes26_2-328"/>
      <sheetName val="Notes41-42_18"/>
      <sheetName val="Notes41-42_1_(2)8"/>
      <sheetName val="Notes42_2-448"/>
      <sheetName val="Note_458"/>
      <sheetName val="Deferred_(2)8"/>
      <sheetName val="Defeered_Work8"/>
      <sheetName val="Sheet2_(2)8"/>
      <sheetName val="Sheet3_(2)8"/>
      <sheetName val="Sheet1_(2)8"/>
      <sheetName val="Total_Adjustments8"/>
      <sheetName val="Rate_Input8"/>
      <sheetName val="Profit_Worksheet8"/>
      <sheetName val="broker_sheet-26"/>
      <sheetName val="sheetControl"/>
      <sheetName val="Notes__2_6"/>
      <sheetName val="2000__Projects_Summary6"/>
      <sheetName val="Statement_of_Claims6"/>
      <sheetName val="Non-Statistical_Sampling6"/>
      <sheetName val="REV_VAR_INC6"/>
      <sheetName val="Notes__2_5"/>
      <sheetName val="2000__Projects_Summary5"/>
      <sheetName val="Statement_of_Claims5"/>
      <sheetName val="Non-Statistical_Sampling5"/>
      <sheetName val="REV_VAR_INC5"/>
      <sheetName val="pinex_(2)9"/>
      <sheetName val="Assets_(2)9"/>
      <sheetName val="Balance_Sheet9"/>
      <sheetName val="Statement_of_Ch9"/>
      <sheetName val="Note6-8_29"/>
      <sheetName val="Note9-9_69"/>
      <sheetName val="Note_9_7-9_89"/>
      <sheetName val="Notes10-10_4_29"/>
      <sheetName val="10_5-11_39"/>
      <sheetName val="Note_129"/>
      <sheetName val="Note12_3-15_19"/>
      <sheetName val="Note16-21_19"/>
      <sheetName val="Note22-22_79"/>
      <sheetName val="Notes25-26_19"/>
      <sheetName val="Notes26_2-329"/>
      <sheetName val="Notes41-42_19"/>
      <sheetName val="Notes41-42_1_(2)9"/>
      <sheetName val="Notes42_2-449"/>
      <sheetName val="Note_459"/>
      <sheetName val="Deferred_(2)9"/>
      <sheetName val="Defeered_Work9"/>
      <sheetName val="Sheet2_(2)9"/>
      <sheetName val="Sheet3_(2)9"/>
      <sheetName val="Sheet1_(2)9"/>
      <sheetName val="Total_Adjustments9"/>
      <sheetName val="Rate_Input9"/>
      <sheetName val="Profit_Worksheet9"/>
      <sheetName val="broker_sheet-27"/>
      <sheetName val="Notes__2_7"/>
      <sheetName val="2000__Projects_Summary7"/>
      <sheetName val="Statement_of_Claims7"/>
      <sheetName val="Non-Statistical_Sampling7"/>
      <sheetName val="REV_VAR_INC7"/>
      <sheetName val="pinex_(2)10"/>
      <sheetName val="Assets_(2)10"/>
      <sheetName val="Balance_Sheet10"/>
      <sheetName val="Statement_of_Ch10"/>
      <sheetName val="Note6-8_210"/>
      <sheetName val="Note9-9_610"/>
      <sheetName val="Note_9_7-9_810"/>
      <sheetName val="Notes10-10_4_210"/>
      <sheetName val="10_5-11_310"/>
      <sheetName val="Note_1210"/>
      <sheetName val="Note12_3-15_110"/>
      <sheetName val="Note16-21_110"/>
      <sheetName val="Note22-22_710"/>
      <sheetName val="Notes25-26_110"/>
      <sheetName val="Notes26_2-3210"/>
      <sheetName val="Notes41-42_110"/>
      <sheetName val="Notes41-42_1_(2)10"/>
      <sheetName val="Notes42_2-4410"/>
      <sheetName val="Note_4510"/>
      <sheetName val="Deferred_(2)10"/>
      <sheetName val="Defeered_Work10"/>
      <sheetName val="Sheet2_(2)10"/>
      <sheetName val="Sheet3_(2)10"/>
      <sheetName val="Sheet1_(2)10"/>
      <sheetName val="Total_Adjustments10"/>
      <sheetName val="Rate_Input10"/>
      <sheetName val="Profit_Worksheet10"/>
      <sheetName val="broker_sheet-28"/>
      <sheetName val="Notes__2_8"/>
      <sheetName val="2000__Projects_Summary8"/>
      <sheetName val="Statement_of_Claims8"/>
      <sheetName val="Non-Statistical_Sampling8"/>
      <sheetName val="REV_VAR_INC8"/>
      <sheetName val="pinex_(2)11"/>
      <sheetName val="Assets_(2)11"/>
      <sheetName val="Balance_Sheet11"/>
      <sheetName val="Statement_of_Ch11"/>
      <sheetName val="Note6-8_211"/>
      <sheetName val="Note9-9_611"/>
      <sheetName val="Note_9_7-9_811"/>
      <sheetName val="Notes10-10_4_211"/>
      <sheetName val="10_5-11_311"/>
      <sheetName val="Note_1211"/>
      <sheetName val="Note12_3-15_111"/>
      <sheetName val="Note16-21_111"/>
      <sheetName val="Note22-22_711"/>
      <sheetName val="Notes25-26_111"/>
      <sheetName val="Notes26_2-3211"/>
      <sheetName val="Notes41-42_111"/>
      <sheetName val="Notes41-42_1_(2)11"/>
      <sheetName val="Notes42_2-4411"/>
      <sheetName val="Note_4511"/>
      <sheetName val="Deferred_(2)11"/>
      <sheetName val="Defeered_Work11"/>
      <sheetName val="Sheet2_(2)11"/>
      <sheetName val="Sheet3_(2)11"/>
      <sheetName val="Sheet1_(2)11"/>
      <sheetName val="Total_Adjustments11"/>
      <sheetName val="Rate_Input11"/>
      <sheetName val="Profit_Worksheet11"/>
      <sheetName val="broker_sheet-29"/>
      <sheetName val="Notes__2_9"/>
      <sheetName val="2000__Projects_Summary9"/>
      <sheetName val="Statement_of_Claims9"/>
      <sheetName val="Non-Statistical_Sampling9"/>
      <sheetName val="REV_VAR_INC9"/>
      <sheetName val="pinex_(2)13"/>
      <sheetName val="Assets_(2)13"/>
      <sheetName val="Balance_Sheet13"/>
      <sheetName val="Statement_of_Ch13"/>
      <sheetName val="Note6-8_213"/>
      <sheetName val="Note9-9_613"/>
      <sheetName val="Note_9_7-9_813"/>
      <sheetName val="Notes10-10_4_213"/>
      <sheetName val="10_5-11_313"/>
      <sheetName val="Note_1213"/>
      <sheetName val="Note12_3-15_113"/>
      <sheetName val="Note16-21_113"/>
      <sheetName val="Note22-22_713"/>
      <sheetName val="Notes25-26_113"/>
      <sheetName val="Notes26_2-3213"/>
      <sheetName val="Notes41-42_113"/>
      <sheetName val="Notes41-42_1_(2)13"/>
      <sheetName val="Notes42_2-4413"/>
      <sheetName val="Note_4513"/>
      <sheetName val="Deferred_(2)13"/>
      <sheetName val="Defeered_Work13"/>
      <sheetName val="Sheet2_(2)13"/>
      <sheetName val="Sheet3_(2)13"/>
      <sheetName val="Sheet1_(2)13"/>
      <sheetName val="Total_Adjustments13"/>
      <sheetName val="Rate_Input13"/>
      <sheetName val="Profit_Worksheet13"/>
      <sheetName val="broker_sheet-211"/>
      <sheetName val="Notes__2_11"/>
      <sheetName val="2000__Projects_Summary11"/>
      <sheetName val="Statement_of_Claims11"/>
      <sheetName val="Non-Statistical_Sampling11"/>
      <sheetName val="REV_VAR_INC11"/>
      <sheetName val="pinex_(2)12"/>
      <sheetName val="Assets_(2)12"/>
      <sheetName val="Balance_Sheet12"/>
      <sheetName val="Statement_of_Ch12"/>
      <sheetName val="Note6-8_212"/>
      <sheetName val="Note9-9_612"/>
      <sheetName val="Note_9_7-9_812"/>
      <sheetName val="Notes10-10_4_212"/>
      <sheetName val="10_5-11_312"/>
      <sheetName val="Note_1212"/>
      <sheetName val="Note12_3-15_112"/>
      <sheetName val="Note16-21_112"/>
      <sheetName val="Note22-22_712"/>
      <sheetName val="Notes25-26_112"/>
      <sheetName val="Notes26_2-3212"/>
      <sheetName val="Notes41-42_112"/>
      <sheetName val="Notes41-42_1_(2)12"/>
      <sheetName val="Notes42_2-4412"/>
      <sheetName val="Note_4512"/>
      <sheetName val="Deferred_(2)12"/>
      <sheetName val="Defeered_Work12"/>
      <sheetName val="Sheet2_(2)12"/>
      <sheetName val="Sheet3_(2)12"/>
      <sheetName val="Sheet1_(2)12"/>
      <sheetName val="Total_Adjustments12"/>
      <sheetName val="Rate_Input12"/>
      <sheetName val="Profit_Worksheet12"/>
      <sheetName val="broker_sheet-210"/>
      <sheetName val="Notes__2_10"/>
      <sheetName val="2000__Projects_Summary10"/>
      <sheetName val="Statement_of_Claims10"/>
      <sheetName val="Non-Statistical_Sampling10"/>
      <sheetName val="REV_VAR_INC10"/>
      <sheetName val="pinex_(2)14"/>
      <sheetName val="Assets_(2)14"/>
      <sheetName val="Balance_Sheet14"/>
      <sheetName val="Statement_of_Ch14"/>
      <sheetName val="Note6-8_214"/>
      <sheetName val="Note9-9_614"/>
      <sheetName val="Note_9_7-9_814"/>
      <sheetName val="Notes10-10_4_214"/>
      <sheetName val="10_5-11_314"/>
      <sheetName val="Note_1214"/>
      <sheetName val="Note12_3-15_114"/>
      <sheetName val="Note16-21_114"/>
      <sheetName val="Note22-22_714"/>
      <sheetName val="Notes25-26_114"/>
      <sheetName val="Notes26_2-3214"/>
      <sheetName val="Notes41-42_114"/>
      <sheetName val="Notes41-42_1_(2)14"/>
      <sheetName val="Notes42_2-4414"/>
      <sheetName val="Note_4514"/>
      <sheetName val="Deferred_(2)14"/>
      <sheetName val="Defeered_Work14"/>
      <sheetName val="Sheet2_(2)14"/>
      <sheetName val="Sheet3_(2)14"/>
      <sheetName val="Sheet1_(2)14"/>
      <sheetName val="Total_Adjustments14"/>
      <sheetName val="Rate_Input14"/>
      <sheetName val="Profit_Worksheet14"/>
      <sheetName val="broker_sheet-212"/>
      <sheetName val="Notes__2_12"/>
      <sheetName val="2000__Projects_Summary12"/>
      <sheetName val="Statement_of_Claims12"/>
      <sheetName val="Non-Statistical_Sampling12"/>
      <sheetName val="REV_VAR_INC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abilities-New"/>
      <sheetName val="Liabiliteis"/>
      <sheetName val="AssetsNew"/>
      <sheetName val="Assets"/>
      <sheetName val="Notes7-8 (2)"/>
      <sheetName val="Note 9.7-9.8 (2)"/>
      <sheetName val="Investment"/>
      <sheetName val="Sheet2"/>
      <sheetName val="SBP-Staggering"/>
      <sheetName val="summary"/>
      <sheetName val="Balancesheet"/>
      <sheetName val="P&amp;L"/>
      <sheetName val="CashFlow"/>
      <sheetName val="Stat-Equity"/>
      <sheetName val="Other Assets Notes"/>
      <sheetName val="Notes1-5"/>
      <sheetName val="Notes 1-6 (2)"/>
      <sheetName val="Investment (2)"/>
      <sheetName val="Notes1-2"/>
      <sheetName val="Notes 1-6"/>
      <sheetName val="Notes7-8"/>
      <sheetName val="Notes 9-10"/>
      <sheetName val="Notes10.1"/>
      <sheetName val="Sheet5"/>
      <sheetName val="notes 5-6000"/>
      <sheetName val="BS"/>
      <sheetName val="A"/>
      <sheetName val="Input_Operating"/>
      <sheetName val="Liquidity"/>
      <sheetName val="PDF1"/>
      <sheetName val="Notes1_5"/>
      <sheetName val="CFR-5"/>
      <sheetName val="Links"/>
      <sheetName val="Code"/>
      <sheetName val="A-C CODE &amp; NAME"/>
      <sheetName val="SHF-1026-EXP"/>
      <sheetName val="SITE-1001-P&amp;L"/>
      <sheetName val="CLM-1012-P&amp;L"/>
      <sheetName val="SHF-1026-P&amp;L"/>
      <sheetName val="KRG-1002-P&amp;L"/>
      <sheetName val="CliftonMain-1003-P&amp;L"/>
      <sheetName val="KSE-1010-P&amp;L"/>
      <sheetName val="JODIA-1011-P&amp;L"/>
      <sheetName val="JODIA-1011-EXP"/>
      <sheetName val="CLM-1012-EXP"/>
      <sheetName val="SITE-1001-EXP"/>
      <sheetName val="KRG-1002-EXP"/>
      <sheetName val="CliftonMain-1003-EXP"/>
      <sheetName val="Notes7-8_(2)"/>
      <sheetName val="Note_9_7-9_8_(2)"/>
      <sheetName val="Other_Assets_Notes"/>
      <sheetName val="Notes_1-6_(2)"/>
      <sheetName val="Investment_(2)"/>
      <sheetName val="Notes_1-6"/>
      <sheetName val="Notes_9-10"/>
      <sheetName val="Notes10_1"/>
      <sheetName val="notes_5-6000"/>
      <sheetName val="A-C_CODE_&amp;_NAME"/>
      <sheetName val="Notes _2_"/>
      <sheetName val="PL_Million_"/>
      <sheetName val="Fin_Histo_PL"/>
      <sheetName val="P&amp;L Commentary"/>
      <sheetName val="Non-Statistical Sampling"/>
      <sheetName val="General"/>
      <sheetName val="Consolidated"/>
      <sheetName val="PLC"/>
      <sheetName val="NST ( Cap Gain)"/>
      <sheetName val="TABLES"/>
      <sheetName val="Notes7-8_(2)1"/>
      <sheetName val="Note_9_7-9_8_(2)1"/>
      <sheetName val="Other_Assets_Notes1"/>
      <sheetName val="Notes_1-6_(2)1"/>
      <sheetName val="Investment_(2)1"/>
      <sheetName val="Notes_1-61"/>
      <sheetName val="Notes_9-101"/>
      <sheetName val="Notes10_11"/>
      <sheetName val="notes_5-60001"/>
      <sheetName val="A-C_CODE_&amp;_NAME1"/>
      <sheetName val="Notes__2_"/>
      <sheetName val="Non-Statistical_Sampling"/>
      <sheetName val="Rates"/>
      <sheetName val="BSDOMOVS"/>
      <sheetName val="Notes 7 - 23"/>
      <sheetName val="Notes7-8_(2)3"/>
      <sheetName val="Note_9_7-9_8_(2)3"/>
      <sheetName val="Other_Assets_Notes3"/>
      <sheetName val="Notes_1-6_(2)3"/>
      <sheetName val="Investment_(2)3"/>
      <sheetName val="Notes_1-63"/>
      <sheetName val="Notes_9-103"/>
      <sheetName val="Notes10_13"/>
      <sheetName val="notes_5-60003"/>
      <sheetName val="A-C_CODE_&amp;_NAME3"/>
      <sheetName val="Notes7-8_(2)2"/>
      <sheetName val="Note_9_7-9_8_(2)2"/>
      <sheetName val="Other_Assets_Notes2"/>
      <sheetName val="Notes_1-6_(2)2"/>
      <sheetName val="Investment_(2)2"/>
      <sheetName val="Notes_1-62"/>
      <sheetName val="Notes_9-102"/>
      <sheetName val="Notes10_12"/>
      <sheetName val="notes_5-60002"/>
      <sheetName val="A-C_CODE_&amp;_NAME2"/>
      <sheetName val="Lead Schedule"/>
      <sheetName val="P&amp;L_Commentary"/>
      <sheetName val="Sheet3"/>
      <sheetName val="Institutions List"/>
      <sheetName val="Stat. Changes Equity"/>
      <sheetName val="E"/>
      <sheetName val="Notes__2_1"/>
      <sheetName val="Non-Statistical_Sampling1"/>
      <sheetName val="SOURCE"/>
      <sheetName val="UK"/>
      <sheetName val="New Employee"/>
      <sheetName val="NED09-10 SW"/>
      <sheetName val="INIT"/>
      <sheetName val="Lead"/>
      <sheetName val="Support"/>
      <sheetName val="revenue-fire-marine-motor"/>
      <sheetName val="navlun_cetveli"/>
      <sheetName val="RiskSim Summary 1"/>
      <sheetName val="Sheet4"/>
      <sheetName val="Notes7-8_(2)4"/>
      <sheetName val="Note_9_7-9_8_(2)4"/>
      <sheetName val="Other_Assets_Notes4"/>
      <sheetName val="Notes_1-6_(2)4"/>
      <sheetName val="Investment_(2)4"/>
      <sheetName val="Notes_1-64"/>
      <sheetName val="Notes_9-104"/>
      <sheetName val="Notes10_14"/>
      <sheetName val="notes_5-60004"/>
      <sheetName val="A-C_CODE_&amp;_NAME4"/>
      <sheetName val="NST_(_Cap_Gain)"/>
      <sheetName val="Lead_Schedule"/>
      <sheetName val="P&amp; L"/>
      <sheetName val="Non-Statistical Sampling Master"/>
      <sheetName val="Two Step Revenue Testing Master"/>
      <sheetName val="Global Data"/>
      <sheetName val="BSNTS"/>
      <sheetName val="Notes7-8_(2)5"/>
      <sheetName val="Note_9_7-9_8_(2)5"/>
      <sheetName val="Other_Assets_Notes5"/>
      <sheetName val="Notes_1-6_(2)5"/>
      <sheetName val="Investment_(2)5"/>
      <sheetName val="Notes_1-65"/>
      <sheetName val="Notes_9-105"/>
      <sheetName val="Notes10_15"/>
      <sheetName val="notes_5-60005"/>
      <sheetName val="A-C_CODE_&amp;_NAME5"/>
      <sheetName val="Notes__2_2"/>
      <sheetName val="P&amp;L_Commentary1"/>
      <sheetName val="Non-Statistical_Sampling2"/>
      <sheetName val="NST_(_Cap_Gain)1"/>
      <sheetName val="Lead_Schedule1"/>
      <sheetName val="Notes"/>
      <sheetName val="REPORT ON SME"/>
      <sheetName val="For Working"/>
      <sheetName val="pack custom"/>
      <sheetName val="Profit Worksheet"/>
      <sheetName val="RepricingTable"/>
      <sheetName val="DASHBOARD"/>
      <sheetName val="NOSTRO12"/>
      <sheetName val="REV VAR INC"/>
      <sheetName val="Main 01-02"/>
      <sheetName val="I-BR"/>
      <sheetName val="Net"/>
      <sheetName val="profitprov"/>
      <sheetName val="Parameters"/>
      <sheetName val="Branch List"/>
      <sheetName val="ANA"/>
      <sheetName val="BK"/>
      <sheetName val="F-HL"/>
      <sheetName val="SUM"/>
      <sheetName val="F-REP"/>
      <sheetName val="F-RR"/>
      <sheetName val="Notes7-8_(2)6"/>
      <sheetName val="Note_9_7-9_8_(2)6"/>
      <sheetName val="Other_Assets_Notes6"/>
      <sheetName val="Notes_1-6_(2)6"/>
      <sheetName val="Investment_(2)6"/>
      <sheetName val="Notes_1-66"/>
      <sheetName val="Notes_9-106"/>
      <sheetName val="Notes10_16"/>
      <sheetName val="notes_5-60006"/>
      <sheetName val="A-C_CODE_&amp;_NAME6"/>
      <sheetName val="Notes__2_5"/>
      <sheetName val="P&amp;L_Commentary4"/>
      <sheetName val="Non-Statistical_Sampling5"/>
      <sheetName val="Notes__2_3"/>
      <sheetName val="P&amp;L_Commentary2"/>
      <sheetName val="Non-Statistical_Sampling3"/>
      <sheetName val="Notes__2_4"/>
      <sheetName val="P&amp;L_Commentary3"/>
      <sheetName val="Non-Statistical_Sampling4"/>
      <sheetName val="Page 12D"/>
      <sheetName val="Page 10A"/>
      <sheetName val="SEPublishAccountsOsama"/>
      <sheetName val="ISSUES"/>
      <sheetName val="PIB-HL"/>
      <sheetName val="Pool"/>
      <sheetName val="CIG+OV"/>
      <sheetName val="Notes7-8_(2)8"/>
      <sheetName val="Note_9_7-9_8_(2)8"/>
      <sheetName val="Other_Assets_Notes8"/>
      <sheetName val="Notes_1-6_(2)8"/>
      <sheetName val="Investment_(2)8"/>
      <sheetName val="Notes_1-68"/>
      <sheetName val="Notes_9-108"/>
      <sheetName val="Notes10_18"/>
      <sheetName val="notes_5-60008"/>
      <sheetName val="A-C_CODE_&amp;_NAME8"/>
      <sheetName val="Notes__2_7"/>
      <sheetName val="P&amp;L_Commentary6"/>
      <sheetName val="Non-Statistical_Sampling7"/>
      <sheetName val="Notes_7_-_231"/>
      <sheetName val="NED09-10_SW1"/>
      <sheetName val="Notes7-8_(2)7"/>
      <sheetName val="Note_9_7-9_8_(2)7"/>
      <sheetName val="Other_Assets_Notes7"/>
      <sheetName val="Notes_1-6_(2)7"/>
      <sheetName val="Investment_(2)7"/>
      <sheetName val="Notes_1-67"/>
      <sheetName val="Notes_9-107"/>
      <sheetName val="Notes10_17"/>
      <sheetName val="notes_5-60007"/>
      <sheetName val="A-C_CODE_&amp;_NAME7"/>
      <sheetName val="Notes__2_6"/>
      <sheetName val="P&amp;L_Commentary5"/>
      <sheetName val="Non-Statistical_Sampling6"/>
      <sheetName val="Notes_7_-_23"/>
      <sheetName val="NED09-10_SW"/>
      <sheetName val="Notes7-8_(2)9"/>
      <sheetName val="Note_9_7-9_8_(2)9"/>
      <sheetName val="Other_Assets_Notes9"/>
      <sheetName val="Notes_1-6_(2)9"/>
      <sheetName val="Investment_(2)9"/>
      <sheetName val="Notes_1-69"/>
      <sheetName val="Notes_9-109"/>
      <sheetName val="Notes10_19"/>
      <sheetName val="notes_5-60009"/>
      <sheetName val="A-C_CODE_&amp;_NAME9"/>
      <sheetName val="Notes__2_8"/>
      <sheetName val="P&amp;L_Commentary7"/>
      <sheetName val="Non-Statistical_Sampling8"/>
      <sheetName val="NST_(_Cap_Gain)2"/>
      <sheetName val="Lead_Schedule2"/>
      <sheetName val="Notes_7_-_232"/>
      <sheetName val="NED09-10_SW2"/>
      <sheetName val="Notes7-8_(2)10"/>
      <sheetName val="Note_9_7-9_8_(2)10"/>
      <sheetName val="Other_Assets_Notes10"/>
      <sheetName val="Notes_1-6_(2)10"/>
      <sheetName val="Investment_(2)10"/>
      <sheetName val="Notes_1-610"/>
      <sheetName val="Notes_9-1010"/>
      <sheetName val="Notes10_110"/>
      <sheetName val="notes_5-600010"/>
      <sheetName val="A-C_CODE_&amp;_NAME10"/>
      <sheetName val="Notes__2_9"/>
      <sheetName val="P&amp;L_Commentary8"/>
      <sheetName val="Non-Statistical_Sampling9"/>
      <sheetName val="NST_(_Cap_Gain)3"/>
      <sheetName val="Lead_Schedule3"/>
      <sheetName val="Notes_7_-_233"/>
      <sheetName val="NED09-10_SW3"/>
      <sheetName val="Notes7-8_(2)11"/>
      <sheetName val="Note_9_7-9_8_(2)11"/>
      <sheetName val="Other_Assets_Notes11"/>
      <sheetName val="Notes_1-6_(2)11"/>
      <sheetName val="Investment_(2)11"/>
      <sheetName val="Notes_1-611"/>
      <sheetName val="Notes_9-1011"/>
      <sheetName val="Notes10_111"/>
      <sheetName val="notes_5-600011"/>
      <sheetName val="A-C_CODE_&amp;_NAME11"/>
      <sheetName val="Notes__2_10"/>
      <sheetName val="P&amp;L_Commentary9"/>
      <sheetName val="Non-Statistical_Sampling10"/>
      <sheetName val="NST_(_Cap_Gain)4"/>
      <sheetName val="Lead_Schedule4"/>
      <sheetName val="Notes_7_-_234"/>
      <sheetName val="NED09-10_SW4"/>
      <sheetName val="Notes7-8_(2)13"/>
      <sheetName val="Note_9_7-9_8_(2)13"/>
      <sheetName val="Other_Assets_Notes13"/>
      <sheetName val="Notes_1-6_(2)13"/>
      <sheetName val="Investment_(2)13"/>
      <sheetName val="Notes_1-613"/>
      <sheetName val="Notes_9-1013"/>
      <sheetName val="Notes10_113"/>
      <sheetName val="notes_5-600013"/>
      <sheetName val="A-C_CODE_&amp;_NAME13"/>
      <sheetName val="Notes__2_12"/>
      <sheetName val="P&amp;L_Commentary11"/>
      <sheetName val="Non-Statistical_Sampling12"/>
      <sheetName val="NST_(_Cap_Gain)6"/>
      <sheetName val="Lead_Schedule6"/>
      <sheetName val="Notes_7_-_236"/>
      <sheetName val="NED09-10_SW6"/>
      <sheetName val="Notes7-8_(2)12"/>
      <sheetName val="Note_9_7-9_8_(2)12"/>
      <sheetName val="Other_Assets_Notes12"/>
      <sheetName val="Notes_1-6_(2)12"/>
      <sheetName val="Investment_(2)12"/>
      <sheetName val="Notes_1-612"/>
      <sheetName val="Notes_9-1012"/>
      <sheetName val="Notes10_112"/>
      <sheetName val="notes_5-600012"/>
      <sheetName val="A-C_CODE_&amp;_NAME12"/>
      <sheetName val="Notes__2_11"/>
      <sheetName val="P&amp;L_Commentary10"/>
      <sheetName val="Non-Statistical_Sampling11"/>
      <sheetName val="NST_(_Cap_Gain)5"/>
      <sheetName val="Lead_Schedule5"/>
      <sheetName val="Notes_7_-_235"/>
      <sheetName val="NED09-10_SW5"/>
      <sheetName val="Notes7-8_(2)14"/>
      <sheetName val="Note_9_7-9_8_(2)14"/>
      <sheetName val="Other_Assets_Notes14"/>
      <sheetName val="Notes_1-6_(2)14"/>
      <sheetName val="Investment_(2)14"/>
      <sheetName val="Notes_1-614"/>
      <sheetName val="Notes_9-1014"/>
      <sheetName val="Notes10_114"/>
      <sheetName val="notes_5-600014"/>
      <sheetName val="A-C_CODE_&amp;_NAME14"/>
      <sheetName val="Notes__2_13"/>
      <sheetName val="P&amp;L_Commentary12"/>
      <sheetName val="Non-Statistical_Sampling13"/>
      <sheetName val="NST_(_Cap_Gain)7"/>
      <sheetName val="Lead_Schedule7"/>
      <sheetName val="Notes_7_-_237"/>
      <sheetName val="NED09-10_SW7"/>
      <sheetName val="BUDGET 2003"/>
      <sheetName val="PL"/>
      <sheetName val="lp"/>
    </sheetNames>
    <sheetDataSet>
      <sheetData sheetId="0">
        <row r="7">
          <cell r="AX7">
            <v>1346063.09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7">
          <cell r="AX7">
            <v>1346063.09</v>
          </cell>
        </row>
        <row r="8">
          <cell r="AX8">
            <v>-1270.28</v>
          </cell>
        </row>
        <row r="9">
          <cell r="AX9">
            <v>18843861.66</v>
          </cell>
        </row>
        <row r="10">
          <cell r="AX10">
            <v>51230813.909999996</v>
          </cell>
        </row>
        <row r="11">
          <cell r="AX11">
            <v>2751832.22</v>
          </cell>
        </row>
        <row r="12">
          <cell r="AX12">
            <v>-186068.71</v>
          </cell>
        </row>
        <row r="13">
          <cell r="AX13">
            <v>2850010.03</v>
          </cell>
        </row>
        <row r="14">
          <cell r="AX14">
            <v>0</v>
          </cell>
        </row>
        <row r="15">
          <cell r="AX15">
            <v>-25061.99</v>
          </cell>
        </row>
        <row r="16">
          <cell r="AX16">
            <v>76810179.930000007</v>
          </cell>
        </row>
        <row r="17">
          <cell r="AX17">
            <v>1702084.59</v>
          </cell>
        </row>
        <row r="18">
          <cell r="AX18">
            <v>1162777.6599999999</v>
          </cell>
        </row>
        <row r="19">
          <cell r="AX19">
            <v>79675042.180000007</v>
          </cell>
        </row>
        <row r="20">
          <cell r="AX20">
            <v>-1145960.1499999999</v>
          </cell>
        </row>
        <row r="21">
          <cell r="AX21">
            <v>581217.23</v>
          </cell>
        </row>
        <row r="22">
          <cell r="AX22">
            <v>76175</v>
          </cell>
        </row>
        <row r="23">
          <cell r="AX23">
            <v>5839615</v>
          </cell>
        </row>
        <row r="24">
          <cell r="AX24">
            <v>100869011</v>
          </cell>
        </row>
        <row r="25">
          <cell r="AX25">
            <v>106220058.08</v>
          </cell>
        </row>
        <row r="26">
          <cell r="AX26">
            <v>0</v>
          </cell>
        </row>
        <row r="27">
          <cell r="AX27">
            <v>13188041</v>
          </cell>
        </row>
        <row r="28">
          <cell r="AX28">
            <v>391476</v>
          </cell>
        </row>
        <row r="29">
          <cell r="AX29">
            <v>283891</v>
          </cell>
        </row>
        <row r="30">
          <cell r="AX30">
            <v>360280</v>
          </cell>
        </row>
        <row r="31">
          <cell r="AX31">
            <v>2691316</v>
          </cell>
        </row>
        <row r="32">
          <cell r="AX32">
            <v>385700</v>
          </cell>
        </row>
        <row r="33">
          <cell r="AX33">
            <v>3300444</v>
          </cell>
        </row>
        <row r="34">
          <cell r="AX34">
            <v>0</v>
          </cell>
        </row>
        <row r="35">
          <cell r="AX35">
            <v>0</v>
          </cell>
        </row>
        <row r="36">
          <cell r="AX36">
            <v>0</v>
          </cell>
        </row>
        <row r="37">
          <cell r="AX37">
            <v>20601148</v>
          </cell>
        </row>
        <row r="38">
          <cell r="AX38">
            <v>0</v>
          </cell>
        </row>
        <row r="39">
          <cell r="AX39">
            <v>365044.5</v>
          </cell>
        </row>
        <row r="40">
          <cell r="AX40">
            <v>0</v>
          </cell>
        </row>
        <row r="41">
          <cell r="AX41">
            <v>1022753</v>
          </cell>
        </row>
        <row r="42">
          <cell r="AX42">
            <v>40514</v>
          </cell>
        </row>
        <row r="43">
          <cell r="AX43">
            <v>650</v>
          </cell>
        </row>
        <row r="44">
          <cell r="AX44">
            <v>40500</v>
          </cell>
        </row>
        <row r="45">
          <cell r="AX45">
            <v>0</v>
          </cell>
        </row>
        <row r="46">
          <cell r="AX46">
            <v>0</v>
          </cell>
        </row>
        <row r="47">
          <cell r="AX47">
            <v>3342</v>
          </cell>
        </row>
        <row r="48">
          <cell r="AX48">
            <v>15490</v>
          </cell>
        </row>
        <row r="49">
          <cell r="AX49">
            <v>77016</v>
          </cell>
        </row>
        <row r="50">
          <cell r="AX50">
            <v>664789</v>
          </cell>
        </row>
        <row r="51">
          <cell r="AX51">
            <v>64600</v>
          </cell>
        </row>
        <row r="52">
          <cell r="AX52">
            <v>0</v>
          </cell>
        </row>
        <row r="53">
          <cell r="AX53">
            <v>2294698.5</v>
          </cell>
        </row>
        <row r="54">
          <cell r="AX54">
            <v>0</v>
          </cell>
        </row>
        <row r="55">
          <cell r="AX55">
            <v>3801469</v>
          </cell>
        </row>
        <row r="56">
          <cell r="AX56">
            <v>1134855</v>
          </cell>
        </row>
        <row r="57">
          <cell r="AX57">
            <v>324127</v>
          </cell>
        </row>
        <row r="58">
          <cell r="AX58">
            <v>332579</v>
          </cell>
        </row>
        <row r="59">
          <cell r="AX59">
            <v>17817</v>
          </cell>
        </row>
        <row r="60">
          <cell r="AX60">
            <v>7950</v>
          </cell>
        </row>
        <row r="61">
          <cell r="AX61">
            <v>339900</v>
          </cell>
        </row>
        <row r="62">
          <cell r="AX62">
            <v>5958697</v>
          </cell>
        </row>
        <row r="70">
          <cell r="AX70">
            <v>1298551</v>
          </cell>
        </row>
        <row r="71">
          <cell r="AX71">
            <v>161339</v>
          </cell>
        </row>
        <row r="72">
          <cell r="AX72">
            <v>155390</v>
          </cell>
        </row>
        <row r="73">
          <cell r="AX73">
            <v>412665.9</v>
          </cell>
        </row>
        <row r="74">
          <cell r="AX74">
            <v>2027945.9</v>
          </cell>
        </row>
        <row r="76">
          <cell r="AX76">
            <v>143130.54999999999</v>
          </cell>
        </row>
        <row r="77">
          <cell r="AX77">
            <v>730109</v>
          </cell>
        </row>
        <row r="78">
          <cell r="AX78">
            <v>151700</v>
          </cell>
        </row>
        <row r="79">
          <cell r="AX79">
            <v>1024939.55</v>
          </cell>
        </row>
        <row r="80">
          <cell r="AX80">
            <v>0</v>
          </cell>
        </row>
        <row r="81">
          <cell r="AX81">
            <v>127801</v>
          </cell>
        </row>
        <row r="82">
          <cell r="AX82">
            <v>239418.7</v>
          </cell>
        </row>
        <row r="83">
          <cell r="AX83">
            <v>400152</v>
          </cell>
        </row>
        <row r="84">
          <cell r="AX84">
            <v>80422</v>
          </cell>
        </row>
        <row r="85">
          <cell r="AX85">
            <v>545736</v>
          </cell>
        </row>
        <row r="86">
          <cell r="AX86">
            <v>0</v>
          </cell>
        </row>
        <row r="87">
          <cell r="AX87">
            <v>231877</v>
          </cell>
        </row>
        <row r="88">
          <cell r="AX88">
            <v>739465.6</v>
          </cell>
        </row>
        <row r="89">
          <cell r="AX89">
            <v>45042</v>
          </cell>
        </row>
        <row r="90">
          <cell r="AX90">
            <v>396160.5</v>
          </cell>
        </row>
        <row r="91">
          <cell r="AX91">
            <v>0</v>
          </cell>
        </row>
        <row r="92">
          <cell r="AX92">
            <v>24055.68</v>
          </cell>
        </row>
        <row r="93">
          <cell r="AX93">
            <v>574252</v>
          </cell>
        </row>
        <row r="94">
          <cell r="AX94">
            <v>82254</v>
          </cell>
        </row>
        <row r="95">
          <cell r="AX95">
            <v>1359009.16</v>
          </cell>
        </row>
        <row r="96">
          <cell r="AX96">
            <v>439224.89</v>
          </cell>
        </row>
        <row r="97">
          <cell r="AX97">
            <v>292318</v>
          </cell>
        </row>
        <row r="98">
          <cell r="AX98">
            <v>193011</v>
          </cell>
        </row>
        <row r="99">
          <cell r="AX99">
            <v>624960.82999999996</v>
          </cell>
        </row>
        <row r="100">
          <cell r="AX100">
            <v>349107.07</v>
          </cell>
        </row>
        <row r="101">
          <cell r="AX101">
            <v>876848</v>
          </cell>
        </row>
        <row r="102">
          <cell r="AX102">
            <v>80101</v>
          </cell>
        </row>
        <row r="103">
          <cell r="AX103">
            <v>1336880.3999999999</v>
          </cell>
        </row>
        <row r="104">
          <cell r="AX104">
            <v>2855</v>
          </cell>
        </row>
        <row r="105">
          <cell r="AX105">
            <v>1087532.02</v>
          </cell>
        </row>
        <row r="106">
          <cell r="AX106">
            <v>1036246</v>
          </cell>
        </row>
        <row r="107">
          <cell r="AX107">
            <v>213797</v>
          </cell>
        </row>
        <row r="108">
          <cell r="AX108">
            <v>158249.31</v>
          </cell>
        </row>
        <row r="109">
          <cell r="AX109">
            <v>11536776.16</v>
          </cell>
        </row>
        <row r="110">
          <cell r="AX110">
            <v>0</v>
          </cell>
        </row>
        <row r="111">
          <cell r="AX111">
            <v>0</v>
          </cell>
        </row>
        <row r="112">
          <cell r="AX112">
            <v>0</v>
          </cell>
        </row>
        <row r="113">
          <cell r="AX113">
            <v>8790</v>
          </cell>
        </row>
        <row r="114">
          <cell r="AX114">
            <v>0</v>
          </cell>
        </row>
        <row r="115">
          <cell r="AX115">
            <v>0</v>
          </cell>
        </row>
        <row r="116">
          <cell r="AX116">
            <v>8790</v>
          </cell>
        </row>
        <row r="117">
          <cell r="AX117">
            <v>0</v>
          </cell>
        </row>
        <row r="118">
          <cell r="AX118">
            <v>1556627</v>
          </cell>
        </row>
        <row r="119">
          <cell r="AX119">
            <v>1273854</v>
          </cell>
        </row>
        <row r="120">
          <cell r="AX120">
            <v>1804489</v>
          </cell>
        </row>
        <row r="121">
          <cell r="AX121">
            <v>1158120</v>
          </cell>
        </row>
        <row r="122">
          <cell r="AX122">
            <v>0</v>
          </cell>
        </row>
        <row r="123">
          <cell r="AX123">
            <v>0</v>
          </cell>
        </row>
        <row r="124">
          <cell r="AX124">
            <v>0</v>
          </cell>
        </row>
        <row r="125">
          <cell r="AX125">
            <v>5793090</v>
          </cell>
        </row>
        <row r="126">
          <cell r="AX126">
            <v>235141185.37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Sheet4"/>
      <sheetName val="PKRV "/>
      <sheetName val="TBPRICE"/>
      <sheetName val="A"/>
      <sheetName val="Notes1-5"/>
      <sheetName val="Sum"/>
      <sheetName val="Brokers"/>
      <sheetName val="OS_Purchase"/>
      <sheetName val="Purchase"/>
      <sheetName val="Sale"/>
      <sheetName val="Symbols"/>
      <sheetName val="DATABASE"/>
      <sheetName val="PKRV_"/>
      <sheetName val="SCHED_EH"/>
      <sheetName val="SAP BALANCES"/>
      <sheetName val="grupa_8"/>
      <sheetName val="Reference"/>
      <sheetName val="FG"/>
      <sheetName val="Main 01-02"/>
      <sheetName val="Koszty"/>
      <sheetName val="Lead Schedule"/>
      <sheetName val="RiskSim Summary 1"/>
      <sheetName val="Profiles"/>
      <sheetName val="Repricing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-INV-OTHER ASSETS "/>
      <sheetName val="BS-DOM"/>
      <sheetName val="BS-OVS"/>
      <sheetName val="BSCOMBINED "/>
      <sheetName val="#REF"/>
      <sheetName val="T-BILL"/>
      <sheetName val="I-BR"/>
      <sheetName val="List"/>
      <sheetName val="Sheet1"/>
      <sheetName val="AL905"/>
      <sheetName val="29-30"/>
      <sheetName val="Abu Dhabi"/>
      <sheetName val="INPUT"/>
      <sheetName val="Lookups"/>
      <sheetName val="DD110"/>
      <sheetName val="FEb"/>
      <sheetName val="PARTWISE BREAKUP"/>
      <sheetName val="Sheet4"/>
      <sheetName val="Sheet2"/>
      <sheetName val="Implied Rate"/>
      <sheetName val="Lists"/>
      <sheetName val="actual (2)"/>
      <sheetName val="1-bwb(cb)"/>
      <sheetName val="A-C CODE &amp; NAME"/>
      <sheetName val="I-B"/>
      <sheetName val="acct"/>
      <sheetName val="TDS"/>
      <sheetName val="Sheet1 "/>
      <sheetName val="a"/>
    </sheetNames>
    <sheetDataSet>
      <sheetData sheetId="0">
        <row r="140">
          <cell r="I140">
            <v>-9419269.4538429994</v>
          </cell>
        </row>
      </sheetData>
      <sheetData sheetId="1"/>
      <sheetData sheetId="2" refreshError="1">
        <row r="140">
          <cell r="I140">
            <v>-9419269.4538429994</v>
          </cell>
        </row>
        <row r="177">
          <cell r="I177">
            <v>39476829171.10128</v>
          </cell>
        </row>
        <row r="182">
          <cell r="I182">
            <v>74718888.259252995</v>
          </cell>
        </row>
        <row r="193">
          <cell r="I193">
            <v>79956479.800536931</v>
          </cell>
        </row>
        <row r="196">
          <cell r="I196">
            <v>2633790152.157959</v>
          </cell>
        </row>
        <row r="197">
          <cell r="I197">
            <v>6599648252.119422</v>
          </cell>
        </row>
        <row r="198">
          <cell r="I198">
            <v>463566743.09803283</v>
          </cell>
        </row>
        <row r="199">
          <cell r="I199">
            <v>6367721.818</v>
          </cell>
        </row>
        <row r="200">
          <cell r="I200">
            <v>95192233.803413495</v>
          </cell>
        </row>
        <row r="201">
          <cell r="I201">
            <v>51267040.075999998</v>
          </cell>
        </row>
        <row r="207">
          <cell r="I207">
            <v>317107479.20281661</v>
          </cell>
        </row>
        <row r="209">
          <cell r="I209">
            <v>110807297.04154299</v>
          </cell>
        </row>
        <row r="214">
          <cell r="I214">
            <v>21149381.779200003</v>
          </cell>
        </row>
        <row r="215">
          <cell r="I215">
            <v>73022605.164682999</v>
          </cell>
        </row>
        <row r="216">
          <cell r="I216">
            <v>69670823.155003294</v>
          </cell>
        </row>
        <row r="225">
          <cell r="I225">
            <v>194377888288.28598</v>
          </cell>
        </row>
        <row r="227">
          <cell r="I227">
            <v>50072068724.377579</v>
          </cell>
        </row>
        <row r="233">
          <cell r="I233">
            <v>8162134108.7328329</v>
          </cell>
        </row>
        <row r="236">
          <cell r="I236">
            <v>6596108605.3126411</v>
          </cell>
        </row>
        <row r="239">
          <cell r="I239">
            <v>21721232244.269104</v>
          </cell>
        </row>
        <row r="240">
          <cell r="I240">
            <v>65740342829.488098</v>
          </cell>
        </row>
        <row r="241">
          <cell r="I241">
            <v>87461575073.757202</v>
          </cell>
        </row>
        <row r="242">
          <cell r="I242">
            <v>-21721232244.269104</v>
          </cell>
        </row>
        <row r="256">
          <cell r="I256">
            <v>573620076.34338379</v>
          </cell>
        </row>
        <row r="279">
          <cell r="I279">
            <v>609810626.86105835</v>
          </cell>
        </row>
        <row r="281">
          <cell r="I281">
            <v>629352970.96508241</v>
          </cell>
        </row>
        <row r="284">
          <cell r="I284">
            <v>135928861.80949962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OVS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Consolidation"/>
      <sheetName val="Regulatory Adjustments"/>
      <sheetName val="Leverage Ratio"/>
      <sheetName val="CR-Summary"/>
      <sheetName val="CR Summary"/>
      <sheetName val="Credit Risk"/>
      <sheetName val="OBS-NMKT"/>
      <sheetName val="OBS-MKT"/>
      <sheetName val="IRR-summary"/>
      <sheetName val="IRR-SCH"/>
      <sheetName val="IRR-GCH-MM-PKR"/>
      <sheetName val="IRR-GCH-MM-US$."/>
      <sheetName val="IRR-GCH-MM-GBP"/>
      <sheetName val="IRR-GCH-MM-JPY"/>
      <sheetName val="IRR-GCH-MM-EURO"/>
      <sheetName val="IRR-GCH-MM-AUD"/>
      <sheetName val="IRR-GCH-MM-OTHERS"/>
      <sheetName val="IRR-GCH-DM-PKR"/>
      <sheetName val="IRR-GCH-DM-US$"/>
      <sheetName val="IRR-GCH-DM-GBP"/>
      <sheetName val="IRR-GCH-DM-JPY"/>
      <sheetName val="IRR-GCH-DM-EURO"/>
      <sheetName val="IRR-GCH-DM-AUD"/>
      <sheetName val="IRR-GCH-DM-OTHERS"/>
      <sheetName val="IRR-EQT"/>
      <sheetName val="IRR-FE"/>
      <sheetName val="IRR-OPT"/>
      <sheetName val="OR 1"/>
      <sheetName val="CSV"/>
      <sheetName val="Reference"/>
      <sheetName val="adj bs"/>
      <sheetName val="Cons "/>
      <sheetName val="kosz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M2">
            <v>2013</v>
          </cell>
          <cell r="N2">
            <v>0</v>
          </cell>
        </row>
        <row r="3">
          <cell r="M3">
            <v>2014</v>
          </cell>
          <cell r="N3">
            <v>0.2</v>
          </cell>
        </row>
        <row r="4">
          <cell r="M4">
            <v>2015</v>
          </cell>
          <cell r="N4">
            <v>0.4</v>
          </cell>
        </row>
        <row r="5">
          <cell r="M5">
            <v>2016</v>
          </cell>
          <cell r="N5">
            <v>0.6</v>
          </cell>
        </row>
        <row r="6">
          <cell r="M6">
            <v>2017</v>
          </cell>
          <cell r="N6">
            <v>0.8</v>
          </cell>
        </row>
        <row r="7">
          <cell r="M7">
            <v>2018</v>
          </cell>
          <cell r="N7">
            <v>1</v>
          </cell>
        </row>
      </sheetData>
      <sheetData sheetId="31"/>
      <sheetData sheetId="32"/>
      <sheetData sheetId="3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Consolidation"/>
      <sheetName val="Regulatory Adjustments"/>
      <sheetName val="Leverage Ratio"/>
      <sheetName val="CR-Summary"/>
      <sheetName val="CR Summary"/>
      <sheetName val="Credit Risk"/>
      <sheetName val="OBS-NMKT"/>
      <sheetName val="OBS-MKT"/>
      <sheetName val="IRR-summary"/>
      <sheetName val="IRR-SCH"/>
      <sheetName val="IRR-GCH-MM-PKR"/>
      <sheetName val="IRR-GCH-MM-US$."/>
      <sheetName val="IRR-GCH-MM-GBP"/>
      <sheetName val="IRR-GCH-MM-JPY"/>
      <sheetName val="IRR-GCH-MM-EURO"/>
      <sheetName val="IRR-GCH-MM-AUD"/>
      <sheetName val="IRR-GCH-MM-OTHERS"/>
      <sheetName val="IRR-GCH-DM-PKR"/>
      <sheetName val="IRR-GCH-DM-US$"/>
      <sheetName val="IRR-GCH-DM-GBP"/>
      <sheetName val="IRR-GCH-DM-JPY"/>
      <sheetName val="IRR-GCH-DM-EURO"/>
      <sheetName val="IRR-GCH-DM-AUD"/>
      <sheetName val="IRR-GCH-DM-OTHERS"/>
      <sheetName val="IRR-EQT"/>
      <sheetName val="IRR-FE"/>
      <sheetName val="IRR-OPT"/>
      <sheetName val="OR 1"/>
      <sheetName val="CSV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M2">
            <v>2013</v>
          </cell>
          <cell r="N2">
            <v>0</v>
          </cell>
        </row>
        <row r="3">
          <cell r="M3">
            <v>2014</v>
          </cell>
          <cell r="N3">
            <v>0.2</v>
          </cell>
        </row>
        <row r="4">
          <cell r="M4">
            <v>2015</v>
          </cell>
          <cell r="N4">
            <v>0.4</v>
          </cell>
        </row>
        <row r="5">
          <cell r="M5">
            <v>2016</v>
          </cell>
          <cell r="N5">
            <v>0.6</v>
          </cell>
        </row>
        <row r="6">
          <cell r="M6">
            <v>2017</v>
          </cell>
          <cell r="N6">
            <v>0.8</v>
          </cell>
        </row>
        <row r="7">
          <cell r="M7">
            <v>2018</v>
          </cell>
          <cell r="N7">
            <v>1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to income ratio"/>
      <sheetName val="FY 2024_25_KIBOR slide for BAC"/>
      <sheetName val="Treasury and inv income details"/>
      <sheetName val="Movement"/>
      <sheetName val="w-1 (Inv Income working CIC)"/>
      <sheetName val="w-2 (WV-Greenfin working)"/>
      <sheetName val="w-1 (cash and bank balances)"/>
      <sheetName val="w-1.1"/>
      <sheetName val="w-1.2"/>
      <sheetName val="w-1.1 (Treasury profits)"/>
      <sheetName val="w-1.2 (imputed income)"/>
      <sheetName val="w-2 (TDRs and Tbills working)"/>
      <sheetName val="w-3.1.1 working"/>
      <sheetName val="w-4 (Opex charged to OSR) "/>
      <sheetName val="Programme wise Allocation"/>
      <sheetName val="w-5(unrealised income) "/>
      <sheetName val="Assumptions"/>
      <sheetName val="Forecasted Monthly Allocation"/>
      <sheetName val="w-3.2 (SLG working)"/>
      <sheetName val="Opex cost centre wise "/>
      <sheetName val="RENAME"/>
      <sheetName val="Forcasting"/>
      <sheetName val="PROGRAM "/>
      <sheetName val="OPEX"/>
      <sheetName val="CAPEX"/>
      <sheetName val="Bank Report K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S"/>
      <sheetName val="PRE-CLO"/>
      <sheetName val="SUMM"/>
      <sheetName val="SUMM-2"/>
      <sheetName val="MM"/>
      <sheetName val="FX"/>
      <sheetName val="FINAL"/>
      <sheetName val="VARI"/>
      <sheetName val="SUM-ACC"/>
      <sheetName val="SUMM-INC"/>
      <sheetName val="MAIN"/>
      <sheetName val="SUMM -1"/>
      <sheetName val="MM1"/>
      <sheetName val="COUPONS"/>
      <sheetName val="ENTRY"/>
      <sheetName val="MARCH"/>
      <sheetName val="SUMM_2"/>
      <sheetName val="NRV FG (Loc. Manufactured)"/>
      <sheetName val="LOOK-UP"/>
      <sheetName val="PTA-2007"/>
      <sheetName val="rm"/>
      <sheetName val="UTIL"/>
      <sheetName val="Code"/>
      <sheetName val="BS-1"/>
      <sheetName val="rcs_truck"/>
      <sheetName val="Reasons"/>
      <sheetName val="FINANCE"/>
      <sheetName val="Assumptions"/>
      <sheetName val="Sheet2"/>
      <sheetName val="Sheet3"/>
      <sheetName val="Sheet5"/>
      <sheetName val="overview"/>
      <sheetName val="PC(Mn)"/>
      <sheetName val="Page 1 BS"/>
    </sheetNames>
    <sheetDataSet>
      <sheetData sheetId="0"/>
      <sheetData sheetId="1"/>
      <sheetData sheetId="2"/>
      <sheetData sheetId="3" refreshError="1">
        <row r="3">
          <cell r="C3" t="str">
            <v>SAUDI PAK COMM. BANK LTD</v>
          </cell>
        </row>
        <row r="4">
          <cell r="C4" t="str">
            <v>FX PROFIT &amp; LOSS SUMMARY</v>
          </cell>
        </row>
        <row r="5">
          <cell r="C5" t="str">
            <v>FOR THE MONTH OF SEPTEMBER `2002</v>
          </cell>
        </row>
        <row r="7">
          <cell r="C7" t="str">
            <v>PARTICULARS</v>
          </cell>
          <cell r="D7" t="str">
            <v>AMOUNT</v>
          </cell>
        </row>
        <row r="8">
          <cell r="C8" t="str">
            <v>FX REVALUATION</v>
          </cell>
          <cell r="D8">
            <v>0</v>
          </cell>
        </row>
        <row r="9">
          <cell r="C9" t="str">
            <v xml:space="preserve">INTEREST  RECEIVED ON PLACEMENTS AGAINST  FE 25 &amp; 13  </v>
          </cell>
          <cell r="D9">
            <v>0</v>
          </cell>
        </row>
        <row r="10">
          <cell r="C10" t="str">
            <v xml:space="preserve">INTEREST  RECEIVED  AG  FE  45     (BHUMIPUTA) </v>
          </cell>
          <cell r="D10">
            <v>0</v>
          </cell>
        </row>
        <row r="11">
          <cell r="C11" t="str">
            <v>INTEREST RECEIVED  FROM FOREIGN BANKS</v>
          </cell>
          <cell r="D11">
            <v>0</v>
          </cell>
        </row>
        <row r="12">
          <cell r="C12" t="str">
            <v>OTHER REBATES &amp; LC COMMISION</v>
          </cell>
          <cell r="D12">
            <v>0</v>
          </cell>
        </row>
        <row r="13">
          <cell r="C13" t="str">
            <v>TOTAL  RECEIVED</v>
          </cell>
          <cell r="D13">
            <v>0</v>
          </cell>
        </row>
        <row r="15">
          <cell r="C15" t="str">
            <v>INTEREST  PAID TO BRANCHES     (T.O. ACCOUNT)</v>
          </cell>
          <cell r="D15">
            <v>0</v>
          </cell>
        </row>
        <row r="16">
          <cell r="C16" t="str">
            <v>FESS PAID TO SBP AG. 45 (BHUMIPUTRA)</v>
          </cell>
          <cell r="D16">
            <v>0</v>
          </cell>
        </row>
        <row r="17">
          <cell r="C17" t="str">
            <v>INTEREST  PAID TO BHUMIPUTRA (AG 45)</v>
          </cell>
          <cell r="D17">
            <v>0</v>
          </cell>
        </row>
        <row r="18">
          <cell r="C18" t="str">
            <v>INTEREST PAID ON NOSTRO  BALANCES</v>
          </cell>
          <cell r="D18">
            <v>0</v>
          </cell>
        </row>
        <row r="19">
          <cell r="C19" t="str">
            <v>TOTAL PAID</v>
          </cell>
          <cell r="D19">
            <v>0</v>
          </cell>
        </row>
        <row r="21">
          <cell r="C21" t="str">
            <v>NET FOREIGN EXCHANGE PROFIT</v>
          </cell>
          <cell r="D21">
            <v>0</v>
          </cell>
        </row>
        <row r="25">
          <cell r="C25" t="str">
            <v xml:space="preserve">MONEY MARKET PROFIT &amp; LOSS SUMMARY </v>
          </cell>
        </row>
        <row r="26">
          <cell r="C26" t="str">
            <v>FOR THE MONTH OF SEPTEMBER `2002</v>
          </cell>
        </row>
        <row r="28">
          <cell r="C28" t="str">
            <v>INTEREST RECEIVED ON HOLDINGS</v>
          </cell>
          <cell r="D28" t="str">
            <v>AMOUNT</v>
          </cell>
        </row>
        <row r="29">
          <cell r="C29" t="str">
            <v>FIB HOLDINGS</v>
          </cell>
          <cell r="D29">
            <v>8580438</v>
          </cell>
        </row>
        <row r="30">
          <cell r="C30" t="str">
            <v>PIB HOLDINGS</v>
          </cell>
          <cell r="D30">
            <v>12538974</v>
          </cell>
        </row>
        <row r="31">
          <cell r="C31" t="str">
            <v>T-BILLS HOLDING</v>
          </cell>
          <cell r="D31">
            <v>0</v>
          </cell>
        </row>
        <row r="32">
          <cell r="C32" t="str">
            <v>TFC HOLDINGS</v>
          </cell>
          <cell r="D32">
            <v>0</v>
          </cell>
        </row>
        <row r="33">
          <cell r="C33" t="str">
            <v>COUPON RECEIVED ON HOLDINGS DURING THE MONTH</v>
          </cell>
          <cell r="D33">
            <v>0</v>
          </cell>
        </row>
        <row r="34">
          <cell r="C34" t="str">
            <v>UNDER WRITING COMMISION</v>
          </cell>
          <cell r="D34">
            <v>0</v>
          </cell>
        </row>
        <row r="35">
          <cell r="C35" t="str">
            <v>DISCOUNT ON Securities Holdings</v>
          </cell>
          <cell r="D35">
            <v>0</v>
          </cell>
        </row>
        <row r="36">
          <cell r="C36" t="str">
            <v>TOTAL</v>
          </cell>
          <cell r="D36">
            <v>21119412</v>
          </cell>
        </row>
        <row r="38">
          <cell r="C38" t="str">
            <v xml:space="preserve">INTEREST RECEIVED ON LENDINGS </v>
          </cell>
        </row>
        <row r="39">
          <cell r="C39" t="str">
            <v>INTER BANK LENDING AGST. FIB`S   (R/REPO)</v>
          </cell>
          <cell r="D39">
            <v>0</v>
          </cell>
        </row>
        <row r="40">
          <cell r="C40" t="str">
            <v>INTER BANK LENDING AGST. PIB`S   (R/REPO)</v>
          </cell>
          <cell r="D40">
            <v>40260</v>
          </cell>
        </row>
        <row r="41">
          <cell r="C41" t="str">
            <v>INTER BANK LENDING AGST. TB`S    (R/REPO)</v>
          </cell>
          <cell r="D41">
            <v>0</v>
          </cell>
        </row>
        <row r="42">
          <cell r="C42" t="str">
            <v>INTER BANK LENDING AGST. TFC     (R/REPO)</v>
          </cell>
          <cell r="D42">
            <v>0</v>
          </cell>
        </row>
        <row r="43">
          <cell r="C43" t="str">
            <v>INTER BANK LENDING AGST. NIT     (R/REPO)</v>
          </cell>
          <cell r="D43">
            <v>0</v>
          </cell>
        </row>
        <row r="44">
          <cell r="C44" t="str">
            <v>INTER BANK LENDING AGST. SHARES (R/REPO)</v>
          </cell>
          <cell r="D44">
            <v>0</v>
          </cell>
        </row>
        <row r="45">
          <cell r="C45" t="str">
            <v>INTEREST ON  R/R  GOVT. SECURITIES.  ( DUIRNG THE MONTH)</v>
          </cell>
          <cell r="D45">
            <v>0</v>
          </cell>
        </row>
        <row r="46">
          <cell r="C46" t="str">
            <v>COI LENDINGS</v>
          </cell>
          <cell r="D46">
            <v>0</v>
          </cell>
        </row>
        <row r="47">
          <cell r="C47" t="str">
            <v>CALL MONEY PLACEMENTS</v>
          </cell>
          <cell r="D47">
            <v>0</v>
          </cell>
        </row>
        <row r="48">
          <cell r="C48" t="str">
            <v>DIVIDEND ON SHARES</v>
          </cell>
          <cell r="D48">
            <v>0</v>
          </cell>
        </row>
        <row r="49">
          <cell r="C49" t="str">
            <v>CAPITAL GAIN ON GOVT. SECURITIES</v>
          </cell>
          <cell r="D49">
            <v>0</v>
          </cell>
        </row>
        <row r="50">
          <cell r="C50" t="str">
            <v>CAPITLA GAIN ON SHARES</v>
          </cell>
          <cell r="D50">
            <v>0</v>
          </cell>
        </row>
        <row r="51">
          <cell r="C51" t="str">
            <v>TOTAL</v>
          </cell>
          <cell r="D51">
            <v>40260</v>
          </cell>
        </row>
        <row r="53">
          <cell r="C53" t="str">
            <v>NET INTEREST RECEIVED AGAINST SECURITIES</v>
          </cell>
          <cell r="D53">
            <v>21159672</v>
          </cell>
        </row>
        <row r="55">
          <cell r="C55" t="str">
            <v>LESS:  INTEREST PAID ON BORROWINGS</v>
          </cell>
        </row>
        <row r="56">
          <cell r="C56" t="str">
            <v>INTEREST PAYABLE AGST. FIB (REPO)</v>
          </cell>
          <cell r="D56">
            <v>0</v>
          </cell>
        </row>
        <row r="57">
          <cell r="C57" t="str">
            <v>INTEREST PAYABLE AGST. PIB (REPO)</v>
          </cell>
          <cell r="D57">
            <v>982174</v>
          </cell>
        </row>
        <row r="58">
          <cell r="C58" t="str">
            <v>INTEREST PAYABLE AGST. TB (REPO)</v>
          </cell>
          <cell r="D58">
            <v>0</v>
          </cell>
        </row>
        <row r="59">
          <cell r="C59" t="str">
            <v>INTEREST PAYABLE AGST. (TFC,NIT,SHARES)   (REPO)</v>
          </cell>
          <cell r="D59">
            <v>0</v>
          </cell>
        </row>
        <row r="60">
          <cell r="C60" t="str">
            <v>INTEREST ON  REPO GOVT. SECURITIES.  ( DUIRNG THE MONTH)</v>
          </cell>
          <cell r="D60">
            <v>0</v>
          </cell>
        </row>
        <row r="61">
          <cell r="C61" t="str">
            <v xml:space="preserve">INTEREST ON CALL MONEY BORROWING </v>
          </cell>
          <cell r="D61">
            <v>0</v>
          </cell>
        </row>
        <row r="62">
          <cell r="C62" t="str">
            <v>AMORTIZATION ON FIB/PIB/TFC</v>
          </cell>
          <cell r="D62">
            <v>0</v>
          </cell>
        </row>
        <row r="63">
          <cell r="C63" t="str">
            <v>AMORTIZATION OF USD 10MIO SWAP</v>
          </cell>
          <cell r="D63">
            <v>0</v>
          </cell>
        </row>
        <row r="64">
          <cell r="C64" t="str">
            <v>TOTAL INTEREST PAID</v>
          </cell>
          <cell r="D64">
            <v>982174</v>
          </cell>
        </row>
        <row r="66">
          <cell r="C66" t="str">
            <v xml:space="preserve">INTER-BRANCH INTEREST EXSPENSES </v>
          </cell>
          <cell r="D66">
            <v>0</v>
          </cell>
        </row>
        <row r="68">
          <cell r="C68" t="str">
            <v>NET INTEREST PAID ON SECURITIES  &amp; INTER BRANCH A/C</v>
          </cell>
          <cell r="D68">
            <v>982174</v>
          </cell>
        </row>
        <row r="70">
          <cell r="C70" t="str">
            <v>NET PROFIT/(LOSS) ON MONEY MARKET &amp; EQUITY</v>
          </cell>
          <cell r="D70">
            <v>20177498</v>
          </cell>
        </row>
        <row r="73">
          <cell r="C73" t="str">
            <v>PROFIT &amp; LOSS SUMMARY OF TREASURY</v>
          </cell>
        </row>
        <row r="74">
          <cell r="C74" t="str">
            <v>FOR THE MONTH OF SEPTEMBER `2002</v>
          </cell>
        </row>
        <row r="76">
          <cell r="C76" t="str">
            <v>MONEY MARKET INTEREST RECEIVED</v>
          </cell>
          <cell r="D76">
            <v>21159672</v>
          </cell>
        </row>
        <row r="77">
          <cell r="C77" t="str">
            <v>MONEY MARKET INTEREST PAID</v>
          </cell>
          <cell r="D77">
            <v>982174</v>
          </cell>
        </row>
        <row r="78">
          <cell r="C78" t="str">
            <v>NET PROFIT/(LOSS) OF MONEY MARKET</v>
          </cell>
          <cell r="D78">
            <v>20177498</v>
          </cell>
        </row>
        <row r="80">
          <cell r="C80" t="str">
            <v>NET PROFIT/(LOSS) OF FOREIGN EXCHANGE</v>
          </cell>
          <cell r="D80">
            <v>0</v>
          </cell>
        </row>
        <row r="82">
          <cell r="C82" t="str">
            <v>OTHER MISC. INCOME</v>
          </cell>
          <cell r="D82">
            <v>0</v>
          </cell>
        </row>
        <row r="84">
          <cell r="C84" t="str">
            <v>OTHER EXPENDITURES</v>
          </cell>
          <cell r="D84">
            <v>0</v>
          </cell>
        </row>
        <row r="86">
          <cell r="C86" t="str">
            <v>NET PROFIT/(LOSS)</v>
          </cell>
          <cell r="D86">
            <v>20177498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CF"/>
      <sheetName val="SCE"/>
      <sheetName val="1-4.14"/>
      <sheetName val="5-5.3"/>
      <sheetName val="6-29.2"/>
      <sheetName val="30-33"/>
      <sheetName val="34-38.2"/>
      <sheetName val="39-43"/>
      <sheetName val="Acct"/>
      <sheetName val="Master Exch Rate &amp; Discount"/>
      <sheetName val="P&amp;L Commentary"/>
      <sheetName val="34_38_2"/>
      <sheetName val="1-4_14"/>
      <sheetName val="5-5_3"/>
      <sheetName val="6-29_2"/>
      <sheetName val="34-38_2"/>
      <sheetName val="Sheet2"/>
      <sheetName val="Sep"/>
      <sheetName val="CLV assumptions"/>
      <sheetName val="Furniture"/>
      <sheetName val="OCF wtg"/>
      <sheetName val="Detail"/>
      <sheetName val="Historical"/>
      <sheetName val="Sheet5"/>
      <sheetName val="Consol with Adjustments  (2)"/>
      <sheetName val="break up"/>
      <sheetName val="Acct(Linked)"/>
      <sheetName val="NORMAL"/>
      <sheetName val="JV-26_Est"/>
      <sheetName val="100082"/>
      <sheetName val="BACKUP DATA"/>
      <sheetName val="Exc-Smy (Mn)"/>
      <sheetName val="UA-30"/>
      <sheetName val="IS"/>
      <sheetName val="FHBM 706"/>
      <sheetName val="Merit draft accounts FINAL 28-0"/>
      <sheetName val="KeyData"/>
      <sheetName val="F&amp;F"/>
      <sheetName val="1-4_141"/>
      <sheetName val="5-5_31"/>
      <sheetName val="6-29_21"/>
      <sheetName val="34-38_21"/>
      <sheetName val="ASSUMPTION"/>
      <sheetName val="Range data"/>
      <sheetName val="Master_Exch_Rate_&amp;_Discount"/>
      <sheetName val="P&amp;L_Commentary"/>
      <sheetName val="CLV_assumptions"/>
      <sheetName val="break_up"/>
      <sheetName val="OCF_wtg"/>
      <sheetName val="Consol_with_Adjustments__(2)"/>
      <sheetName val="BACKUP_DATA"/>
      <sheetName val="1-4_142"/>
      <sheetName val="5-5_32"/>
      <sheetName val="6-29_22"/>
      <sheetName val="34-38_22"/>
      <sheetName val="Master_Exch_Rate_&amp;_Discount1"/>
      <sheetName val="P&amp;L_Commentary1"/>
      <sheetName val="CLV_assumptions1"/>
      <sheetName val="break_up1"/>
      <sheetName val="OCF_wtg1"/>
      <sheetName val="Consol_with_Adjustments__(2)1"/>
      <sheetName val="BACKUP_DATA1"/>
      <sheetName val="Exc-Smy_(Mn)"/>
      <sheetName val="FHBM_706"/>
      <sheetName val="Merit_draft_accounts_FINAL_28-0"/>
      <sheetName val="Input"/>
      <sheetName val="&lt;1&gt;Lead Schedule"/>
      <sheetName val="Capacity-24 Hrs"/>
      <sheetName val="3.2"/>
      <sheetName val="AL905"/>
      <sheetName val="Summary"/>
      <sheetName val="6-19 (2016)"/>
      <sheetName val="Set-up"/>
      <sheetName val="POWER HOUSE"/>
      <sheetName val="PUR&amp;SAL"/>
      <sheetName val="purchase"/>
      <sheetName val="KP1590_E"/>
      <sheetName val="Trial"/>
      <sheetName val="6_15"/>
      <sheetName val="6_16"/>
      <sheetName val="Sheet1"/>
      <sheetName val="Eng 25-07-08"/>
      <sheetName val="Mis&amp;G 25-07-08"/>
      <sheetName val="Mkt 25-07-08"/>
      <sheetName val="Packing&amp;Lid 25-07-08"/>
      <sheetName val="Rawm 25-07-081"/>
      <sheetName val="Fleet 25-07-08"/>
      <sheetName val="7_Equipments vouch"/>
      <sheetName val="Notional Interest"/>
      <sheetName val="Lists"/>
      <sheetName val="401(k) planner"/>
      <sheetName val="Koszty"/>
      <sheetName val="A"/>
      <sheetName val=""/>
      <sheetName val="Revenue-Fire-Marine-Motor"/>
      <sheetName val="Merit_draft_accounts_FINAL_28-1"/>
      <sheetName val="FHBM_7061"/>
      <sheetName val="3_2"/>
      <sheetName val="6-19_(2016)"/>
      <sheetName val="PPC-ORD DTL"/>
      <sheetName val="Premium GL-EL"/>
      <sheetName val="1.Lead Schedule"/>
      <sheetName val="SA Procedures"/>
      <sheetName val="MetaData"/>
      <sheetName val="Depreciation on Additions"/>
      <sheetName val="YÖN ÖZET DATA"/>
      <sheetName val="Sep2004"/>
      <sheetName val="Mapping"/>
      <sheetName val="note4-35"/>
      <sheetName val="Notional_Interest"/>
      <sheetName val="Notional_Interest1"/>
      <sheetName val="YÖN_ÖZET_DATA"/>
      <sheetName val="Menu"/>
      <sheetName val="IID-150"/>
      <sheetName val="STEEL LEDGR YTD"/>
      <sheetName val="Stock in Trade"/>
      <sheetName val="Adv to vendor"/>
      <sheetName val="GP Analysis"/>
      <sheetName val="FundsNW"/>
      <sheetName val="Accounts"/>
      <sheetName val="E"/>
      <sheetName val="2002 P3"/>
      <sheetName val="bubbleDATA"/>
      <sheetName val="1-4_143"/>
      <sheetName val="5-5_33"/>
      <sheetName val="6-29_23"/>
      <sheetName val="34-38_23"/>
      <sheetName val="3_21"/>
      <sheetName val="1-4_144"/>
      <sheetName val="5-5_34"/>
      <sheetName val="6-29_24"/>
      <sheetName val="34-38_24"/>
      <sheetName val="P&amp;L_Commentary2"/>
      <sheetName val="FHBM_7062"/>
      <sheetName val="Merit_draft_accounts_FINAL_28-2"/>
      <sheetName val="6-19_(2016)1"/>
      <sheetName val="3_22"/>
      <sheetName val="2002_P3"/>
      <sheetName val="Data"/>
      <sheetName val="Ratios Data"/>
      <sheetName val="MarchSL904"/>
      <sheetName val="Other Recievable"/>
      <sheetName val="Annex(1)"/>
      <sheetName val="(B-1)-Lead Sheet"/>
      <sheetName val="POWER_HOUSE"/>
      <sheetName val="Range_data"/>
      <sheetName val="Exc-Smy_(Mn)1"/>
      <sheetName val="Range_data1"/>
      <sheetName val="TBPRICE"/>
      <sheetName val="Q1"/>
      <sheetName val="DS_details"/>
      <sheetName val="Bank"/>
      <sheetName val="Reference"/>
      <sheetName val="SUMM-2"/>
      <sheetName val="FG"/>
      <sheetName val="Notes1-5"/>
      <sheetName val="#REF"/>
      <sheetName val="Other_Recievable"/>
      <sheetName val="Abu Dhabi"/>
      <sheetName val="PLBS"/>
      <sheetName val="CARs' 99 Summary Info. (B&amp;A)"/>
      <sheetName val="Rates"/>
      <sheetName val="NOTES"/>
      <sheetName val="XREF"/>
      <sheetName val="pns fu disc "/>
      <sheetName val="Ассоциированные"/>
      <sheetName val="Databank"/>
      <sheetName val="NOTES 9"/>
      <sheetName val="Midi and DPS parts"/>
      <sheetName val="Creditors Listing"/>
      <sheetName val="ADC (Wanda) Dropped Sites"/>
      <sheetName val="Verification"/>
      <sheetName val="Links"/>
      <sheetName val="Lead"/>
      <sheetName val="Balance Sheet"/>
      <sheetName val="General"/>
      <sheetName val="HM （ローカルスタッフ）"/>
      <sheetName val="IFC Only"/>
      <sheetName val="SAP ENTRY"/>
      <sheetName val="Model Paramters"/>
      <sheetName val="JV"/>
      <sheetName val="BUs in Com Imp WO SS CS"/>
      <sheetName val="&lt;1&gt;Lead_Schedule"/>
      <sheetName val="POWER_HOUSE1"/>
      <sheetName val="&lt;1&gt;Lead_Schedule1"/>
      <sheetName val="1-4_145"/>
      <sheetName val="5-5_35"/>
      <sheetName val="6-29_25"/>
      <sheetName val="34-38_25"/>
      <sheetName val="P&amp;L_Commentary3"/>
      <sheetName val="Master_Exch_Rate_&amp;_Discount2"/>
      <sheetName val="Merit_draft_accounts_FINAL_28-3"/>
      <sheetName val="FHBM_7063"/>
      <sheetName val="CLV_assumptions2"/>
      <sheetName val="OCF_wtg2"/>
      <sheetName val="Consol_with_Adjustments__(2)2"/>
      <sheetName val="Range_data2"/>
      <sheetName val="Exc-Smy_(Mn)2"/>
      <sheetName val="break_up2"/>
      <sheetName val="BACKUP_DATA2"/>
      <sheetName val="POWER_HOUSE2"/>
      <sheetName val="&lt;1&gt;Lead_Schedule2"/>
      <sheetName val="6-19_(2016)2"/>
      <sheetName val="3_23"/>
      <sheetName val="Revised Budget as per CNPP"/>
      <sheetName val="Stocks-01"/>
      <sheetName val="DISPOSAL"/>
      <sheetName val="LOSSES"/>
      <sheetName val="Capacity-24_Hrs"/>
      <sheetName val="PPC-ORD_DTL"/>
      <sheetName val="Capacity-24_Hrs1"/>
      <sheetName val="PPC-ORD_DTL1"/>
      <sheetName val="Capacity-24_Hrs2"/>
      <sheetName val="PPC-ORD_DTL2"/>
      <sheetName val="1-4_146"/>
      <sheetName val="5-5_36"/>
      <sheetName val="6-29_26"/>
      <sheetName val="34-38_26"/>
      <sheetName val="P&amp;L_Commentary4"/>
      <sheetName val="Master_Exch_Rate_&amp;_Discount3"/>
      <sheetName val="Capacity-24_Hrs3"/>
      <sheetName val="CLV_assumptions3"/>
      <sheetName val="OCF_wtg3"/>
      <sheetName val="Consol_with_Adjustments__(2)3"/>
      <sheetName val="&lt;1&gt;Lead_Schedule3"/>
      <sheetName val="3_24"/>
      <sheetName val="PPC-ORD_DTL3"/>
      <sheetName val="Range_data3"/>
      <sheetName val="6-19_(2016)3"/>
      <sheetName val="Exc-Smy_(Mn)3"/>
      <sheetName val="1-4_147"/>
      <sheetName val="5-5_37"/>
      <sheetName val="6-29_27"/>
      <sheetName val="34-38_27"/>
      <sheetName val="P&amp;L_Commentary5"/>
      <sheetName val="Master_Exch_Rate_&amp;_Discount4"/>
      <sheetName val="Capacity-24_Hrs4"/>
      <sheetName val="CLV_assumptions4"/>
      <sheetName val="OCF_wtg4"/>
      <sheetName val="Consol_with_Adjustments__(2)4"/>
      <sheetName val="Merit_draft_accounts_FINAL_28-4"/>
      <sheetName val="FHBM_7064"/>
      <sheetName val="&lt;1&gt;Lead_Schedule4"/>
      <sheetName val="3_25"/>
      <sheetName val="PPC-ORD_DTL4"/>
      <sheetName val="Range_data4"/>
      <sheetName val="6-19_(2016)4"/>
      <sheetName val="Exc-Smy_(Mn)4"/>
      <sheetName val="401(k)_planner"/>
      <sheetName val="1-4_149"/>
      <sheetName val="5-5_39"/>
      <sheetName val="6-29_29"/>
      <sheetName val="34-38_29"/>
      <sheetName val="P&amp;L_Commentary7"/>
      <sheetName val="Master_Exch_Rate_&amp;_Discount6"/>
      <sheetName val="Capacity-24_Hrs6"/>
      <sheetName val="CLV_assumptions6"/>
      <sheetName val="OCF_wtg6"/>
      <sheetName val="Consol_with_Adjustments__(2)6"/>
      <sheetName val="Merit_draft_accounts_FINAL_28-6"/>
      <sheetName val="FHBM_7066"/>
      <sheetName val="&lt;1&gt;Lead_Schedule6"/>
      <sheetName val="3_27"/>
      <sheetName val="PPC-ORD_DTL6"/>
      <sheetName val="Range_data6"/>
      <sheetName val="6-19_(2016)6"/>
      <sheetName val="Exc-Smy_(Mn)6"/>
      <sheetName val="401(k)_planner2"/>
      <sheetName val="1-4_148"/>
      <sheetName val="5-5_38"/>
      <sheetName val="6-29_28"/>
      <sheetName val="34-38_28"/>
      <sheetName val="P&amp;L_Commentary6"/>
      <sheetName val="Master_Exch_Rate_&amp;_Discount5"/>
      <sheetName val="Capacity-24_Hrs5"/>
      <sheetName val="CLV_assumptions5"/>
      <sheetName val="OCF_wtg5"/>
      <sheetName val="Consol_with_Adjustments__(2)5"/>
      <sheetName val="Merit_draft_accounts_FINAL_28-5"/>
      <sheetName val="FHBM_7065"/>
      <sheetName val="&lt;1&gt;Lead_Schedule5"/>
      <sheetName val="3_26"/>
      <sheetName val="PPC-ORD_DTL5"/>
      <sheetName val="Range_data5"/>
      <sheetName val="6-19_(2016)5"/>
      <sheetName val="Exc-Smy_(Mn)5"/>
      <sheetName val="401(k)_planner1"/>
      <sheetName val="社員リスト"/>
      <sheetName val="Definicije"/>
      <sheetName val="Salesdata"/>
      <sheetName val="Recievabledata"/>
      <sheetName val="HRdata"/>
      <sheetName val="Sheet2 (2)"/>
      <sheetName val="BScN Local Students"/>
      <sheetName val="1-bwb(cb)"/>
      <sheetName val="Notional_Interest2"/>
      <sheetName val="2002_P31"/>
      <sheetName val="Ratios_Data"/>
      <sheetName val="Other_Recievable1"/>
      <sheetName val="(B-1)-Lead_Sheet"/>
      <sheetName val="Eng_25-07-08"/>
      <sheetName val="Mis&amp;G_25-07-08"/>
      <sheetName val="Mkt_25-07-08"/>
      <sheetName val="Packing&amp;Lid_25-07-08"/>
      <sheetName val="Rawm_25-07-081"/>
      <sheetName val="Fleet_25-07-08"/>
      <sheetName val="7_Equipments_vouch"/>
      <sheetName val="YÖN_ÖZET_DATA1"/>
      <sheetName val="Non-Statistical Sampling"/>
      <sheetName val="AR Drop Downs"/>
      <sheetName val="Lead Sheet"/>
      <sheetName val="Pharma - Govt"/>
      <sheetName val="Defination"/>
      <sheetName val="Parameters"/>
      <sheetName val="Notes 1-3,4.3-24,26-28"/>
      <sheetName val="PL"/>
      <sheetName val="Monthly Dep"/>
      <sheetName val="dropdownlist"/>
      <sheetName val="MUS Population"/>
      <sheetName val="ASSETS"/>
      <sheetName val="O-H"/>
      <sheetName val="HT2"/>
      <sheetName val="Std. Tlng"/>
      <sheetName val="8180 (8181,8182)"/>
      <sheetName val="8082"/>
      <sheetName val="8250"/>
      <sheetName val="8140"/>
      <sheetName val="8070"/>
      <sheetName val="8145"/>
      <sheetName val="8200"/>
      <sheetName val="8113"/>
      <sheetName val="8210"/>
      <sheetName val="TL"/>
      <sheetName val="note 4,5"/>
      <sheetName val="SLRY"/>
      <sheetName val="Model_Paramters"/>
      <sheetName val="Abu_Dhabi"/>
      <sheetName val="CARs'_99_Summary_Info__(B&amp;A)"/>
      <sheetName val="pns_fu_disc_"/>
      <sheetName val="NOTES_9"/>
      <sheetName val="Midi_and_DPS_parts"/>
      <sheetName val="Creditors_Listing"/>
      <sheetName val="ADC_(Wanda)_Dropped_Sites"/>
      <sheetName val="BUs_in_Com_Imp_WO_SS_CS"/>
      <sheetName val="Revised_Budget_as_per_CNPP"/>
      <sheetName val="Prepaid Sheet"/>
      <sheetName val="Lead_Sheet"/>
      <sheetName val="TRAIL30310 (2)"/>
      <sheetName val="GP"/>
      <sheetName val="Exchange rate"/>
      <sheetName val="Printed ac"/>
      <sheetName val="1-4_1410"/>
      <sheetName val="5-5_310"/>
      <sheetName val="6-29_210"/>
      <sheetName val="34-38_210"/>
      <sheetName val="P&amp;L_Commentary8"/>
      <sheetName val="Master_Exch_Rate_&amp;_Discount7"/>
      <sheetName val="Capacity-24_Hrs7"/>
      <sheetName val="CLV_assumptions7"/>
      <sheetName val="OCF_wtg7"/>
      <sheetName val="Consol_with_Adjustments__(2)7"/>
      <sheetName val="Merit_draft_accounts_FINAL_28-7"/>
      <sheetName val="FHBM_7067"/>
      <sheetName val="&lt;1&gt;Lead_Schedule7"/>
      <sheetName val="3_28"/>
      <sheetName val="PPC-ORD_DTL7"/>
      <sheetName val="Range_data7"/>
      <sheetName val="6-19_(2016)7"/>
      <sheetName val="Exc-Smy_(Mn)7"/>
      <sheetName val="POWER_HOUSE3"/>
      <sheetName val="break_up3"/>
      <sheetName val="BACKUP_DATA3"/>
      <sheetName val="401(k)_planner3"/>
      <sheetName val="encl.11b - OLD int.recap."/>
      <sheetName val="GLOBAL BUDGET I.T. 2003"/>
      <sheetName val="K15.Inter - Bal-Br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4-38.2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"/>
      <sheetName val="STkTrdNW"/>
      <sheetName val="Stock Quantity"/>
      <sheetName val="Stock in Trade"/>
      <sheetName val="Tax"/>
      <sheetName val="Income Tax"/>
      <sheetName val="DTLBSNW"/>
      <sheetName val="Adv to vendor"/>
      <sheetName val="BSNW"/>
      <sheetName val="Balance Sheet"/>
      <sheetName val="Assets Liab"/>
      <sheetName val="Other Income"/>
      <sheetName val="Cash Flow  HOH"/>
      <sheetName val="Prov Liab"/>
      <sheetName val="Dealers Sumry"/>
      <sheetName val="Dealer Agencies"/>
      <sheetName val="PNL Taksh"/>
      <sheetName val="HOH Balance She"/>
      <sheetName val="HOH     P  L"/>
      <sheetName val="FixedAssets"/>
      <sheetName val="Budget 2001-02"/>
      <sheetName val="Half yearly "/>
      <sheetName val="Ratio Analysis"/>
      <sheetName val="Statiscal Data"/>
      <sheetName val="CKD Tax Comput"/>
      <sheetName val="Deferred Tax"/>
      <sheetName val="ProfitProv"/>
      <sheetName val="DTLP&amp;LNW"/>
      <sheetName val="P&amp;LNW"/>
      <sheetName val="ProdlineNW"/>
      <sheetName val="Profit Loss"/>
      <sheetName val="Final Accounts"/>
      <sheetName val="GP Analysis"/>
      <sheetName val="Summary Gp Anal"/>
      <sheetName val="FundsNW"/>
      <sheetName val="CFNW"/>
      <sheetName val="MISJUL2"/>
      <sheetName val="P&amp;L Commentary"/>
      <sheetName val="P&amp;L"/>
      <sheetName val="Excel_BuiltIn_Print_Area_44"/>
      <sheetName val="Break-up"/>
      <sheetName val="adm "/>
      <sheetName val="Toyota PL ckd"/>
      <sheetName val="TOTAL P&amp;L"/>
      <sheetName val="Input"/>
      <sheetName val="Invetory level"/>
      <sheetName val="Note 4-5"/>
      <sheetName val="34-38.2"/>
      <sheetName val="F&amp;F"/>
      <sheetName val="98aug-M2"/>
      <sheetName val="Revenue-Fire-Marine-Motor"/>
      <sheetName val="100082"/>
      <sheetName val="Main 01-02"/>
      <sheetName val="Trial"/>
      <sheetName val="PLC"/>
      <sheetName val="MAIN"/>
      <sheetName val="Lists"/>
      <sheetName val="co"/>
      <sheetName val="WIP"/>
      <sheetName val="Adv_to_vendor"/>
      <sheetName val="Stock_in_Trade"/>
      <sheetName val="GP_Analysis"/>
      <sheetName val="NORMAL"/>
      <sheetName val="acct"/>
      <sheetName val="Acquirer"/>
      <sheetName val="Combined"/>
      <sheetName val="Target"/>
      <sheetName val="Aging Overdue"/>
      <sheetName val="Parts list"/>
      <sheetName val="list"/>
      <sheetName val="Grouping of adv products"/>
      <sheetName val="Region"/>
      <sheetName val="Notes 1"/>
      <sheetName val="TAX COM"/>
      <sheetName val="LOCAL STUDENTS"/>
      <sheetName val="E10.2 &amp; E10.3"/>
      <sheetName val="Cons. Lead BS"/>
      <sheetName val="Stock_Quantity"/>
      <sheetName val="Income_Tax"/>
      <sheetName val="Balance_Sheet"/>
      <sheetName val="Assets_Liab"/>
      <sheetName val="Other_Income"/>
      <sheetName val="Cash_Flow__HOH"/>
      <sheetName val="Prov_Liab"/>
      <sheetName val="Dealers_Sumry"/>
      <sheetName val="Dealer_Agencies"/>
      <sheetName val="PNL_Taksh"/>
      <sheetName val="HOH_Balance_She"/>
      <sheetName val="HOH_____P__L"/>
      <sheetName val="Budget_2001-02"/>
      <sheetName val="Half_yearly_"/>
      <sheetName val="Ratio_Analysis"/>
      <sheetName val="Statiscal_Data"/>
      <sheetName val="CKD_Tax_Comput"/>
      <sheetName val="Deferred_Tax"/>
      <sheetName val="Profit_Loss"/>
      <sheetName val="Final_Accounts"/>
      <sheetName val="Summary_Gp_Anal"/>
      <sheetName val="P&amp;L_Commentary"/>
      <sheetName val="MAIN-QUOTdwgs (2)"/>
      <sheetName val="NOTES"/>
      <sheetName val="Reference Labels"/>
      <sheetName val="CAP Base Sheet YTD"/>
      <sheetName val="Furniture"/>
      <sheetName val="Deferred Tax-2005"/>
      <sheetName val="Other Payments"/>
      <sheetName val="Overhead"/>
      <sheetName val="AU"/>
      <sheetName val="AP"/>
      <sheetName val="Sheet1"/>
      <sheetName val="Rates"/>
      <sheetName val="Lead"/>
      <sheetName val="Links"/>
      <sheetName val="Non-Statistical Sampling"/>
      <sheetName val="Note6-8.2"/>
      <sheetName val="Printed ac"/>
      <sheetName val="Other Data"/>
      <sheetName val="TAX WDV 2002"/>
      <sheetName val="2000_ Projects Summary"/>
      <sheetName val="Capital Cost (Unit-2)"/>
      <sheetName val="Adv_to_vendor1"/>
      <sheetName val="GP_Analysis1"/>
      <sheetName val="Stock_in_Trade1"/>
      <sheetName val="FAC OVERHEAD"/>
      <sheetName val="Equiv.Length"/>
      <sheetName val="Annex(1)"/>
      <sheetName val="SUMM-2"/>
      <sheetName val="BS-OVS"/>
      <sheetName val="ADJ"/>
      <sheetName val="TRans"/>
      <sheetName val="Adv_to_vendor2"/>
      <sheetName val="GP_Analysis2"/>
      <sheetName val="Stock_in_Trade2"/>
      <sheetName val="Stock_Quantity1"/>
      <sheetName val="Stock_in_Trade3"/>
      <sheetName val="Income_Tax1"/>
      <sheetName val="Adv_to_vendor3"/>
      <sheetName val="Balance_Sheet1"/>
      <sheetName val="Assets_Liab1"/>
      <sheetName val="Other_Income1"/>
      <sheetName val="Cash_Flow__HOH1"/>
      <sheetName val="Prov_Liab1"/>
      <sheetName val="Dealers_Sumry1"/>
      <sheetName val="Dealer_Agencies1"/>
      <sheetName val="PNL_Taksh1"/>
      <sheetName val="HOH_Balance_She1"/>
      <sheetName val="HOH_____P__L1"/>
      <sheetName val="Budget_2001-021"/>
      <sheetName val="Half_yearly_1"/>
      <sheetName val="Ratio_Analysis1"/>
      <sheetName val="Statiscal_Data1"/>
      <sheetName val="CKD_Tax_Comput1"/>
      <sheetName val="Deferred_Tax1"/>
      <sheetName val="Profit_Loss1"/>
      <sheetName val="Final_Accounts1"/>
      <sheetName val="GP_Analysis3"/>
      <sheetName val="Summary_Gp_Anal1"/>
      <sheetName val="P&amp;L_Commentary1"/>
      <sheetName val="Main_01-02"/>
      <sheetName val="Toyota_PL_ckd"/>
      <sheetName val="TOTAL_P&amp;L"/>
      <sheetName val="Invetory_level"/>
      <sheetName val="adm_"/>
      <sheetName val="Note_4-5"/>
      <sheetName val="Parts_list"/>
      <sheetName val="TAX_COM"/>
      <sheetName val="Cons__Lead_BS"/>
      <sheetName val="E10_2_&amp;_E10_3"/>
      <sheetName val="34-38_2"/>
      <sheetName val="Grouping_of_adv_products"/>
      <sheetName val="Notes_1"/>
      <sheetName val="LOCAL_STUDENTS"/>
      <sheetName val="MAIN-QUOTdwgs_(2)"/>
      <sheetName val="Non-Statistical_Sampling"/>
      <sheetName val="Other_Payments"/>
      <sheetName val="CHEMIFIN"/>
      <sheetName val="PL "/>
      <sheetName val="Ac Input"/>
      <sheetName val="VAR_94BU"/>
      <sheetName val="Scoping"/>
      <sheetName val="Drop down"/>
      <sheetName val="Summary"/>
      <sheetName val="08"/>
      <sheetName val="A"/>
      <sheetName val="clr Agent"/>
      <sheetName val="Green Tyre Curing"/>
      <sheetName val="大楼分录"/>
      <sheetName val="recn"/>
      <sheetName val="Stock_Quantity5"/>
      <sheetName val="Stock_in_Trade7"/>
      <sheetName val="Income_Tax5"/>
      <sheetName val="Adv_to_vendor7"/>
      <sheetName val="Balance_Sheet5"/>
      <sheetName val="Assets_Liab5"/>
      <sheetName val="Other_Income5"/>
      <sheetName val="Cash_Flow__HOH5"/>
      <sheetName val="Prov_Liab5"/>
      <sheetName val="Dealers_Sumry5"/>
      <sheetName val="Dealer_Agencies5"/>
      <sheetName val="PNL_Taksh5"/>
      <sheetName val="HOH_Balance_She5"/>
      <sheetName val="HOH_____P__L5"/>
      <sheetName val="Budget_2001-025"/>
      <sheetName val="Half_yearly_5"/>
      <sheetName val="Ratio_Analysis5"/>
      <sheetName val="Statiscal_Data5"/>
      <sheetName val="CKD_Tax_Comput5"/>
      <sheetName val="Deferred_Tax5"/>
      <sheetName val="Profit_Loss5"/>
      <sheetName val="Final_Accounts5"/>
      <sheetName val="GP_Analysis7"/>
      <sheetName val="Summary_Gp_Anal5"/>
      <sheetName val="P&amp;L_Commentary5"/>
      <sheetName val="Note_4-54"/>
      <sheetName val="adm_4"/>
      <sheetName val="Toyota_PL_ckd4"/>
      <sheetName val="TOTAL_P&amp;L4"/>
      <sheetName val="Invetory_level4"/>
      <sheetName val="Main_01-024"/>
      <sheetName val="Parts_list4"/>
      <sheetName val="TAX_COM4"/>
      <sheetName val="Cons__Lead_BS4"/>
      <sheetName val="E10_2_&amp;_E10_34"/>
      <sheetName val="34-38_24"/>
      <sheetName val="Grouping_of_adv_products4"/>
      <sheetName val="Notes_14"/>
      <sheetName val="LOCAL_STUDENTS4"/>
      <sheetName val="MAIN-QUOTdwgs_(2)4"/>
      <sheetName val="Non-Statistical_Sampling4"/>
      <sheetName val="Other_Payments4"/>
      <sheetName val="Stock_Quantity4"/>
      <sheetName val="Stock_in_Trade6"/>
      <sheetName val="Income_Tax4"/>
      <sheetName val="Adv_to_vendor6"/>
      <sheetName val="Balance_Sheet4"/>
      <sheetName val="Assets_Liab4"/>
      <sheetName val="Other_Income4"/>
      <sheetName val="Cash_Flow__HOH4"/>
      <sheetName val="Prov_Liab4"/>
      <sheetName val="Dealers_Sumry4"/>
      <sheetName val="Dealer_Agencies4"/>
      <sheetName val="PNL_Taksh4"/>
      <sheetName val="HOH_Balance_She4"/>
      <sheetName val="HOH_____P__L4"/>
      <sheetName val="Budget_2001-024"/>
      <sheetName val="Half_yearly_4"/>
      <sheetName val="Ratio_Analysis4"/>
      <sheetName val="Statiscal_Data4"/>
      <sheetName val="CKD_Tax_Comput4"/>
      <sheetName val="Deferred_Tax4"/>
      <sheetName val="Profit_Loss4"/>
      <sheetName val="Final_Accounts4"/>
      <sheetName val="GP_Analysis6"/>
      <sheetName val="Summary_Gp_Anal4"/>
      <sheetName val="P&amp;L_Commentary4"/>
      <sheetName val="Main_01-023"/>
      <sheetName val="Toyota_PL_ckd3"/>
      <sheetName val="TOTAL_P&amp;L3"/>
      <sheetName val="Invetory_level3"/>
      <sheetName val="adm_3"/>
      <sheetName val="Note_4-53"/>
      <sheetName val="Parts_list3"/>
      <sheetName val="TAX_COM3"/>
      <sheetName val="Cons__Lead_BS3"/>
      <sheetName val="E10_2_&amp;_E10_33"/>
      <sheetName val="34-38_23"/>
      <sheetName val="Grouping_of_adv_products3"/>
      <sheetName val="Notes_13"/>
      <sheetName val="LOCAL_STUDENTS3"/>
      <sheetName val="MAIN-QUOTdwgs_(2)3"/>
      <sheetName val="Non-Statistical_Sampling3"/>
      <sheetName val="Other_Payments3"/>
      <sheetName val="Stock_Quantity2"/>
      <sheetName val="Stock_in_Trade4"/>
      <sheetName val="Income_Tax2"/>
      <sheetName val="Adv_to_vendor4"/>
      <sheetName val="Balance_Sheet2"/>
      <sheetName val="Assets_Liab2"/>
      <sheetName val="Other_Income2"/>
      <sheetName val="Cash_Flow__HOH2"/>
      <sheetName val="Prov_Liab2"/>
      <sheetName val="Dealers_Sumry2"/>
      <sheetName val="Dealer_Agencies2"/>
      <sheetName val="PNL_Taksh2"/>
      <sheetName val="HOH_Balance_She2"/>
      <sheetName val="HOH_____P__L2"/>
      <sheetName val="Budget_2001-022"/>
      <sheetName val="Half_yearly_2"/>
      <sheetName val="Ratio_Analysis2"/>
      <sheetName val="Statiscal_Data2"/>
      <sheetName val="CKD_Tax_Comput2"/>
      <sheetName val="Deferred_Tax2"/>
      <sheetName val="Profit_Loss2"/>
      <sheetName val="Final_Accounts2"/>
      <sheetName val="GP_Analysis4"/>
      <sheetName val="Summary_Gp_Anal2"/>
      <sheetName val="P&amp;L_Commentary2"/>
      <sheetName val="Main_01-021"/>
      <sheetName val="Toyota_PL_ckd1"/>
      <sheetName val="TOTAL_P&amp;L1"/>
      <sheetName val="Invetory_level1"/>
      <sheetName val="adm_1"/>
      <sheetName val="Note_4-51"/>
      <sheetName val="Parts_list1"/>
      <sheetName val="TAX_COM1"/>
      <sheetName val="Cons__Lead_BS1"/>
      <sheetName val="E10_2_&amp;_E10_31"/>
      <sheetName val="34-38_21"/>
      <sheetName val="Grouping_of_adv_products1"/>
      <sheetName val="Notes_11"/>
      <sheetName val="LOCAL_STUDENTS1"/>
      <sheetName val="MAIN-QUOTdwgs_(2)1"/>
      <sheetName val="Non-Statistical_Sampling1"/>
      <sheetName val="Other_Payments1"/>
      <sheetName val="Stock_Quantity3"/>
      <sheetName val="Stock_in_Trade5"/>
      <sheetName val="Income_Tax3"/>
      <sheetName val="Adv_to_vendor5"/>
      <sheetName val="Balance_Sheet3"/>
      <sheetName val="Assets_Liab3"/>
      <sheetName val="Other_Income3"/>
      <sheetName val="Cash_Flow__HOH3"/>
      <sheetName val="Prov_Liab3"/>
      <sheetName val="Dealers_Sumry3"/>
      <sheetName val="Dealer_Agencies3"/>
      <sheetName val="PNL_Taksh3"/>
      <sheetName val="HOH_Balance_She3"/>
      <sheetName val="HOH_____P__L3"/>
      <sheetName val="Budget_2001-023"/>
      <sheetName val="Half_yearly_3"/>
      <sheetName val="Ratio_Analysis3"/>
      <sheetName val="Statiscal_Data3"/>
      <sheetName val="CKD_Tax_Comput3"/>
      <sheetName val="Deferred_Tax3"/>
      <sheetName val="Profit_Loss3"/>
      <sheetName val="Final_Accounts3"/>
      <sheetName val="GP_Analysis5"/>
      <sheetName val="Summary_Gp_Anal3"/>
      <sheetName val="P&amp;L_Commentary3"/>
      <sheetName val="Main_01-022"/>
      <sheetName val="Toyota_PL_ckd2"/>
      <sheetName val="TOTAL_P&amp;L2"/>
      <sheetName val="Invetory_level2"/>
      <sheetName val="adm_2"/>
      <sheetName val="Note_4-52"/>
      <sheetName val="Parts_list2"/>
      <sheetName val="TAX_COM2"/>
      <sheetName val="Cons__Lead_BS2"/>
      <sheetName val="E10_2_&amp;_E10_32"/>
      <sheetName val="34-38_22"/>
      <sheetName val="Grouping_of_adv_products2"/>
      <sheetName val="Notes_12"/>
      <sheetName val="LOCAL_STUDENTS2"/>
      <sheetName val="MAIN-QUOTdwgs_(2)2"/>
      <sheetName val="Non-Statistical_Sampling2"/>
      <sheetName val="Other_Payments2"/>
      <sheetName val="COS"/>
      <sheetName val="SLRY"/>
      <sheetName val="Augbkp98"/>
      <sheetName val="PL"/>
      <sheetName val="LEDGER"/>
      <sheetName val="PRL"/>
      <sheetName val="Setup1"/>
      <sheetName val="LP"/>
      <sheetName val="ADVANCE"/>
      <sheetName val="CREDITORS"/>
      <sheetName val="INVEST"/>
      <sheetName val="JV-26_Est"/>
      <sheetName val="Draft acctts"/>
      <sheetName val="HM （ローカルスタッフ）"/>
      <sheetName val="HM (駐在員データ)"/>
      <sheetName val="Premium GL-EL"/>
      <sheetName val="&lt;1&gt;Lead Schedule"/>
      <sheetName val="KFR"/>
      <sheetName val="CARs' 99 Summary Info. (B&amp;A)"/>
      <sheetName val="Bill"/>
      <sheetName val="READING"/>
      <sheetName val="DETAILS"/>
      <sheetName val="admin cross"/>
      <sheetName val="Manu Crss"/>
      <sheetName val="Movement schedule"/>
      <sheetName val="Product mapping"/>
      <sheetName val="Currency mapping"/>
      <sheetName val="OTR.CRED."/>
      <sheetName val="break up"/>
      <sheetName val="PURCHASES"/>
      <sheetName val="Stock_Quantity6"/>
      <sheetName val="Stock_in_Trade8"/>
      <sheetName val="Income_Tax6"/>
      <sheetName val="Adv_to_vendor8"/>
      <sheetName val="Balance_Sheet6"/>
      <sheetName val="Assets_Liab6"/>
      <sheetName val="Other_Income6"/>
      <sheetName val="Cash_Flow__HOH6"/>
      <sheetName val="Prov_Liab6"/>
      <sheetName val="Dealers_Sumry6"/>
      <sheetName val="Dealer_Agencies6"/>
      <sheetName val="PNL_Taksh6"/>
      <sheetName val="HOH_Balance_She6"/>
      <sheetName val="HOH_____P__L6"/>
      <sheetName val="Budget_2001-026"/>
      <sheetName val="Half_yearly_6"/>
      <sheetName val="Ratio_Analysis6"/>
      <sheetName val="Statiscal_Data6"/>
      <sheetName val="CKD_Tax_Comput6"/>
      <sheetName val="Deferred_Tax6"/>
      <sheetName val="Profit_Loss6"/>
      <sheetName val="Final_Accounts6"/>
      <sheetName val="GP_Analysis8"/>
      <sheetName val="Summary_Gp_Anal6"/>
      <sheetName val="P&amp;L_Commentary6"/>
      <sheetName val="Main_01-025"/>
      <sheetName val="Toyota_PL_ckd5"/>
      <sheetName val="TOTAL_P&amp;L5"/>
      <sheetName val="Invetory_level5"/>
      <sheetName val="adm_5"/>
      <sheetName val="Note_4-55"/>
      <sheetName val="TAX_COM5"/>
      <sheetName val="Parts_list5"/>
      <sheetName val="Cons__Lead_BS5"/>
      <sheetName val="E10_2_&amp;_E10_35"/>
      <sheetName val="34-38_25"/>
      <sheetName val="Grouping_of_adv_products5"/>
      <sheetName val="Notes_15"/>
      <sheetName val="LOCAL_STUDENTS5"/>
      <sheetName val="MAIN-QUOTdwgs_(2)5"/>
      <sheetName val="Non-Statistical_Sampling5"/>
      <sheetName val="Other_Payments5"/>
      <sheetName val="Income Statement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2">
          <cell r="A2" t="str">
            <v>INDUS MOTOR COMPANY LIMITED</v>
          </cell>
        </row>
      </sheetData>
      <sheetData sheetId="78">
        <row r="2">
          <cell r="A2" t="str">
            <v>INDUS MOTOR COMPANY LIMITED</v>
          </cell>
        </row>
      </sheetData>
      <sheetData sheetId="79">
        <row r="2">
          <cell r="A2" t="str">
            <v>INDUS MOTOR COMPANY LIMITED</v>
          </cell>
        </row>
      </sheetData>
      <sheetData sheetId="80">
        <row r="2">
          <cell r="A2" t="str">
            <v>INDUS MOTOR COMPANY LIMITED</v>
          </cell>
        </row>
      </sheetData>
      <sheetData sheetId="81">
        <row r="2">
          <cell r="A2" t="str">
            <v>INDUS MOTOR COMPANY LIMITED</v>
          </cell>
        </row>
      </sheetData>
      <sheetData sheetId="82">
        <row r="2">
          <cell r="A2" t="str">
            <v>INDUS MOTOR COMPANY LIMITED</v>
          </cell>
        </row>
      </sheetData>
      <sheetData sheetId="83">
        <row r="2">
          <cell r="A2" t="str">
            <v>INDUS MOTOR COMPANY LIMITED</v>
          </cell>
        </row>
      </sheetData>
      <sheetData sheetId="84">
        <row r="2">
          <cell r="A2" t="str">
            <v>INDUS MOTOR COMPANY LIMITED</v>
          </cell>
        </row>
      </sheetData>
      <sheetData sheetId="85">
        <row r="2">
          <cell r="A2" t="str">
            <v>INDUS MOTOR COMPANY LIMITED</v>
          </cell>
        </row>
      </sheetData>
      <sheetData sheetId="86">
        <row r="2">
          <cell r="A2" t="str">
            <v>INDUS MOTOR COMPANY LIMITED</v>
          </cell>
        </row>
      </sheetData>
      <sheetData sheetId="87">
        <row r="2">
          <cell r="A2" t="str">
            <v>INDUS MOTOR COMPANY LIMITED</v>
          </cell>
        </row>
      </sheetData>
      <sheetData sheetId="88">
        <row r="2">
          <cell r="A2" t="str">
            <v>INDUS MOTOR COMPANY LIMITED</v>
          </cell>
        </row>
      </sheetData>
      <sheetData sheetId="89">
        <row r="2">
          <cell r="A2" t="str">
            <v>INDUS MOTOR COMPANY LIMITED</v>
          </cell>
        </row>
      </sheetData>
      <sheetData sheetId="90">
        <row r="2">
          <cell r="A2" t="str">
            <v>INDUS MOTOR COMPANY LIMITED</v>
          </cell>
        </row>
      </sheetData>
      <sheetData sheetId="91">
        <row r="2">
          <cell r="A2" t="str">
            <v>INDUS MOTOR COMPANY LIMITED</v>
          </cell>
        </row>
      </sheetData>
      <sheetData sheetId="92">
        <row r="2">
          <cell r="A2" t="str">
            <v>INDUS MOTOR COMPANY LIMITED</v>
          </cell>
        </row>
      </sheetData>
      <sheetData sheetId="93">
        <row r="2">
          <cell r="A2" t="str">
            <v>INDUS MOTOR COMPANY LIMITED</v>
          </cell>
        </row>
      </sheetData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(2)"/>
      <sheetName val="Summary"/>
      <sheetName val="Forecasted + Realized Savings"/>
      <sheetName val="Bank Profits "/>
      <sheetName val="TDR"/>
      <sheetName val="T-Bill Data"/>
      <sheetName val="TB AS OF 31ST OCT"/>
      <sheetName val="PF"/>
      <sheetName val="Tbills Realized"/>
      <sheetName val="T bills Accrued"/>
    </sheetNames>
    <sheetDataSet>
      <sheetData sheetId="0"/>
      <sheetData sheetId="1"/>
      <sheetData sheetId="2"/>
      <sheetData sheetId="3"/>
      <sheetData sheetId="4"/>
      <sheetData sheetId="5"/>
      <sheetData sheetId="6">
        <row r="542">
          <cell r="N542">
            <v>-68360346.799999997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S28"/>
  <sheetViews>
    <sheetView zoomScale="70" zoomScaleNormal="83" workbookViewId="0">
      <selection activeCell="C8" sqref="C8"/>
    </sheetView>
  </sheetViews>
  <sheetFormatPr defaultRowHeight="14.4"/>
  <cols>
    <col min="1" max="1" width="2.88671875" customWidth="1"/>
    <col min="2" max="2" width="15.88671875" bestFit="1" customWidth="1"/>
    <col min="3" max="13" width="13.33203125" bestFit="1" customWidth="1"/>
    <col min="14" max="14" width="15.88671875" bestFit="1" customWidth="1"/>
    <col min="15" max="15" width="13.88671875" bestFit="1" customWidth="1"/>
    <col min="16" max="16" width="18.44140625" customWidth="1"/>
    <col min="17" max="17" width="16.88671875" bestFit="1" customWidth="1"/>
    <col min="18" max="18" width="14.5546875" bestFit="1" customWidth="1"/>
  </cols>
  <sheetData>
    <row r="1" spans="2:19" ht="15.6">
      <c r="B1" s="372" t="s">
        <v>144</v>
      </c>
    </row>
    <row r="2" spans="2:19" ht="21.6" thickBot="1">
      <c r="B2" s="637" t="s">
        <v>196</v>
      </c>
    </row>
    <row r="3" spans="2:19" ht="16.2" thickBot="1">
      <c r="B3" s="622" t="s">
        <v>79</v>
      </c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4"/>
    </row>
    <row r="4" spans="2:19" ht="16.2" thickBot="1">
      <c r="B4" s="412"/>
      <c r="C4" s="530">
        <v>46204</v>
      </c>
      <c r="D4" s="530">
        <v>46235</v>
      </c>
      <c r="E4" s="530">
        <v>46266</v>
      </c>
      <c r="F4" s="530">
        <v>46296</v>
      </c>
      <c r="G4" s="530">
        <v>46327</v>
      </c>
      <c r="H4" s="530">
        <v>46357</v>
      </c>
      <c r="I4" s="530">
        <v>46388</v>
      </c>
      <c r="J4" s="530">
        <v>46419</v>
      </c>
      <c r="K4" s="530">
        <v>46447</v>
      </c>
      <c r="L4" s="530">
        <v>46478</v>
      </c>
      <c r="M4" s="530">
        <v>46508</v>
      </c>
      <c r="N4" s="531">
        <v>46539</v>
      </c>
      <c r="O4" s="413" t="s">
        <v>165</v>
      </c>
    </row>
    <row r="5" spans="2:19" ht="15" thickBot="1">
      <c r="B5" s="352" t="s">
        <v>141</v>
      </c>
      <c r="C5" s="373">
        <f>'Treasury Bank Profits mappe (2)'!F20</f>
        <v>97378801.710000008</v>
      </c>
      <c r="D5" s="362"/>
      <c r="E5" s="362"/>
      <c r="F5" s="362"/>
      <c r="G5" s="362"/>
      <c r="H5" s="362"/>
      <c r="I5" s="362"/>
      <c r="J5" s="362"/>
      <c r="K5" s="362"/>
      <c r="L5" s="362"/>
      <c r="M5" s="356"/>
      <c r="N5" s="357"/>
      <c r="O5" s="508">
        <f t="shared" ref="O5:O11" si="0">SUM(C5:N5)</f>
        <v>97378801.710000008</v>
      </c>
    </row>
    <row r="6" spans="2:19" ht="15" thickBot="1">
      <c r="B6" s="352" t="s">
        <v>142</v>
      </c>
      <c r="C6" s="373">
        <f>'Treasury Bank Profits mappe (2)'!F48</f>
        <v>1150066.28</v>
      </c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508">
        <f t="shared" si="0"/>
        <v>1150066.28</v>
      </c>
    </row>
    <row r="7" spans="2:19" ht="15" thickBot="1">
      <c r="B7" s="352" t="s">
        <v>143</v>
      </c>
      <c r="C7" s="373">
        <f>'Treasury Bank Profits mappe (2)'!F59</f>
        <v>995416.19</v>
      </c>
      <c r="D7" s="362"/>
      <c r="E7" s="362"/>
      <c r="F7" s="362"/>
      <c r="G7" s="362"/>
      <c r="H7" s="362"/>
      <c r="I7" s="362"/>
      <c r="J7" s="362"/>
      <c r="K7" s="362"/>
      <c r="L7" s="362"/>
      <c r="M7" s="356"/>
      <c r="N7" s="357"/>
      <c r="O7" s="508">
        <f t="shared" si="0"/>
        <v>995416.19</v>
      </c>
    </row>
    <row r="8" spans="2:19" ht="15" thickBot="1">
      <c r="B8" s="352" t="s">
        <v>111</v>
      </c>
      <c r="C8" s="321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427"/>
      <c r="O8" s="508">
        <f t="shared" si="0"/>
        <v>0</v>
      </c>
      <c r="R8" s="325"/>
      <c r="S8" s="325"/>
    </row>
    <row r="9" spans="2:19" ht="15" thickBot="1">
      <c r="B9" s="352" t="s">
        <v>127</v>
      </c>
      <c r="C9" s="363"/>
      <c r="D9" s="363"/>
      <c r="E9" s="363"/>
      <c r="F9" s="410"/>
      <c r="G9" s="410"/>
      <c r="H9" s="410"/>
      <c r="I9" s="410"/>
      <c r="J9" s="410"/>
      <c r="K9" s="410"/>
      <c r="L9" s="411"/>
      <c r="M9" s="410"/>
      <c r="N9" s="414"/>
      <c r="O9" s="508">
        <f t="shared" si="0"/>
        <v>0</v>
      </c>
      <c r="R9" s="325"/>
      <c r="S9" s="325"/>
    </row>
    <row r="10" spans="2:19" ht="15" thickBot="1">
      <c r="B10" s="352" t="s">
        <v>129</v>
      </c>
      <c r="C10" s="358"/>
      <c r="D10" s="358"/>
      <c r="E10" s="358"/>
      <c r="F10" s="410"/>
      <c r="G10" s="410"/>
      <c r="H10" s="410"/>
      <c r="I10" s="410"/>
      <c r="J10" s="410"/>
      <c r="K10" s="410"/>
      <c r="L10" s="410"/>
      <c r="M10" s="410"/>
      <c r="N10" s="414"/>
      <c r="O10" s="508">
        <f t="shared" si="0"/>
        <v>0</v>
      </c>
      <c r="R10" s="325"/>
      <c r="S10" s="325"/>
    </row>
    <row r="11" spans="2:19" ht="15" thickBot="1">
      <c r="B11" s="353" t="s">
        <v>19</v>
      </c>
      <c r="C11" s="360">
        <f t="shared" ref="C11:N11" si="1">SUM(C5:C10)</f>
        <v>99524284.180000007</v>
      </c>
      <c r="D11" s="360">
        <f t="shared" si="1"/>
        <v>0</v>
      </c>
      <c r="E11" s="360">
        <f t="shared" si="1"/>
        <v>0</v>
      </c>
      <c r="F11" s="360">
        <f t="shared" si="1"/>
        <v>0</v>
      </c>
      <c r="G11" s="360">
        <f t="shared" si="1"/>
        <v>0</v>
      </c>
      <c r="H11" s="360">
        <f t="shared" si="1"/>
        <v>0</v>
      </c>
      <c r="I11" s="360">
        <f t="shared" si="1"/>
        <v>0</v>
      </c>
      <c r="J11" s="360">
        <f t="shared" si="1"/>
        <v>0</v>
      </c>
      <c r="K11" s="360">
        <f t="shared" si="1"/>
        <v>0</v>
      </c>
      <c r="L11" s="360">
        <f t="shared" si="1"/>
        <v>0</v>
      </c>
      <c r="M11" s="360">
        <f t="shared" si="1"/>
        <v>0</v>
      </c>
      <c r="N11" s="361">
        <f t="shared" si="1"/>
        <v>0</v>
      </c>
      <c r="O11" s="508">
        <f t="shared" si="0"/>
        <v>99524284.180000007</v>
      </c>
      <c r="R11" s="325"/>
      <c r="S11" s="325"/>
    </row>
    <row r="12" spans="2:19" ht="18">
      <c r="B12" s="124"/>
      <c r="C12" s="124"/>
      <c r="D12" s="354"/>
      <c r="E12" s="125"/>
      <c r="G12" s="354"/>
      <c r="J12" s="354"/>
      <c r="R12" s="325"/>
      <c r="S12" s="325"/>
    </row>
    <row r="13" spans="2:19" ht="18">
      <c r="B13" s="124"/>
      <c r="C13" s="124"/>
      <c r="D13" s="354"/>
      <c r="E13" s="125"/>
      <c r="G13" s="354"/>
      <c r="J13" s="354"/>
      <c r="R13" s="325"/>
      <c r="S13" s="325"/>
    </row>
    <row r="14" spans="2:19" ht="18">
      <c r="B14" s="124"/>
      <c r="C14" s="124"/>
      <c r="D14" s="354"/>
      <c r="E14" s="125"/>
      <c r="G14" s="354"/>
      <c r="J14" s="354"/>
      <c r="R14" s="325"/>
      <c r="S14" s="325"/>
    </row>
    <row r="15" spans="2:19" ht="18">
      <c r="B15" s="124"/>
      <c r="C15" s="124"/>
      <c r="D15" s="354"/>
      <c r="E15" s="125"/>
      <c r="G15" s="354"/>
      <c r="J15" s="354"/>
      <c r="R15" s="325"/>
      <c r="S15" s="325"/>
    </row>
    <row r="16" spans="2:19" ht="16.2" thickBot="1">
      <c r="N16" s="372" t="s">
        <v>144</v>
      </c>
      <c r="R16" s="325"/>
      <c r="S16" s="325"/>
    </row>
    <row r="17" spans="2:19" ht="16.2" thickBot="1">
      <c r="B17" s="628" t="s">
        <v>54</v>
      </c>
      <c r="C17" s="629"/>
      <c r="D17" s="629"/>
      <c r="E17" s="629"/>
      <c r="F17" s="629"/>
      <c r="G17" s="629"/>
      <c r="H17" s="629"/>
      <c r="I17" s="629"/>
      <c r="J17" s="629"/>
      <c r="K17" s="629"/>
      <c r="L17" s="629"/>
      <c r="M17" s="629"/>
      <c r="N17" s="630"/>
      <c r="R17" s="325"/>
      <c r="S17" s="325"/>
    </row>
    <row r="18" spans="2:19" ht="16.2" thickBot="1">
      <c r="B18" s="123"/>
      <c r="C18" s="530">
        <v>46204</v>
      </c>
      <c r="D18" s="530">
        <v>46235</v>
      </c>
      <c r="E18" s="530">
        <v>46266</v>
      </c>
      <c r="F18" s="530">
        <v>46296</v>
      </c>
      <c r="G18" s="530">
        <v>46327</v>
      </c>
      <c r="H18" s="530">
        <v>46357</v>
      </c>
      <c r="I18" s="530">
        <v>46388</v>
      </c>
      <c r="J18" s="530">
        <v>46419</v>
      </c>
      <c r="K18" s="530">
        <v>46447</v>
      </c>
      <c r="L18" s="530">
        <v>46478</v>
      </c>
      <c r="M18" s="530">
        <v>46508</v>
      </c>
      <c r="N18" s="531">
        <v>46539</v>
      </c>
      <c r="O18" s="413" t="s">
        <v>165</v>
      </c>
      <c r="R18" s="325"/>
      <c r="S18" s="325"/>
    </row>
    <row r="19" spans="2:19" ht="15" thickBot="1">
      <c r="B19" s="352" t="s">
        <v>145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4" t="e">
        <f>#REF!</f>
        <v>#REF!</v>
      </c>
      <c r="N19" s="374" t="e">
        <f>#REF!</f>
        <v>#REF!</v>
      </c>
      <c r="O19" s="508" t="e">
        <f>SUM(C19:N19)</f>
        <v>#REF!</v>
      </c>
      <c r="R19" s="325"/>
      <c r="S19" s="325"/>
    </row>
    <row r="20" spans="2:19" ht="15" thickBot="1">
      <c r="B20" s="2" t="s">
        <v>19</v>
      </c>
      <c r="C20" s="359">
        <f t="shared" ref="C20:N20" si="2">SUM(C19)</f>
        <v>0</v>
      </c>
      <c r="D20" s="359">
        <f t="shared" si="2"/>
        <v>0</v>
      </c>
      <c r="E20" s="359">
        <f t="shared" si="2"/>
        <v>0</v>
      </c>
      <c r="F20" s="359">
        <f t="shared" si="2"/>
        <v>0</v>
      </c>
      <c r="G20" s="359">
        <f t="shared" si="2"/>
        <v>0</v>
      </c>
      <c r="H20" s="359">
        <f t="shared" si="2"/>
        <v>0</v>
      </c>
      <c r="I20" s="359">
        <f t="shared" si="2"/>
        <v>0</v>
      </c>
      <c r="J20" s="359">
        <f t="shared" si="2"/>
        <v>0</v>
      </c>
      <c r="K20" s="359">
        <f t="shared" si="2"/>
        <v>0</v>
      </c>
      <c r="L20" s="359">
        <f t="shared" si="2"/>
        <v>0</v>
      </c>
      <c r="M20" s="359" t="e">
        <f t="shared" si="2"/>
        <v>#REF!</v>
      </c>
      <c r="N20" s="359" t="e">
        <f t="shared" si="2"/>
        <v>#REF!</v>
      </c>
      <c r="O20" s="508" t="e">
        <f>SUM(C20:N20)</f>
        <v>#REF!</v>
      </c>
      <c r="R20" s="325"/>
      <c r="S20" s="325"/>
    </row>
    <row r="21" spans="2:19" ht="18">
      <c r="B21" s="124"/>
      <c r="C21" s="124"/>
      <c r="D21" s="354"/>
      <c r="E21" s="125"/>
      <c r="G21" s="354"/>
      <c r="J21" s="354"/>
      <c r="R21" s="325"/>
      <c r="S21" s="325"/>
    </row>
    <row r="22" spans="2:19" ht="18.600000000000001" thickBot="1">
      <c r="B22" s="124"/>
      <c r="C22" s="124"/>
      <c r="D22" s="354"/>
      <c r="E22" s="125"/>
      <c r="G22" s="354"/>
      <c r="J22" s="354"/>
      <c r="N22" s="372" t="s">
        <v>144</v>
      </c>
      <c r="R22" s="325"/>
      <c r="S22" s="325"/>
    </row>
    <row r="23" spans="2:19" ht="16.2" thickBot="1">
      <c r="B23" s="625" t="s">
        <v>112</v>
      </c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7"/>
      <c r="O23" s="413" t="s">
        <v>165</v>
      </c>
      <c r="R23" s="325"/>
      <c r="S23" s="325"/>
    </row>
    <row r="24" spans="2:19" ht="16.2" thickBot="1">
      <c r="B24" s="123"/>
      <c r="C24" s="530">
        <v>46204</v>
      </c>
      <c r="D24" s="530">
        <v>46235</v>
      </c>
      <c r="E24" s="530">
        <v>46266</v>
      </c>
      <c r="F24" s="530">
        <v>46296</v>
      </c>
      <c r="G24" s="530">
        <v>46327</v>
      </c>
      <c r="H24" s="530">
        <v>46357</v>
      </c>
      <c r="I24" s="530">
        <v>46388</v>
      </c>
      <c r="J24" s="530">
        <v>46419</v>
      </c>
      <c r="K24" s="530">
        <v>46447</v>
      </c>
      <c r="L24" s="530">
        <v>46478</v>
      </c>
      <c r="M24" s="530">
        <v>46508</v>
      </c>
      <c r="N24" s="531">
        <v>46539</v>
      </c>
      <c r="O24" s="508"/>
      <c r="R24" s="325"/>
      <c r="S24" s="325"/>
    </row>
    <row r="25" spans="2:19" ht="15" thickBot="1">
      <c r="B25" s="365" t="s">
        <v>110</v>
      </c>
      <c r="C25" s="366"/>
      <c r="D25" s="366"/>
      <c r="E25" s="366"/>
      <c r="F25" s="366"/>
      <c r="G25" s="366"/>
      <c r="H25" s="366"/>
      <c r="I25" s="366"/>
      <c r="J25" s="366"/>
      <c r="K25" s="366"/>
      <c r="L25" s="366"/>
      <c r="M25" s="367"/>
      <c r="N25" s="368"/>
      <c r="O25" s="508">
        <f>SUM(C25:N25)</f>
        <v>0</v>
      </c>
      <c r="R25" s="325"/>
      <c r="S25" s="325"/>
    </row>
    <row r="26" spans="2:19" ht="15" thickBot="1">
      <c r="B26" s="352" t="s">
        <v>111</v>
      </c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9"/>
      <c r="O26" s="508">
        <f t="shared" ref="O26:O27" si="3">SUM(C26:N26)</f>
        <v>0</v>
      </c>
      <c r="R26" s="325"/>
      <c r="S26" s="325"/>
    </row>
    <row r="27" spans="2:19" ht="15" thickBot="1">
      <c r="B27" s="370" t="s">
        <v>19</v>
      </c>
      <c r="C27" s="371">
        <f t="shared" ref="C27:N27" si="4">SUM(C25:C26)</f>
        <v>0</v>
      </c>
      <c r="D27" s="371">
        <f t="shared" si="4"/>
        <v>0</v>
      </c>
      <c r="E27" s="371">
        <f t="shared" si="4"/>
        <v>0</v>
      </c>
      <c r="F27" s="371">
        <f t="shared" si="4"/>
        <v>0</v>
      </c>
      <c r="G27" s="371">
        <f t="shared" si="4"/>
        <v>0</v>
      </c>
      <c r="H27" s="371">
        <f t="shared" si="4"/>
        <v>0</v>
      </c>
      <c r="I27" s="371">
        <f t="shared" si="4"/>
        <v>0</v>
      </c>
      <c r="J27" s="371">
        <f t="shared" si="4"/>
        <v>0</v>
      </c>
      <c r="K27" s="371">
        <f t="shared" si="4"/>
        <v>0</v>
      </c>
      <c r="L27" s="371">
        <f t="shared" si="4"/>
        <v>0</v>
      </c>
      <c r="M27" s="371">
        <f t="shared" si="4"/>
        <v>0</v>
      </c>
      <c r="N27" s="355">
        <f t="shared" si="4"/>
        <v>0</v>
      </c>
      <c r="O27" s="508">
        <f t="shared" si="3"/>
        <v>0</v>
      </c>
      <c r="R27" s="325"/>
      <c r="S27" s="325"/>
    </row>
    <row r="28" spans="2:19" ht="18">
      <c r="F28" s="354"/>
      <c r="R28" s="325"/>
      <c r="S28" s="325"/>
    </row>
  </sheetData>
  <mergeCells count="3">
    <mergeCell ref="B3:N3"/>
    <mergeCell ref="B23:N23"/>
    <mergeCell ref="B17:N17"/>
  </mergeCells>
  <phoneticPr fontId="5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6DCF-948D-4556-B351-296A43C59608}">
  <sheetPr>
    <tabColor rgb="FF92D050"/>
  </sheetPr>
  <dimension ref="B1:K26"/>
  <sheetViews>
    <sheetView tabSelected="1" zoomScale="70" zoomScaleNormal="83" workbookViewId="0">
      <selection activeCell="I18" sqref="I18"/>
    </sheetView>
  </sheetViews>
  <sheetFormatPr defaultRowHeight="14.4"/>
  <cols>
    <col min="1" max="1" width="2.88671875" customWidth="1"/>
    <col min="2" max="2" width="15.88671875" bestFit="1" customWidth="1"/>
    <col min="3" max="6" width="13.33203125" bestFit="1" customWidth="1"/>
    <col min="7" max="7" width="13.88671875" bestFit="1" customWidth="1"/>
    <col min="8" max="8" width="18.44140625" customWidth="1"/>
    <col min="9" max="9" width="16.88671875" bestFit="1" customWidth="1"/>
    <col min="10" max="10" width="14.5546875" bestFit="1" customWidth="1"/>
  </cols>
  <sheetData>
    <row r="1" spans="2:11" ht="15.6">
      <c r="B1" s="372" t="s">
        <v>144</v>
      </c>
    </row>
    <row r="2" spans="2:11" ht="29.4" thickBot="1">
      <c r="B2" s="619" t="s">
        <v>195</v>
      </c>
    </row>
    <row r="3" spans="2:11" ht="16.2" thickBot="1">
      <c r="B3" s="622" t="s">
        <v>79</v>
      </c>
      <c r="C3" s="623"/>
      <c r="D3" s="623"/>
      <c r="E3" s="623"/>
      <c r="F3" s="623"/>
    </row>
    <row r="4" spans="2:11" ht="16.2" thickBot="1">
      <c r="B4" s="412"/>
      <c r="C4" s="530" t="s">
        <v>195</v>
      </c>
      <c r="D4" s="530" t="s">
        <v>198</v>
      </c>
      <c r="E4" s="530" t="s">
        <v>199</v>
      </c>
      <c r="F4" s="530" t="s">
        <v>200</v>
      </c>
      <c r="G4" s="413" t="s">
        <v>165</v>
      </c>
    </row>
    <row r="5" spans="2:11" ht="15" thickBot="1">
      <c r="B5" s="352" t="s">
        <v>141</v>
      </c>
      <c r="C5" s="373">
        <f>'Treasury Bank Profits mappe (2)'!G21</f>
        <v>165721981.04000002</v>
      </c>
      <c r="D5" s="373"/>
      <c r="E5" s="373"/>
      <c r="F5" s="373"/>
      <c r="G5" s="508">
        <f>SUM(C5:F5)</f>
        <v>165721981.04000002</v>
      </c>
    </row>
    <row r="6" spans="2:11" ht="15" thickBot="1">
      <c r="B6" s="352" t="s">
        <v>142</v>
      </c>
      <c r="C6" s="373">
        <f>'Treasury Bank Profits mappe (2)'!G49</f>
        <v>2614080.88</v>
      </c>
      <c r="D6" s="373"/>
      <c r="E6" s="373"/>
      <c r="F6" s="373"/>
      <c r="G6" s="508">
        <f>SUM(C6:F6)</f>
        <v>2614080.88</v>
      </c>
    </row>
    <row r="7" spans="2:11" ht="15" thickBot="1">
      <c r="B7" s="352" t="s">
        <v>143</v>
      </c>
      <c r="C7" s="373">
        <f>'Treasury Bank Profits mappe (2)'!G60</f>
        <v>2000395.5899999999</v>
      </c>
      <c r="D7" s="373"/>
      <c r="E7" s="373"/>
      <c r="F7" s="373"/>
      <c r="G7" s="508">
        <f>SUM(C7:F7)</f>
        <v>2000395.5899999999</v>
      </c>
    </row>
    <row r="8" spans="2:11" ht="15" thickBot="1">
      <c r="B8" s="352" t="s">
        <v>111</v>
      </c>
      <c r="C8" s="321"/>
      <c r="D8" s="321"/>
      <c r="E8" s="321"/>
      <c r="F8" s="321"/>
      <c r="G8" s="508">
        <f>SUM(C8:F8)</f>
        <v>0</v>
      </c>
      <c r="J8" s="325"/>
      <c r="K8" s="325"/>
    </row>
    <row r="9" spans="2:11" ht="15" thickBot="1">
      <c r="B9" s="352" t="s">
        <v>127</v>
      </c>
      <c r="C9" s="363">
        <f>SUM('New TDR Mapped'!F9:H9)</f>
        <v>42534246.575342461</v>
      </c>
      <c r="D9" s="363"/>
      <c r="E9" s="363"/>
      <c r="F9" s="363"/>
      <c r="G9" s="508">
        <f>SUM(C9:F9)</f>
        <v>42534246.575342461</v>
      </c>
      <c r="J9" s="325"/>
      <c r="K9" s="325"/>
    </row>
    <row r="10" spans="2:11" ht="15" thickBot="1">
      <c r="B10" s="352" t="s">
        <v>129</v>
      </c>
      <c r="C10" s="358">
        <f>SUM('New Buy Sell Mapped'!J2:J6)</f>
        <v>46074966.700000048</v>
      </c>
      <c r="D10" s="358"/>
      <c r="E10" s="358"/>
      <c r="F10" s="358"/>
      <c r="G10" s="508">
        <f>SUM(C10:F10)</f>
        <v>46074966.700000048</v>
      </c>
      <c r="J10" s="325"/>
      <c r="K10" s="325"/>
    </row>
    <row r="11" spans="2:11" ht="15" thickBot="1">
      <c r="B11" s="353" t="s">
        <v>19</v>
      </c>
      <c r="C11" s="360">
        <f t="shared" ref="C11:F11" si="0">SUM(C5:C10)</f>
        <v>258945670.78534251</v>
      </c>
      <c r="D11" s="360">
        <f t="shared" si="0"/>
        <v>0</v>
      </c>
      <c r="E11" s="360">
        <f t="shared" si="0"/>
        <v>0</v>
      </c>
      <c r="F11" s="360">
        <f t="shared" si="0"/>
        <v>0</v>
      </c>
      <c r="G11" s="508">
        <f>SUM(C11:F11)</f>
        <v>258945670.78534251</v>
      </c>
      <c r="J11" s="325"/>
      <c r="K11" s="325"/>
    </row>
    <row r="12" spans="2:11">
      <c r="B12" s="124"/>
      <c r="C12" s="620"/>
      <c r="D12" s="620"/>
      <c r="E12" s="620"/>
      <c r="F12" s="620"/>
      <c r="J12" s="325"/>
      <c r="K12" s="325"/>
    </row>
    <row r="13" spans="2:11" ht="18">
      <c r="B13" s="124"/>
      <c r="C13" s="124"/>
      <c r="D13" s="354"/>
      <c r="E13" s="125"/>
      <c r="J13" s="325"/>
      <c r="K13" s="325"/>
    </row>
    <row r="14" spans="2:11" ht="15" thickBot="1">
      <c r="J14" s="325"/>
      <c r="K14" s="325"/>
    </row>
    <row r="15" spans="2:11" ht="16.2" thickBot="1">
      <c r="B15" s="628" t="s">
        <v>54</v>
      </c>
      <c r="C15" s="629"/>
      <c r="D15" s="629"/>
      <c r="E15" s="629"/>
      <c r="F15" s="629"/>
      <c r="J15" s="325"/>
      <c r="K15" s="325"/>
    </row>
    <row r="16" spans="2:11" ht="16.2" thickBot="1">
      <c r="B16" s="123"/>
      <c r="C16" s="530" t="s">
        <v>195</v>
      </c>
      <c r="D16" s="530" t="s">
        <v>198</v>
      </c>
      <c r="E16" s="530" t="s">
        <v>199</v>
      </c>
      <c r="F16" s="530" t="s">
        <v>200</v>
      </c>
      <c r="G16" s="413" t="s">
        <v>165</v>
      </c>
      <c r="J16" s="325"/>
      <c r="K16" s="325"/>
    </row>
    <row r="17" spans="2:11" ht="15" thickBot="1">
      <c r="B17" s="352" t="s">
        <v>145</v>
      </c>
      <c r="C17" s="373">
        <f>SUM('Treasury Bank Profits mappe (2)'!G39)</f>
        <v>5189303.0299999993</v>
      </c>
      <c r="D17" s="373"/>
      <c r="E17" s="373">
        <f>'Treasury Bank Profits mappe (2)'!H38</f>
        <v>0</v>
      </c>
      <c r="F17" s="373">
        <f>'Treasury Bank Profits mappe (2)'!I38</f>
        <v>0</v>
      </c>
      <c r="G17" s="508">
        <f>SUM(C17:F17)</f>
        <v>5189303.0299999993</v>
      </c>
      <c r="J17" s="325"/>
      <c r="K17" s="325"/>
    </row>
    <row r="18" spans="2:11" ht="15" thickBot="1">
      <c r="B18" s="2" t="s">
        <v>19</v>
      </c>
      <c r="C18" s="359">
        <f t="shared" ref="C18:F18" si="1">SUM(C17)</f>
        <v>5189303.0299999993</v>
      </c>
      <c r="D18" s="359">
        <f t="shared" si="1"/>
        <v>0</v>
      </c>
      <c r="E18" s="359">
        <f t="shared" si="1"/>
        <v>0</v>
      </c>
      <c r="F18" s="359">
        <f t="shared" si="1"/>
        <v>0</v>
      </c>
      <c r="G18" s="508">
        <f>SUM(C18:F18)</f>
        <v>5189303.0299999993</v>
      </c>
      <c r="J18" s="325"/>
      <c r="K18" s="325"/>
    </row>
    <row r="19" spans="2:11">
      <c r="B19" s="124"/>
      <c r="C19" s="620"/>
      <c r="D19" s="620"/>
      <c r="E19" s="620"/>
      <c r="F19" s="620"/>
      <c r="G19" s="621"/>
      <c r="J19" s="325"/>
      <c r="K19" s="325"/>
    </row>
    <row r="20" spans="2:11" ht="18">
      <c r="B20" s="124"/>
      <c r="C20" s="124"/>
      <c r="D20" s="354"/>
      <c r="E20" s="125"/>
      <c r="J20" s="325"/>
      <c r="K20" s="325"/>
    </row>
    <row r="21" spans="2:11" ht="18.600000000000001" thickBot="1">
      <c r="B21" s="124"/>
      <c r="C21" s="124"/>
      <c r="D21" s="354"/>
      <c r="E21" s="125"/>
      <c r="J21" s="325"/>
      <c r="K21" s="325"/>
    </row>
    <row r="22" spans="2:11" ht="16.2" thickBot="1">
      <c r="B22" s="625" t="s">
        <v>112</v>
      </c>
      <c r="C22" s="626"/>
      <c r="D22" s="626"/>
      <c r="E22" s="626"/>
      <c r="F22" s="626"/>
      <c r="G22" s="413" t="s">
        <v>165</v>
      </c>
      <c r="J22" s="325"/>
      <c r="K22" s="325"/>
    </row>
    <row r="23" spans="2:11" ht="16.2" thickBot="1">
      <c r="B23" s="123"/>
      <c r="C23" s="530" t="s">
        <v>195</v>
      </c>
      <c r="D23" s="530" t="s">
        <v>198</v>
      </c>
      <c r="E23" s="530" t="s">
        <v>199</v>
      </c>
      <c r="F23" s="530" t="s">
        <v>200</v>
      </c>
      <c r="G23" s="508"/>
      <c r="J23" s="325"/>
      <c r="K23" s="325"/>
    </row>
    <row r="24" spans="2:11" ht="15" thickBot="1">
      <c r="B24" s="365" t="s">
        <v>110</v>
      </c>
      <c r="C24" s="366">
        <f>'Treasury Bank Profits mappe (2)'!G31</f>
        <v>2729188.84</v>
      </c>
      <c r="D24" s="366"/>
      <c r="E24" s="366">
        <f>'Treasury Bank Profits mappe (2)'!H30</f>
        <v>0</v>
      </c>
      <c r="F24" s="366">
        <f>'Treasury Bank Profits mappe (2)'!I30</f>
        <v>0</v>
      </c>
      <c r="G24" s="508">
        <f>SUM(C24:F24)</f>
        <v>2729188.84</v>
      </c>
      <c r="J24" s="325"/>
      <c r="K24" s="325"/>
    </row>
    <row r="25" spans="2:11" ht="15" thickBot="1">
      <c r="B25" s="370" t="s">
        <v>19</v>
      </c>
      <c r="C25" s="371">
        <f t="shared" ref="C25:F25" si="2">SUM(C24:C24)</f>
        <v>2729188.84</v>
      </c>
      <c r="D25" s="371">
        <f t="shared" si="2"/>
        <v>0</v>
      </c>
      <c r="E25" s="371">
        <f t="shared" si="2"/>
        <v>0</v>
      </c>
      <c r="F25" s="371">
        <f t="shared" si="2"/>
        <v>0</v>
      </c>
      <c r="G25" s="508">
        <f>SUM(C25:F25)</f>
        <v>2729188.84</v>
      </c>
      <c r="J25" s="325"/>
      <c r="K25" s="325"/>
    </row>
    <row r="26" spans="2:11" ht="18">
      <c r="F26" s="354"/>
      <c r="J26" s="325"/>
      <c r="K26" s="325"/>
    </row>
  </sheetData>
  <mergeCells count="3">
    <mergeCell ref="B3:F3"/>
    <mergeCell ref="B15:F15"/>
    <mergeCell ref="B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E836-F329-4906-A269-71B037FEF0E5}">
  <dimension ref="A1:XEP61"/>
  <sheetViews>
    <sheetView showGridLines="0" topLeftCell="C1" zoomScale="82" zoomScaleNormal="53" workbookViewId="0">
      <selection activeCell="E22" sqref="E22"/>
    </sheetView>
  </sheetViews>
  <sheetFormatPr defaultColWidth="8.77734375" defaultRowHeight="14.4"/>
  <cols>
    <col min="1" max="1" width="23.33203125" style="4" hidden="1" customWidth="1"/>
    <col min="2" max="2" width="31.33203125" style="4" hidden="1" customWidth="1"/>
    <col min="3" max="3" width="54.44140625" style="4" customWidth="1"/>
    <col min="4" max="4" width="30.77734375" style="4" hidden="1" customWidth="1"/>
    <col min="5" max="5" width="14.5546875" style="5" bestFit="1" customWidth="1"/>
    <col min="6" max="6" width="16.33203125" style="4" bestFit="1" customWidth="1"/>
    <col min="7" max="7" width="17.6640625" style="4" bestFit="1" customWidth="1"/>
    <col min="8" max="8" width="16.33203125" style="4" bestFit="1" customWidth="1"/>
    <col min="9" max="9" width="16.33203125" style="6" bestFit="1" customWidth="1"/>
    <col min="10" max="12" width="17.6640625" style="6" bestFit="1" customWidth="1"/>
    <col min="13" max="16" width="17.6640625" style="4" bestFit="1" customWidth="1"/>
    <col min="17" max="17" width="16.109375" style="4" customWidth="1"/>
    <col min="18" max="18" width="14" bestFit="1" customWidth="1"/>
  </cols>
  <sheetData>
    <row r="1" spans="1:18" ht="16.2" thickBot="1">
      <c r="A1" s="136" t="s">
        <v>0</v>
      </c>
      <c r="B1" s="434" t="s">
        <v>147</v>
      </c>
      <c r="C1" s="526"/>
      <c r="D1" s="139"/>
      <c r="E1" s="140"/>
      <c r="F1" s="139"/>
      <c r="G1" s="139"/>
      <c r="H1" s="139"/>
      <c r="I1" s="141"/>
      <c r="J1" s="527"/>
      <c r="K1" s="143"/>
      <c r="L1" s="143"/>
      <c r="M1" s="139"/>
      <c r="N1" s="139"/>
      <c r="O1" s="528"/>
      <c r="P1" s="139"/>
      <c r="Q1" s="139"/>
    </row>
    <row r="2" spans="1:18" s="13" customFormat="1" ht="15.6">
      <c r="A2" s="148" t="s">
        <v>2</v>
      </c>
      <c r="B2" s="517"/>
      <c r="C2" s="510" t="s">
        <v>4</v>
      </c>
      <c r="D2" s="529" t="s">
        <v>71</v>
      </c>
      <c r="E2" s="511" t="s">
        <v>6</v>
      </c>
      <c r="F2" s="530">
        <v>46204</v>
      </c>
      <c r="G2" s="530">
        <v>46235</v>
      </c>
      <c r="H2" s="530">
        <v>46266</v>
      </c>
      <c r="I2" s="530">
        <v>46296</v>
      </c>
      <c r="J2" s="530">
        <v>46327</v>
      </c>
      <c r="K2" s="530">
        <v>46357</v>
      </c>
      <c r="L2" s="530">
        <v>46388</v>
      </c>
      <c r="M2" s="530">
        <v>46419</v>
      </c>
      <c r="N2" s="530">
        <v>46447</v>
      </c>
      <c r="O2" s="530">
        <v>46478</v>
      </c>
      <c r="P2" s="530">
        <v>46508</v>
      </c>
      <c r="Q2" s="531">
        <v>46539</v>
      </c>
    </row>
    <row r="3" spans="1:18" ht="15.6">
      <c r="A3" s="154">
        <v>3</v>
      </c>
      <c r="B3" s="270" t="s">
        <v>21</v>
      </c>
      <c r="C3" s="532" t="s">
        <v>25</v>
      </c>
      <c r="D3" s="200">
        <v>9134</v>
      </c>
      <c r="E3" s="280" t="s">
        <v>23</v>
      </c>
      <c r="F3" s="199">
        <v>12032.57</v>
      </c>
      <c r="G3" s="199">
        <v>1187356.55</v>
      </c>
      <c r="H3" s="199"/>
      <c r="I3" s="283"/>
      <c r="J3" s="199"/>
      <c r="K3" s="199"/>
      <c r="L3" s="199"/>
      <c r="M3" s="199"/>
      <c r="N3" s="199"/>
      <c r="O3" s="199"/>
      <c r="P3" s="199"/>
      <c r="Q3" s="533"/>
    </row>
    <row r="4" spans="1:18" ht="15.6">
      <c r="A4" s="154">
        <v>3</v>
      </c>
      <c r="B4" s="270" t="s">
        <v>21</v>
      </c>
      <c r="C4" s="532" t="s">
        <v>26</v>
      </c>
      <c r="D4" s="200">
        <v>9172</v>
      </c>
      <c r="E4" s="280" t="s">
        <v>23</v>
      </c>
      <c r="F4" s="199">
        <v>1317515.92</v>
      </c>
      <c r="G4" s="199">
        <v>1420639.73</v>
      </c>
      <c r="H4" s="199"/>
      <c r="I4" s="283"/>
      <c r="J4" s="199"/>
      <c r="K4" s="199"/>
      <c r="L4" s="199"/>
      <c r="M4" s="199"/>
      <c r="N4" s="199"/>
      <c r="O4" s="199"/>
      <c r="P4" s="199"/>
      <c r="Q4" s="533"/>
    </row>
    <row r="5" spans="1:18" ht="15.6">
      <c r="A5" s="154"/>
      <c r="B5" s="270"/>
      <c r="C5" s="532" t="s">
        <v>43</v>
      </c>
      <c r="D5" s="200"/>
      <c r="E5" s="280" t="s">
        <v>23</v>
      </c>
      <c r="F5" s="199">
        <v>47.94</v>
      </c>
      <c r="G5" s="199">
        <v>5171.7299999999996</v>
      </c>
      <c r="H5" s="199"/>
      <c r="I5" s="283"/>
      <c r="J5" s="199"/>
      <c r="K5" s="199"/>
      <c r="L5" s="199"/>
      <c r="M5" s="199"/>
      <c r="N5" s="199"/>
      <c r="O5" s="199"/>
      <c r="P5" s="199"/>
      <c r="Q5" s="533"/>
    </row>
    <row r="6" spans="1:18" ht="15.6">
      <c r="A6" s="159">
        <v>4</v>
      </c>
      <c r="B6" s="271" t="s">
        <v>21</v>
      </c>
      <c r="C6" s="534" t="s">
        <v>0</v>
      </c>
      <c r="D6" s="512">
        <v>1006023474</v>
      </c>
      <c r="E6" s="513" t="s">
        <v>27</v>
      </c>
      <c r="F6" s="514">
        <v>374560.34</v>
      </c>
      <c r="G6" s="514">
        <v>714772.99</v>
      </c>
      <c r="H6" s="514"/>
      <c r="I6" s="515"/>
      <c r="J6" s="515"/>
      <c r="K6" s="516"/>
      <c r="L6" s="514"/>
      <c r="M6" s="514"/>
      <c r="N6" s="514"/>
      <c r="O6" s="514"/>
      <c r="P6" s="514"/>
      <c r="Q6" s="535"/>
    </row>
    <row r="7" spans="1:18" ht="15.6">
      <c r="A7" s="159">
        <v>6</v>
      </c>
      <c r="B7" s="271" t="s">
        <v>21</v>
      </c>
      <c r="C7" s="534" t="s">
        <v>28</v>
      </c>
      <c r="D7" s="512">
        <v>1006155292</v>
      </c>
      <c r="E7" s="513" t="s">
        <v>27</v>
      </c>
      <c r="F7" s="514">
        <v>285203.67</v>
      </c>
      <c r="G7" s="514">
        <v>219948.64</v>
      </c>
      <c r="H7" s="514"/>
      <c r="I7" s="515"/>
      <c r="J7" s="515"/>
      <c r="K7" s="516"/>
      <c r="L7" s="514"/>
      <c r="M7" s="514"/>
      <c r="N7" s="514"/>
      <c r="O7" s="514"/>
      <c r="P7" s="514"/>
      <c r="Q7" s="535"/>
    </row>
    <row r="8" spans="1:18" ht="15.6">
      <c r="A8" s="159">
        <v>7</v>
      </c>
      <c r="B8" s="271" t="s">
        <v>21</v>
      </c>
      <c r="C8" s="534" t="s">
        <v>29</v>
      </c>
      <c r="D8" s="512">
        <v>1006155289</v>
      </c>
      <c r="E8" s="513" t="s">
        <v>27</v>
      </c>
      <c r="F8" s="514">
        <v>77.83</v>
      </c>
      <c r="G8" s="514">
        <v>32.700000000000003</v>
      </c>
      <c r="H8" s="514"/>
      <c r="I8" s="515"/>
      <c r="J8" s="515"/>
      <c r="K8" s="514"/>
      <c r="L8" s="514"/>
      <c r="M8" s="514"/>
      <c r="N8" s="514"/>
      <c r="O8" s="514"/>
      <c r="P8" s="514"/>
      <c r="Q8" s="535"/>
    </row>
    <row r="9" spans="1:18" ht="15.6">
      <c r="A9" s="159">
        <v>8</v>
      </c>
      <c r="B9" s="271" t="s">
        <v>21</v>
      </c>
      <c r="C9" s="534" t="s">
        <v>30</v>
      </c>
      <c r="D9" s="512">
        <v>1006155288</v>
      </c>
      <c r="E9" s="513" t="s">
        <v>27</v>
      </c>
      <c r="F9" s="514">
        <v>15667606.85</v>
      </c>
      <c r="G9" s="514">
        <v>6184330.0099999998</v>
      </c>
      <c r="H9" s="514"/>
      <c r="I9" s="515"/>
      <c r="J9" s="515"/>
      <c r="K9" s="516"/>
      <c r="L9" s="514"/>
      <c r="M9" s="514"/>
      <c r="N9" s="514"/>
      <c r="O9" s="514"/>
      <c r="P9" s="514"/>
      <c r="Q9" s="535"/>
    </row>
    <row r="10" spans="1:18" ht="15.6">
      <c r="A10" s="159">
        <v>9</v>
      </c>
      <c r="B10" s="271" t="s">
        <v>21</v>
      </c>
      <c r="C10" s="534" t="s">
        <v>31</v>
      </c>
      <c r="D10" s="512">
        <v>1698</v>
      </c>
      <c r="E10" s="513" t="s">
        <v>27</v>
      </c>
      <c r="F10" s="514">
        <v>618682.73</v>
      </c>
      <c r="G10" s="514">
        <v>1128766.6000000001</v>
      </c>
      <c r="H10" s="514"/>
      <c r="I10" s="515"/>
      <c r="J10" s="515"/>
      <c r="K10" s="516"/>
      <c r="L10" s="514"/>
      <c r="M10" s="514"/>
      <c r="N10" s="514"/>
      <c r="O10" s="514"/>
      <c r="P10" s="514"/>
      <c r="Q10" s="535"/>
    </row>
    <row r="11" spans="1:18" ht="15.6">
      <c r="A11" s="159">
        <v>9</v>
      </c>
      <c r="B11" s="271" t="s">
        <v>21</v>
      </c>
      <c r="C11" s="534" t="s">
        <v>25</v>
      </c>
      <c r="D11" s="512">
        <v>2280</v>
      </c>
      <c r="E11" s="513" t="s">
        <v>27</v>
      </c>
      <c r="F11" s="514">
        <v>59343.81</v>
      </c>
      <c r="G11" s="514">
        <v>49755.65</v>
      </c>
      <c r="H11" s="514"/>
      <c r="I11" s="515"/>
      <c r="J11" s="515"/>
      <c r="K11" s="514"/>
      <c r="L11" s="514"/>
      <c r="M11" s="514"/>
      <c r="N11" s="514"/>
      <c r="O11" s="514"/>
      <c r="P11" s="514"/>
      <c r="Q11" s="535"/>
    </row>
    <row r="12" spans="1:18" ht="15.6">
      <c r="A12" s="164">
        <v>10</v>
      </c>
      <c r="B12" s="272" t="s">
        <v>21</v>
      </c>
      <c r="C12" s="536" t="s">
        <v>32</v>
      </c>
      <c r="D12" s="287" t="s">
        <v>33</v>
      </c>
      <c r="E12" s="288" t="s">
        <v>34</v>
      </c>
      <c r="F12" s="289">
        <v>2267.0700000000002</v>
      </c>
      <c r="G12" s="289">
        <v>2286.3200000000002</v>
      </c>
      <c r="H12" s="289"/>
      <c r="I12" s="290"/>
      <c r="J12" s="289"/>
      <c r="K12" s="291"/>
      <c r="L12" s="289"/>
      <c r="M12" s="289"/>
      <c r="N12" s="289"/>
      <c r="O12" s="289"/>
      <c r="P12" s="289"/>
      <c r="Q12" s="537"/>
    </row>
    <row r="13" spans="1:18" ht="15.6">
      <c r="A13" s="166">
        <v>11</v>
      </c>
      <c r="B13" s="273" t="s">
        <v>21</v>
      </c>
      <c r="C13" s="538" t="s">
        <v>30</v>
      </c>
      <c r="D13" s="292" t="s">
        <v>35</v>
      </c>
      <c r="E13" s="293" t="s">
        <v>36</v>
      </c>
      <c r="F13" s="294"/>
      <c r="G13" s="294"/>
      <c r="H13" s="294"/>
      <c r="I13" s="295"/>
      <c r="J13" s="295"/>
      <c r="K13" s="296"/>
      <c r="L13" s="294"/>
      <c r="M13" s="294"/>
      <c r="N13" s="294"/>
      <c r="O13" s="294"/>
      <c r="P13" s="294"/>
      <c r="Q13" s="539"/>
    </row>
    <row r="14" spans="1:18" ht="15.6">
      <c r="A14" s="169">
        <v>12</v>
      </c>
      <c r="B14" s="274" t="s">
        <v>21</v>
      </c>
      <c r="C14" s="540" t="s">
        <v>37</v>
      </c>
      <c r="D14" s="297" t="s">
        <v>38</v>
      </c>
      <c r="E14" s="298" t="s">
        <v>39</v>
      </c>
      <c r="F14" s="299"/>
      <c r="G14" s="299"/>
      <c r="H14" s="299"/>
      <c r="I14" s="300"/>
      <c r="J14" s="300"/>
      <c r="K14" s="301"/>
      <c r="L14" s="299"/>
      <c r="M14" s="299"/>
      <c r="N14" s="294"/>
      <c r="O14" s="299"/>
      <c r="P14" s="299"/>
      <c r="Q14" s="541"/>
    </row>
    <row r="15" spans="1:18" ht="15.6">
      <c r="A15" s="171">
        <v>13</v>
      </c>
      <c r="B15" s="275" t="s">
        <v>21</v>
      </c>
      <c r="C15" s="542" t="s">
        <v>26</v>
      </c>
      <c r="D15" s="302" t="s">
        <v>40</v>
      </c>
      <c r="E15" s="303" t="s">
        <v>41</v>
      </c>
      <c r="F15" s="304">
        <v>66962608.579999998</v>
      </c>
      <c r="G15" s="304">
        <v>45218696.909999996</v>
      </c>
      <c r="H15" s="304"/>
      <c r="I15" s="304"/>
      <c r="J15" s="305"/>
      <c r="K15" s="306"/>
      <c r="L15" s="304"/>
      <c r="M15" s="304"/>
      <c r="N15" s="304"/>
      <c r="O15" s="304"/>
      <c r="P15" s="304"/>
      <c r="Q15" s="543"/>
      <c r="R15" s="21"/>
    </row>
    <row r="16" spans="1:18" ht="15.6">
      <c r="A16" s="171">
        <v>14</v>
      </c>
      <c r="B16" s="275" t="s">
        <v>42</v>
      </c>
      <c r="C16" s="542" t="s">
        <v>43</v>
      </c>
      <c r="D16" s="302" t="s">
        <v>44</v>
      </c>
      <c r="E16" s="303" t="s">
        <v>41</v>
      </c>
      <c r="F16" s="304">
        <v>2231799.73</v>
      </c>
      <c r="G16" s="304">
        <v>2306909.08</v>
      </c>
      <c r="H16" s="304"/>
      <c r="I16" s="304"/>
      <c r="J16" s="305"/>
      <c r="K16" s="307"/>
      <c r="L16" s="304"/>
      <c r="M16" s="304"/>
      <c r="N16" s="304"/>
      <c r="O16" s="304"/>
      <c r="P16" s="304"/>
      <c r="Q16" s="543"/>
    </row>
    <row r="17" spans="1:17" ht="15.6">
      <c r="A17" s="173">
        <v>16</v>
      </c>
      <c r="B17" s="276" t="s">
        <v>21</v>
      </c>
      <c r="C17" s="544" t="s">
        <v>45</v>
      </c>
      <c r="D17" s="308" t="s">
        <v>46</v>
      </c>
      <c r="E17" s="309" t="s">
        <v>47</v>
      </c>
      <c r="F17" s="310"/>
      <c r="G17" s="310"/>
      <c r="H17" s="310"/>
      <c r="I17" s="311"/>
      <c r="J17" s="311"/>
      <c r="K17" s="311"/>
      <c r="L17" s="310"/>
      <c r="M17" s="310"/>
      <c r="N17" s="310"/>
      <c r="O17" s="310"/>
      <c r="P17" s="310"/>
      <c r="Q17" s="545"/>
    </row>
    <row r="18" spans="1:17" ht="15.6">
      <c r="A18" s="175">
        <v>17</v>
      </c>
      <c r="B18" s="277" t="s">
        <v>21</v>
      </c>
      <c r="C18" s="546" t="s">
        <v>48</v>
      </c>
      <c r="D18" s="312">
        <v>2001412216</v>
      </c>
      <c r="E18" s="313" t="s">
        <v>49</v>
      </c>
      <c r="F18" s="314">
        <v>9847054.6699999999</v>
      </c>
      <c r="G18" s="314">
        <v>9904512.4199999999</v>
      </c>
      <c r="H18" s="314"/>
      <c r="I18" s="315"/>
      <c r="J18" s="316"/>
      <c r="K18" s="316"/>
      <c r="L18" s="314"/>
      <c r="M18" s="314"/>
      <c r="N18" s="314"/>
      <c r="O18" s="314"/>
      <c r="P18" s="314"/>
      <c r="Q18" s="547"/>
    </row>
    <row r="19" spans="1:17" ht="15.6">
      <c r="A19" s="243"/>
      <c r="B19" s="277" t="s">
        <v>21</v>
      </c>
      <c r="C19" s="536" t="s">
        <v>48</v>
      </c>
      <c r="D19" s="287">
        <v>2001543507</v>
      </c>
      <c r="E19" s="288" t="s">
        <v>153</v>
      </c>
      <c r="F19" s="289"/>
      <c r="G19" s="289"/>
      <c r="H19" s="289"/>
      <c r="I19" s="290"/>
      <c r="J19" s="291"/>
      <c r="K19" s="291"/>
      <c r="L19" s="289"/>
      <c r="M19" s="289"/>
      <c r="N19" s="289"/>
      <c r="O19" s="289"/>
      <c r="P19" s="289"/>
      <c r="Q19" s="537"/>
    </row>
    <row r="20" spans="1:17" ht="16.2" thickBot="1">
      <c r="A20" s="179"/>
      <c r="B20" s="180"/>
      <c r="C20" s="548"/>
      <c r="D20" s="181"/>
      <c r="E20" s="182"/>
      <c r="F20" s="278">
        <f t="shared" ref="F20:Q20" si="0">SUM(F3:F19)</f>
        <v>97378801.710000008</v>
      </c>
      <c r="G20" s="278">
        <f t="shared" si="0"/>
        <v>68343179.329999998</v>
      </c>
      <c r="H20" s="278">
        <f t="shared" si="0"/>
        <v>0</v>
      </c>
      <c r="I20" s="278">
        <f t="shared" si="0"/>
        <v>0</v>
      </c>
      <c r="J20" s="278">
        <f t="shared" si="0"/>
        <v>0</v>
      </c>
      <c r="K20" s="278">
        <f t="shared" si="0"/>
        <v>0</v>
      </c>
      <c r="L20" s="278">
        <f t="shared" si="0"/>
        <v>0</v>
      </c>
      <c r="M20" s="278">
        <f t="shared" si="0"/>
        <v>0</v>
      </c>
      <c r="N20" s="278">
        <f t="shared" si="0"/>
        <v>0</v>
      </c>
      <c r="O20" s="278">
        <f t="shared" si="0"/>
        <v>0</v>
      </c>
      <c r="P20" s="278">
        <f t="shared" si="0"/>
        <v>0</v>
      </c>
      <c r="Q20" s="278">
        <f t="shared" si="0"/>
        <v>0</v>
      </c>
    </row>
    <row r="21" spans="1:17" ht="16.2" thickBot="1">
      <c r="A21" s="179"/>
      <c r="B21" s="180"/>
      <c r="C21" s="548"/>
      <c r="D21" s="181"/>
      <c r="E21" s="182"/>
      <c r="F21" s="186"/>
      <c r="G21" s="186">
        <f>SUM(F20:H20)</f>
        <v>165721981.04000002</v>
      </c>
      <c r="H21" s="187"/>
      <c r="I21" s="186"/>
      <c r="J21" s="186">
        <f>SUM(I20:K20)</f>
        <v>0</v>
      </c>
      <c r="K21" s="187"/>
      <c r="L21" s="186"/>
      <c r="M21" s="186">
        <f>SUM(L20:N20)</f>
        <v>0</v>
      </c>
      <c r="N21" s="187"/>
      <c r="O21" s="186"/>
      <c r="P21" s="186">
        <f>SUM(O20:Q20)</f>
        <v>0</v>
      </c>
      <c r="Q21" s="187"/>
    </row>
    <row r="22" spans="1:17" ht="16.2" thickBot="1">
      <c r="A22" s="179"/>
      <c r="B22" s="180"/>
      <c r="C22" s="548"/>
      <c r="D22" s="181"/>
      <c r="E22" s="182"/>
      <c r="F22" s="191"/>
      <c r="G22" s="192" t="s">
        <v>113</v>
      </c>
      <c r="H22" s="193"/>
      <c r="I22" s="191"/>
      <c r="J22" s="192" t="s">
        <v>115</v>
      </c>
      <c r="K22" s="193"/>
      <c r="L22" s="191"/>
      <c r="M22" s="192" t="s">
        <v>138</v>
      </c>
      <c r="N22" s="193"/>
      <c r="O22" s="191"/>
      <c r="P22" s="192" t="s">
        <v>168</v>
      </c>
      <c r="Q22" s="193"/>
    </row>
    <row r="23" spans="1:17" ht="15.6">
      <c r="A23" s="330" t="s">
        <v>50</v>
      </c>
      <c r="B23" s="517"/>
      <c r="C23" s="549" t="s">
        <v>4</v>
      </c>
      <c r="D23" s="347" t="s">
        <v>71</v>
      </c>
      <c r="E23" s="346" t="s">
        <v>6</v>
      </c>
      <c r="F23" s="348">
        <v>46204</v>
      </c>
      <c r="G23" s="348">
        <v>46235</v>
      </c>
      <c r="H23" s="348">
        <v>46266</v>
      </c>
      <c r="I23" s="348">
        <v>46296</v>
      </c>
      <c r="J23" s="348">
        <v>46327</v>
      </c>
      <c r="K23" s="348">
        <v>46357</v>
      </c>
      <c r="L23" s="348">
        <v>46388</v>
      </c>
      <c r="M23" s="348">
        <v>46419</v>
      </c>
      <c r="N23" s="348">
        <v>46447</v>
      </c>
      <c r="O23" s="348">
        <v>46478</v>
      </c>
      <c r="P23" s="348">
        <v>46508</v>
      </c>
      <c r="Q23" s="550">
        <v>46539</v>
      </c>
    </row>
    <row r="24" spans="1:17" ht="15.6">
      <c r="A24" s="194">
        <v>1</v>
      </c>
      <c r="B24" s="518" t="s">
        <v>50</v>
      </c>
      <c r="C24" s="551" t="s">
        <v>51</v>
      </c>
      <c r="D24" s="512">
        <v>1006155298</v>
      </c>
      <c r="E24" s="514" t="s">
        <v>27</v>
      </c>
      <c r="F24" s="514">
        <v>1243549.2</v>
      </c>
      <c r="G24" s="514">
        <v>466488.21</v>
      </c>
      <c r="H24" s="514"/>
      <c r="I24" s="514"/>
      <c r="J24" s="514"/>
      <c r="K24" s="514"/>
      <c r="L24" s="514"/>
      <c r="M24" s="514"/>
      <c r="N24" s="514"/>
      <c r="O24" s="514"/>
      <c r="P24" s="514"/>
      <c r="Q24" s="535"/>
    </row>
    <row r="25" spans="1:17" ht="15.6">
      <c r="A25" s="194">
        <f>A24+1</f>
        <v>2</v>
      </c>
      <c r="B25" s="518" t="s">
        <v>50</v>
      </c>
      <c r="C25" s="551" t="s">
        <v>52</v>
      </c>
      <c r="D25" s="512">
        <v>1009045100</v>
      </c>
      <c r="E25" s="514" t="s">
        <v>27</v>
      </c>
      <c r="F25" s="514">
        <v>283995.28000000003</v>
      </c>
      <c r="G25" s="514">
        <v>97617.89</v>
      </c>
      <c r="H25" s="514"/>
      <c r="I25" s="514"/>
      <c r="J25" s="514"/>
      <c r="K25" s="514"/>
      <c r="L25" s="514"/>
      <c r="M25" s="514"/>
      <c r="N25" s="514"/>
      <c r="O25" s="514"/>
      <c r="P25" s="514"/>
      <c r="Q25" s="535"/>
    </row>
    <row r="26" spans="1:17" ht="15.6">
      <c r="A26" s="194">
        <f>A25+1</f>
        <v>3</v>
      </c>
      <c r="B26" s="518" t="s">
        <v>50</v>
      </c>
      <c r="C26" s="551" t="s">
        <v>53</v>
      </c>
      <c r="D26" s="512">
        <v>1009045134</v>
      </c>
      <c r="E26" s="514" t="s">
        <v>27</v>
      </c>
      <c r="F26" s="514">
        <v>147812.23000000001</v>
      </c>
      <c r="G26" s="514">
        <v>108363.34</v>
      </c>
      <c r="H26" s="514"/>
      <c r="I26" s="514"/>
      <c r="J26" s="514"/>
      <c r="K26" s="514"/>
      <c r="L26" s="514"/>
      <c r="M26" s="514"/>
      <c r="N26" s="514"/>
      <c r="O26" s="514"/>
      <c r="P26" s="514"/>
      <c r="Q26" s="535"/>
    </row>
    <row r="27" spans="1:17" ht="15.6">
      <c r="A27" s="194"/>
      <c r="B27" s="518"/>
      <c r="C27" s="551" t="s">
        <v>140</v>
      </c>
      <c r="D27" s="512">
        <v>1010801269</v>
      </c>
      <c r="E27" s="514" t="s">
        <v>27</v>
      </c>
      <c r="F27" s="514">
        <v>119615.29</v>
      </c>
      <c r="G27" s="514">
        <v>68629.91</v>
      </c>
      <c r="H27" s="514"/>
      <c r="I27" s="514"/>
      <c r="J27" s="514"/>
      <c r="K27" s="514"/>
      <c r="L27" s="514"/>
      <c r="M27" s="514"/>
      <c r="N27" s="514"/>
      <c r="O27" s="514"/>
      <c r="P27" s="514"/>
      <c r="Q27" s="535"/>
    </row>
    <row r="28" spans="1:17" ht="15.6">
      <c r="A28" s="194"/>
      <c r="B28" s="518"/>
      <c r="C28" s="551" t="s">
        <v>172</v>
      </c>
      <c r="D28" s="512"/>
      <c r="E28" s="514" t="s">
        <v>27</v>
      </c>
      <c r="F28" s="514"/>
      <c r="G28" s="514">
        <v>161184.22</v>
      </c>
      <c r="H28" s="514"/>
      <c r="I28" s="514"/>
      <c r="J28" s="514"/>
      <c r="K28" s="514"/>
      <c r="L28" s="514"/>
      <c r="M28" s="514"/>
      <c r="N28" s="514"/>
      <c r="O28" s="514"/>
      <c r="P28" s="514"/>
      <c r="Q28" s="535"/>
    </row>
    <row r="29" spans="1:17" ht="15.6">
      <c r="A29" s="194">
        <v>4</v>
      </c>
      <c r="B29" s="519" t="s">
        <v>50</v>
      </c>
      <c r="C29" s="552" t="s">
        <v>51</v>
      </c>
      <c r="D29" s="200">
        <v>231422152</v>
      </c>
      <c r="E29" s="199" t="s">
        <v>23</v>
      </c>
      <c r="F29" s="199">
        <v>15978.9</v>
      </c>
      <c r="G29" s="199">
        <v>15954.37</v>
      </c>
      <c r="H29" s="199"/>
      <c r="I29" s="199"/>
      <c r="J29" s="199"/>
      <c r="K29" s="199"/>
      <c r="L29" s="199"/>
      <c r="M29" s="199"/>
      <c r="N29" s="199"/>
      <c r="O29" s="199"/>
      <c r="P29" s="199"/>
      <c r="Q29" s="533"/>
    </row>
    <row r="30" spans="1:17" ht="16.2" thickBot="1">
      <c r="A30" s="139"/>
      <c r="B30" s="139"/>
      <c r="C30" s="553"/>
      <c r="D30" s="208"/>
      <c r="E30" s="208"/>
      <c r="F30" s="278">
        <f t="shared" ref="F30:Q30" si="1">SUM(F24:F29)</f>
        <v>1810950.9</v>
      </c>
      <c r="G30" s="278">
        <f t="shared" si="1"/>
        <v>918237.94</v>
      </c>
      <c r="H30" s="278">
        <f t="shared" si="1"/>
        <v>0</v>
      </c>
      <c r="I30" s="278">
        <f t="shared" si="1"/>
        <v>0</v>
      </c>
      <c r="J30" s="278">
        <f t="shared" si="1"/>
        <v>0</v>
      </c>
      <c r="K30" s="278">
        <f t="shared" si="1"/>
        <v>0</v>
      </c>
      <c r="L30" s="278">
        <f t="shared" si="1"/>
        <v>0</v>
      </c>
      <c r="M30" s="278">
        <f t="shared" si="1"/>
        <v>0</v>
      </c>
      <c r="N30" s="278">
        <f t="shared" si="1"/>
        <v>0</v>
      </c>
      <c r="O30" s="278">
        <f t="shared" si="1"/>
        <v>0</v>
      </c>
      <c r="P30" s="278">
        <f t="shared" si="1"/>
        <v>0</v>
      </c>
      <c r="Q30" s="278">
        <f t="shared" si="1"/>
        <v>0</v>
      </c>
    </row>
    <row r="31" spans="1:17" ht="16.2" thickBot="1">
      <c r="A31" s="139"/>
      <c r="B31" s="139"/>
      <c r="C31" s="553"/>
      <c r="D31" s="208"/>
      <c r="E31" s="208"/>
      <c r="F31" s="186"/>
      <c r="G31" s="202">
        <f>SUM(F30:H30)</f>
        <v>2729188.84</v>
      </c>
      <c r="H31" s="187"/>
      <c r="I31" s="186"/>
      <c r="J31" s="186">
        <f>SUM(I30:K30)</f>
        <v>0</v>
      </c>
      <c r="K31" s="187"/>
      <c r="L31" s="186"/>
      <c r="M31" s="186">
        <f>SUM(L30:N30)</f>
        <v>0</v>
      </c>
      <c r="N31" s="187"/>
      <c r="O31" s="186"/>
      <c r="P31" s="186">
        <f>SUM(O30:Q30)</f>
        <v>0</v>
      </c>
      <c r="Q31" s="187"/>
    </row>
    <row r="32" spans="1:17" ht="16.2" thickBot="1">
      <c r="A32" s="139"/>
      <c r="B32" s="139"/>
      <c r="C32" s="553"/>
      <c r="D32" s="208"/>
      <c r="E32" s="208"/>
      <c r="F32" s="191"/>
      <c r="G32" s="192" t="s">
        <v>113</v>
      </c>
      <c r="H32" s="193"/>
      <c r="I32" s="191"/>
      <c r="J32" s="192" t="s">
        <v>115</v>
      </c>
      <c r="K32" s="193"/>
      <c r="L32" s="191"/>
      <c r="M32" s="192" t="s">
        <v>138</v>
      </c>
      <c r="N32" s="193"/>
      <c r="O32" s="191"/>
      <c r="P32" s="192" t="s">
        <v>168</v>
      </c>
      <c r="Q32" s="193"/>
    </row>
    <row r="33" spans="1:17 16370:16370" ht="16.2" thickBot="1">
      <c r="A33" s="143"/>
      <c r="B33" s="143"/>
      <c r="C33" s="556"/>
      <c r="D33" s="209"/>
      <c r="E33" s="209"/>
      <c r="F33" s="189"/>
      <c r="G33" s="189"/>
      <c r="H33" s="180"/>
      <c r="I33" s="189"/>
      <c r="J33" s="189"/>
      <c r="K33" s="180"/>
      <c r="L33" s="189"/>
      <c r="M33" s="189"/>
      <c r="N33" s="180"/>
      <c r="O33" s="189"/>
      <c r="P33" s="189"/>
      <c r="Q33" s="583"/>
    </row>
    <row r="34" spans="1:17 16370:16370" ht="15.6">
      <c r="A34" s="330" t="s">
        <v>54</v>
      </c>
      <c r="B34" s="517"/>
      <c r="C34" s="549" t="s">
        <v>4</v>
      </c>
      <c r="D34" s="347" t="s">
        <v>71</v>
      </c>
      <c r="E34" s="346" t="s">
        <v>6</v>
      </c>
      <c r="F34" s="348">
        <v>46204</v>
      </c>
      <c r="G34" s="348">
        <v>46235</v>
      </c>
      <c r="H34" s="348">
        <v>46266</v>
      </c>
      <c r="I34" s="348">
        <v>46296</v>
      </c>
      <c r="J34" s="348">
        <v>46327</v>
      </c>
      <c r="K34" s="348">
        <v>46357</v>
      </c>
      <c r="L34" s="348">
        <v>46388</v>
      </c>
      <c r="M34" s="348">
        <v>46419</v>
      </c>
      <c r="N34" s="348">
        <v>46447</v>
      </c>
      <c r="O34" s="348">
        <v>46478</v>
      </c>
      <c r="P34" s="348">
        <v>46508</v>
      </c>
      <c r="Q34" s="550">
        <v>46539</v>
      </c>
    </row>
    <row r="35" spans="1:17 16370:16370" ht="15.6">
      <c r="A35" s="194">
        <v>1</v>
      </c>
      <c r="B35" s="518" t="s">
        <v>54</v>
      </c>
      <c r="C35" s="551" t="s">
        <v>55</v>
      </c>
      <c r="D35" s="512">
        <v>1008986958</v>
      </c>
      <c r="E35" s="514" t="s">
        <v>27</v>
      </c>
      <c r="F35" s="514">
        <v>145601.9</v>
      </c>
      <c r="G35" s="514">
        <v>68245.16</v>
      </c>
      <c r="H35" s="514"/>
      <c r="I35" s="514"/>
      <c r="J35" s="514"/>
      <c r="K35" s="514"/>
      <c r="L35" s="514"/>
      <c r="M35" s="514"/>
      <c r="N35" s="514"/>
      <c r="O35" s="514"/>
      <c r="P35" s="514"/>
      <c r="Q35" s="535"/>
    </row>
    <row r="36" spans="1:17 16370:16370" ht="15.6">
      <c r="A36" s="203">
        <v>2</v>
      </c>
      <c r="B36" s="519" t="s">
        <v>54</v>
      </c>
      <c r="C36" s="552" t="s">
        <v>56</v>
      </c>
      <c r="D36" s="200">
        <v>262115182</v>
      </c>
      <c r="E36" s="199" t="s">
        <v>23</v>
      </c>
      <c r="F36" s="199">
        <v>2529629.67</v>
      </c>
      <c r="G36" s="199">
        <v>2445826.2999999998</v>
      </c>
      <c r="H36" s="199"/>
      <c r="I36" s="199"/>
      <c r="J36" s="199"/>
      <c r="K36" s="199"/>
      <c r="L36" s="199"/>
      <c r="M36" s="199"/>
      <c r="N36" s="199"/>
      <c r="O36" s="199"/>
      <c r="P36" s="199"/>
      <c r="Q36" s="533"/>
    </row>
    <row r="37" spans="1:17 16370:16370" ht="15.6">
      <c r="A37" s="204">
        <v>3</v>
      </c>
      <c r="B37" s="520" t="s">
        <v>54</v>
      </c>
      <c r="C37" s="554" t="s">
        <v>57</v>
      </c>
      <c r="D37" s="206" t="s">
        <v>58</v>
      </c>
      <c r="E37" s="205" t="s">
        <v>36</v>
      </c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555"/>
    </row>
    <row r="38" spans="1:17 16370:16370" ht="16.2" thickBot="1">
      <c r="A38" s="207"/>
      <c r="B38" s="208"/>
      <c r="C38" s="556"/>
      <c r="D38" s="210"/>
      <c r="E38" s="209"/>
      <c r="F38" s="278">
        <f>SUM(F35:F37)</f>
        <v>2675231.5699999998</v>
      </c>
      <c r="G38" s="278">
        <f>SUM(G35:G37)</f>
        <v>2514071.46</v>
      </c>
      <c r="H38" s="278">
        <f>SUM(H35:H37)</f>
        <v>0</v>
      </c>
      <c r="I38" s="278">
        <f>SUM(I35:I37)</f>
        <v>0</v>
      </c>
      <c r="J38" s="278">
        <f>SUM(J35:J37)</f>
        <v>0</v>
      </c>
      <c r="K38" s="278">
        <f>SUM(K35:K37)</f>
        <v>0</v>
      </c>
      <c r="L38" s="278">
        <f>SUM(L35:L37)</f>
        <v>0</v>
      </c>
      <c r="M38" s="278">
        <f>SUM(M35:M37)</f>
        <v>0</v>
      </c>
      <c r="N38" s="278">
        <f>SUM(N35:N37)</f>
        <v>0</v>
      </c>
      <c r="O38" s="278">
        <f>SUM(O35:O37)</f>
        <v>0</v>
      </c>
      <c r="P38" s="278">
        <f>SUM(P35:P37)</f>
        <v>0</v>
      </c>
      <c r="Q38" s="278">
        <f>SUM(Q35:Q37)</f>
        <v>0</v>
      </c>
      <c r="XEP38" s="81"/>
    </row>
    <row r="39" spans="1:17 16370:16370" ht="16.2" thickBot="1">
      <c r="A39" s="207"/>
      <c r="B39" s="208"/>
      <c r="C39" s="556"/>
      <c r="D39" s="210"/>
      <c r="E39" s="209"/>
      <c r="F39" s="186"/>
      <c r="G39" s="202">
        <f>SUM(F38:H38)</f>
        <v>5189303.0299999993</v>
      </c>
      <c r="H39" s="187"/>
      <c r="I39" s="186"/>
      <c r="J39" s="186">
        <f>SUM(I38:K38)</f>
        <v>0</v>
      </c>
      <c r="K39" s="187"/>
      <c r="L39" s="186"/>
      <c r="M39" s="186">
        <f>SUM(L38:N38)</f>
        <v>0</v>
      </c>
      <c r="N39" s="187"/>
      <c r="O39" s="186"/>
      <c r="P39" s="186">
        <f>SUM(O38:Q38)</f>
        <v>0</v>
      </c>
      <c r="Q39" s="187"/>
      <c r="XEP39" s="81"/>
    </row>
    <row r="40" spans="1:17 16370:16370" ht="16.2" thickBot="1">
      <c r="A40" s="207"/>
      <c r="B40" s="208"/>
      <c r="C40" s="556"/>
      <c r="D40" s="210"/>
      <c r="E40" s="209"/>
      <c r="F40" s="191"/>
      <c r="G40" s="192" t="s">
        <v>113</v>
      </c>
      <c r="H40" s="193"/>
      <c r="I40" s="191"/>
      <c r="J40" s="192" t="s">
        <v>115</v>
      </c>
      <c r="K40" s="193"/>
      <c r="L40" s="191"/>
      <c r="M40" s="192" t="s">
        <v>138</v>
      </c>
      <c r="N40" s="193"/>
      <c r="O40" s="191"/>
      <c r="P40" s="192" t="s">
        <v>168</v>
      </c>
      <c r="Q40" s="193"/>
      <c r="XEP40" s="81"/>
    </row>
    <row r="41" spans="1:17 16370:16370" ht="15.6">
      <c r="A41" s="330" t="s">
        <v>59</v>
      </c>
      <c r="B41" s="517"/>
      <c r="C41" s="549" t="s">
        <v>4</v>
      </c>
      <c r="D41" s="347" t="s">
        <v>71</v>
      </c>
      <c r="E41" s="346" t="s">
        <v>6</v>
      </c>
      <c r="F41" s="348">
        <v>46204</v>
      </c>
      <c r="G41" s="348">
        <v>46235</v>
      </c>
      <c r="H41" s="348">
        <v>46266</v>
      </c>
      <c r="I41" s="348">
        <v>46296</v>
      </c>
      <c r="J41" s="348">
        <v>46327</v>
      </c>
      <c r="K41" s="348">
        <v>46357</v>
      </c>
      <c r="L41" s="348">
        <v>46388</v>
      </c>
      <c r="M41" s="348">
        <v>46419</v>
      </c>
      <c r="N41" s="348">
        <v>46447</v>
      </c>
      <c r="O41" s="348">
        <v>46478</v>
      </c>
      <c r="P41" s="348">
        <v>46508</v>
      </c>
      <c r="Q41" s="550">
        <v>46539</v>
      </c>
    </row>
    <row r="42" spans="1:17 16370:16370" ht="15.6">
      <c r="A42" s="331">
        <v>1</v>
      </c>
      <c r="B42" s="518" t="s">
        <v>21</v>
      </c>
      <c r="C42" s="551" t="s">
        <v>60</v>
      </c>
      <c r="D42" s="512">
        <v>1005639975</v>
      </c>
      <c r="E42" s="513" t="s">
        <v>27</v>
      </c>
      <c r="F42" s="515">
        <v>1010292.1</v>
      </c>
      <c r="G42" s="514">
        <v>1344091.07</v>
      </c>
      <c r="H42" s="514"/>
      <c r="I42" s="514"/>
      <c r="J42" s="514"/>
      <c r="K42" s="514"/>
      <c r="L42" s="514"/>
      <c r="M42" s="514"/>
      <c r="N42" s="514"/>
      <c r="O42" s="514"/>
      <c r="P42" s="514"/>
      <c r="Q42" s="535"/>
    </row>
    <row r="43" spans="1:17 16370:16370" ht="15.6">
      <c r="A43" s="332">
        <v>2</v>
      </c>
      <c r="B43" s="521" t="s">
        <v>21</v>
      </c>
      <c r="C43" s="557" t="s">
        <v>0</v>
      </c>
      <c r="D43" s="333" t="s">
        <v>61</v>
      </c>
      <c r="E43" s="334" t="s">
        <v>39</v>
      </c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322"/>
      <c r="Q43" s="558"/>
    </row>
    <row r="44" spans="1:17 16370:16370" ht="15.6">
      <c r="A44" s="332">
        <v>3</v>
      </c>
      <c r="B44" s="521" t="s">
        <v>21</v>
      </c>
      <c r="C44" s="596" t="s">
        <v>0</v>
      </c>
      <c r="D44" s="597" t="s">
        <v>62</v>
      </c>
      <c r="E44" s="598" t="s">
        <v>63</v>
      </c>
      <c r="F44" s="599"/>
      <c r="G44" s="600"/>
      <c r="H44" s="600"/>
      <c r="I44" s="600"/>
      <c r="J44" s="600"/>
      <c r="K44" s="600"/>
      <c r="L44" s="600"/>
      <c r="M44" s="600"/>
      <c r="N44" s="600"/>
      <c r="O44" s="600"/>
      <c r="P44" s="600"/>
      <c r="Q44" s="601"/>
    </row>
    <row r="45" spans="1:17 16370:16370" ht="15.6">
      <c r="A45" s="332">
        <v>4</v>
      </c>
      <c r="B45" s="521" t="s">
        <v>21</v>
      </c>
      <c r="C45" s="590" t="s">
        <v>0</v>
      </c>
      <c r="D45" s="591" t="s">
        <v>64</v>
      </c>
      <c r="E45" s="592" t="s">
        <v>65</v>
      </c>
      <c r="F45" s="593">
        <v>73293.429999999993</v>
      </c>
      <c r="G45" s="594"/>
      <c r="H45" s="594"/>
      <c r="I45" s="594"/>
      <c r="J45" s="594"/>
      <c r="K45" s="594"/>
      <c r="L45" s="594"/>
      <c r="M45" s="594"/>
      <c r="N45" s="594"/>
      <c r="O45" s="594"/>
      <c r="P45" s="594"/>
      <c r="Q45" s="595"/>
    </row>
    <row r="46" spans="1:17 16370:16370" ht="15.6">
      <c r="A46" s="332">
        <v>5</v>
      </c>
      <c r="B46" s="521" t="s">
        <v>21</v>
      </c>
      <c r="C46" s="584" t="s">
        <v>0</v>
      </c>
      <c r="D46" s="585">
        <v>20007488228</v>
      </c>
      <c r="E46" s="586" t="s">
        <v>66</v>
      </c>
      <c r="F46" s="587">
        <v>66480.75</v>
      </c>
      <c r="G46" s="588">
        <v>119923.53</v>
      </c>
      <c r="H46" s="588"/>
      <c r="I46" s="588"/>
      <c r="J46" s="588"/>
      <c r="K46" s="588"/>
      <c r="L46" s="588"/>
      <c r="M46" s="588"/>
      <c r="N46" s="588"/>
      <c r="O46" s="588"/>
      <c r="P46" s="588"/>
      <c r="Q46" s="589"/>
    </row>
    <row r="47" spans="1:17 16370:16370" ht="15.6">
      <c r="A47" s="332">
        <v>6</v>
      </c>
      <c r="B47" s="521" t="s">
        <v>21</v>
      </c>
      <c r="C47" s="557" t="s">
        <v>67</v>
      </c>
      <c r="D47" s="333" t="s">
        <v>68</v>
      </c>
      <c r="E47" s="334" t="s">
        <v>39</v>
      </c>
      <c r="F47" s="322"/>
      <c r="G47" s="428"/>
      <c r="H47" s="428"/>
      <c r="I47" s="428"/>
      <c r="J47" s="428"/>
      <c r="K47" s="428"/>
      <c r="L47" s="428"/>
      <c r="M47" s="428"/>
      <c r="N47" s="428"/>
      <c r="O47" s="428"/>
      <c r="P47" s="322"/>
      <c r="Q47" s="558"/>
    </row>
    <row r="48" spans="1:17 16370:16370" ht="16.2" thickBot="1">
      <c r="A48" s="139"/>
      <c r="B48" s="139"/>
      <c r="C48" s="553"/>
      <c r="D48" s="559"/>
      <c r="E48" s="208"/>
      <c r="F48" s="278">
        <f>SUM(F42:F47)</f>
        <v>1150066.28</v>
      </c>
      <c r="G48" s="278">
        <f>SUM(G42:G47)</f>
        <v>1464014.6</v>
      </c>
      <c r="H48" s="278">
        <f>SUM(H42:H47)</f>
        <v>0</v>
      </c>
      <c r="I48" s="278">
        <f>SUM(I42:I47)</f>
        <v>0</v>
      </c>
      <c r="J48" s="278">
        <f>SUM(J42:J47)</f>
        <v>0</v>
      </c>
      <c r="K48" s="278">
        <f>SUM(K42:K47)</f>
        <v>0</v>
      </c>
      <c r="L48" s="278">
        <f>SUM(L42:L47)</f>
        <v>0</v>
      </c>
      <c r="M48" s="278">
        <f>SUM(M42:M47)</f>
        <v>0</v>
      </c>
      <c r="N48" s="278">
        <f>SUM(N42:N47)</f>
        <v>0</v>
      </c>
      <c r="O48" s="278">
        <f>SUM(O42:O47)</f>
        <v>0</v>
      </c>
      <c r="P48" s="278">
        <f>SUM(P42:P47)</f>
        <v>0</v>
      </c>
      <c r="Q48" s="278">
        <f>SUM(Q42:Q47)</f>
        <v>0</v>
      </c>
    </row>
    <row r="49" spans="1:17" ht="16.2" thickBot="1">
      <c r="A49" s="139"/>
      <c r="B49" s="139"/>
      <c r="C49" s="553"/>
      <c r="D49" s="208"/>
      <c r="E49" s="559"/>
      <c r="F49" s="186"/>
      <c r="G49" s="202">
        <f>SUM(F48:H48)</f>
        <v>2614080.88</v>
      </c>
      <c r="H49" s="222"/>
      <c r="I49" s="186"/>
      <c r="J49" s="186">
        <f>SUM(I48:K48)</f>
        <v>0</v>
      </c>
      <c r="K49" s="187"/>
      <c r="L49" s="186"/>
      <c r="M49" s="186">
        <f>SUM(L48:N48)</f>
        <v>0</v>
      </c>
      <c r="N49" s="187"/>
      <c r="O49" s="186"/>
      <c r="P49" s="186">
        <f>SUM(O48:Q48)</f>
        <v>0</v>
      </c>
      <c r="Q49" s="187"/>
    </row>
    <row r="50" spans="1:17" ht="16.2" thickBot="1">
      <c r="A50" s="139"/>
      <c r="B50" s="139"/>
      <c r="C50" s="553"/>
      <c r="D50" s="208"/>
      <c r="E50" s="559"/>
      <c r="F50" s="343"/>
      <c r="G50" s="344" t="s">
        <v>113</v>
      </c>
      <c r="H50" s="345"/>
      <c r="I50" s="343"/>
      <c r="J50" s="344" t="s">
        <v>115</v>
      </c>
      <c r="K50" s="345"/>
      <c r="L50" s="343"/>
      <c r="M50" s="344" t="s">
        <v>138</v>
      </c>
      <c r="N50" s="345"/>
      <c r="O50" s="191"/>
      <c r="P50" s="192" t="s">
        <v>168</v>
      </c>
      <c r="Q50" s="193"/>
    </row>
    <row r="51" spans="1:17" ht="15.6">
      <c r="A51" s="342" t="s">
        <v>69</v>
      </c>
      <c r="B51" s="522"/>
      <c r="C51" s="560" t="s">
        <v>4</v>
      </c>
      <c r="D51" s="350" t="s">
        <v>5</v>
      </c>
      <c r="E51" s="349" t="s">
        <v>6</v>
      </c>
      <c r="F51" s="349" t="s">
        <v>7</v>
      </c>
      <c r="G51" s="349" t="s">
        <v>8</v>
      </c>
      <c r="H51" s="349" t="s">
        <v>9</v>
      </c>
      <c r="I51" s="349" t="s">
        <v>10</v>
      </c>
      <c r="J51" s="349" t="s">
        <v>11</v>
      </c>
      <c r="K51" s="349" t="s">
        <v>12</v>
      </c>
      <c r="L51" s="349" t="s">
        <v>13</v>
      </c>
      <c r="M51" s="349" t="s">
        <v>14</v>
      </c>
      <c r="N51" s="349" t="s">
        <v>15</v>
      </c>
      <c r="O51" s="349" t="s">
        <v>16</v>
      </c>
      <c r="P51" s="349" t="s">
        <v>17</v>
      </c>
      <c r="Q51" s="561" t="s">
        <v>18</v>
      </c>
    </row>
    <row r="52" spans="1:17" ht="15.6">
      <c r="A52" s="351" t="s">
        <v>70</v>
      </c>
      <c r="B52" s="523"/>
      <c r="C52" s="562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563"/>
    </row>
    <row r="53" spans="1:17" ht="15.6">
      <c r="A53" s="224"/>
      <c r="B53" s="224"/>
      <c r="C53" s="549" t="s">
        <v>4</v>
      </c>
      <c r="D53" s="347" t="s">
        <v>71</v>
      </c>
      <c r="E53" s="346" t="s">
        <v>6</v>
      </c>
      <c r="F53" s="348">
        <v>46204</v>
      </c>
      <c r="G53" s="348">
        <v>46235</v>
      </c>
      <c r="H53" s="348">
        <v>46266</v>
      </c>
      <c r="I53" s="348">
        <v>46296</v>
      </c>
      <c r="J53" s="348">
        <v>46327</v>
      </c>
      <c r="K53" s="348">
        <v>46357</v>
      </c>
      <c r="L53" s="348">
        <v>46388</v>
      </c>
      <c r="M53" s="348">
        <v>46419</v>
      </c>
      <c r="N53" s="348">
        <v>46447</v>
      </c>
      <c r="O53" s="348">
        <v>46478</v>
      </c>
      <c r="P53" s="348">
        <v>46508</v>
      </c>
      <c r="Q53" s="550">
        <v>46539</v>
      </c>
    </row>
    <row r="54" spans="1:17" ht="15.6">
      <c r="A54" s="331">
        <v>1</v>
      </c>
      <c r="B54" s="524"/>
      <c r="C54" s="557" t="s">
        <v>72</v>
      </c>
      <c r="D54" s="333">
        <v>3180459344</v>
      </c>
      <c r="E54" s="339" t="s">
        <v>73</v>
      </c>
      <c r="F54" s="322"/>
      <c r="G54" s="322"/>
      <c r="H54" s="322"/>
      <c r="I54" s="322"/>
      <c r="J54" s="322"/>
      <c r="K54" s="322"/>
      <c r="L54" s="322"/>
      <c r="M54" s="322"/>
      <c r="N54" s="322"/>
      <c r="O54" s="322"/>
      <c r="P54" s="322"/>
      <c r="Q54" s="564"/>
    </row>
    <row r="55" spans="1:17" ht="15.6">
      <c r="A55" s="332">
        <v>2</v>
      </c>
      <c r="B55" s="524"/>
      <c r="C55" s="557" t="s">
        <v>74</v>
      </c>
      <c r="D55" s="333" t="s">
        <v>75</v>
      </c>
      <c r="E55" s="339" t="s">
        <v>27</v>
      </c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564"/>
    </row>
    <row r="56" spans="1:17" ht="15.6">
      <c r="A56" s="332">
        <v>3</v>
      </c>
      <c r="B56" s="524"/>
      <c r="C56" s="557" t="s">
        <v>76</v>
      </c>
      <c r="D56" s="333" t="s">
        <v>77</v>
      </c>
      <c r="E56" s="339" t="s">
        <v>78</v>
      </c>
      <c r="F56" s="322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564"/>
    </row>
    <row r="57" spans="1:17" ht="15.6" hidden="1">
      <c r="A57" s="340"/>
      <c r="B57" s="525"/>
      <c r="C57" s="565"/>
      <c r="D57" s="312"/>
      <c r="E57" s="313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564"/>
    </row>
    <row r="58" spans="1:17" ht="15.6">
      <c r="A58" s="338"/>
      <c r="B58" s="524"/>
      <c r="C58" s="566" t="s">
        <v>166</v>
      </c>
      <c r="D58" s="341"/>
      <c r="E58" s="341" t="s">
        <v>167</v>
      </c>
      <c r="F58" s="322">
        <v>995416.19</v>
      </c>
      <c r="G58" s="322">
        <v>1004979.4</v>
      </c>
      <c r="H58" s="322"/>
      <c r="I58" s="322"/>
      <c r="J58" s="322"/>
      <c r="K58" s="322"/>
      <c r="L58" s="322"/>
      <c r="M58" s="322"/>
      <c r="N58" s="322"/>
      <c r="O58" s="322"/>
      <c r="P58" s="322"/>
      <c r="Q58" s="564"/>
    </row>
    <row r="59" spans="1:17" ht="16.2" thickBot="1">
      <c r="A59" s="139"/>
      <c r="B59" s="139"/>
      <c r="C59" s="553"/>
      <c r="D59" s="208"/>
      <c r="E59" s="559"/>
      <c r="F59" s="342">
        <f>SUM(F54:F58)</f>
        <v>995416.19</v>
      </c>
      <c r="G59" s="342">
        <f t="shared" ref="G59:Q59" si="2">SUM(G54:G58)</f>
        <v>1004979.4</v>
      </c>
      <c r="H59" s="342">
        <f t="shared" si="2"/>
        <v>0</v>
      </c>
      <c r="I59" s="342">
        <f t="shared" si="2"/>
        <v>0</v>
      </c>
      <c r="J59" s="342">
        <f t="shared" si="2"/>
        <v>0</v>
      </c>
      <c r="K59" s="342">
        <f t="shared" si="2"/>
        <v>0</v>
      </c>
      <c r="L59" s="342">
        <f t="shared" si="2"/>
        <v>0</v>
      </c>
      <c r="M59" s="342">
        <f t="shared" si="2"/>
        <v>0</v>
      </c>
      <c r="N59" s="342">
        <f t="shared" si="2"/>
        <v>0</v>
      </c>
      <c r="O59" s="342">
        <f t="shared" si="2"/>
        <v>0</v>
      </c>
      <c r="P59" s="342">
        <f t="shared" si="2"/>
        <v>0</v>
      </c>
      <c r="Q59" s="342">
        <f t="shared" si="2"/>
        <v>0</v>
      </c>
    </row>
    <row r="60" spans="1:17" ht="16.2" thickBot="1">
      <c r="A60" s="139"/>
      <c r="B60" s="139"/>
      <c r="C60" s="553"/>
      <c r="D60" s="208"/>
      <c r="E60" s="559"/>
      <c r="F60" s="335"/>
      <c r="G60" s="336">
        <f>SUM(F59:H59)</f>
        <v>2000395.5899999999</v>
      </c>
      <c r="H60" s="337"/>
      <c r="I60" s="335"/>
      <c r="J60" s="335">
        <f>SUM(I59:K59)</f>
        <v>0</v>
      </c>
      <c r="K60" s="193"/>
      <c r="L60" s="335"/>
      <c r="M60" s="335">
        <f>SUM(L59:N59)</f>
        <v>0</v>
      </c>
      <c r="N60" s="193"/>
      <c r="O60" s="186"/>
      <c r="P60" s="186">
        <f>SUM(O59:Q59)</f>
        <v>0</v>
      </c>
      <c r="Q60" s="187"/>
    </row>
    <row r="61" spans="1:17" ht="16.2" thickBot="1">
      <c r="C61" s="254"/>
      <c r="D61" s="567"/>
      <c r="E61" s="255"/>
      <c r="F61" s="191"/>
      <c r="G61" s="192" t="s">
        <v>113</v>
      </c>
      <c r="H61" s="193"/>
      <c r="I61" s="191"/>
      <c r="J61" s="192" t="s">
        <v>115</v>
      </c>
      <c r="K61" s="193"/>
      <c r="L61" s="191"/>
      <c r="M61" s="192" t="s">
        <v>138</v>
      </c>
      <c r="N61" s="193"/>
      <c r="O61" s="191"/>
      <c r="P61" s="192" t="s">
        <v>168</v>
      </c>
      <c r="Q61" s="19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3188-5A10-4E86-9212-681F67A2B6B0}">
  <dimension ref="A1:H9"/>
  <sheetViews>
    <sheetView workbookViewId="0">
      <selection activeCell="F9" sqref="F9"/>
    </sheetView>
  </sheetViews>
  <sheetFormatPr defaultRowHeight="14.4"/>
  <cols>
    <col min="1" max="1" width="20.44140625" bestFit="1" customWidth="1"/>
    <col min="2" max="2" width="35" bestFit="1" customWidth="1"/>
    <col min="3" max="3" width="14.77734375" bestFit="1" customWidth="1"/>
    <col min="4" max="4" width="53.6640625" bestFit="1" customWidth="1"/>
    <col min="5" max="5" width="16.109375" bestFit="1" customWidth="1"/>
    <col min="6" max="6" width="14.109375" bestFit="1" customWidth="1"/>
    <col min="7" max="7" width="21.77734375" bestFit="1" customWidth="1"/>
    <col min="8" max="8" width="14.109375" bestFit="1" customWidth="1"/>
  </cols>
  <sheetData>
    <row r="1" spans="1:8">
      <c r="A1" s="448" t="s">
        <v>90</v>
      </c>
      <c r="B1" s="447" t="s">
        <v>4</v>
      </c>
      <c r="C1" s="447" t="s">
        <v>154</v>
      </c>
      <c r="D1" s="446" t="s">
        <v>105</v>
      </c>
      <c r="E1" s="492" t="s">
        <v>164</v>
      </c>
    </row>
    <row r="2" spans="1:8">
      <c r="A2" s="104"/>
      <c r="B2" s="104"/>
      <c r="C2" s="484"/>
      <c r="D2" s="568"/>
      <c r="E2" s="493"/>
    </row>
    <row r="4" spans="1:8" ht="15" thickBot="1"/>
    <row r="5" spans="1:8" ht="15" thickBot="1">
      <c r="A5" s="448" t="s">
        <v>161</v>
      </c>
    </row>
    <row r="6" spans="1:8">
      <c r="A6" s="603"/>
      <c r="B6" s="603"/>
      <c r="C6" s="603" t="s">
        <v>162</v>
      </c>
      <c r="D6" s="603" t="s">
        <v>163</v>
      </c>
      <c r="E6" s="603" t="s">
        <v>154</v>
      </c>
      <c r="F6" s="602" t="s">
        <v>180</v>
      </c>
      <c r="G6" s="602" t="s">
        <v>175</v>
      </c>
      <c r="H6" s="602" t="s">
        <v>181</v>
      </c>
    </row>
    <row r="7" spans="1:8">
      <c r="A7" s="104" t="s">
        <v>65</v>
      </c>
      <c r="B7" s="104" t="s">
        <v>0</v>
      </c>
      <c r="C7" s="485">
        <v>46203</v>
      </c>
      <c r="D7" s="486">
        <v>0.1125</v>
      </c>
      <c r="E7" s="484">
        <v>1000000000</v>
      </c>
      <c r="F7" s="604">
        <f>$E$7*$D$7*31/365</f>
        <v>9554794.5205479451</v>
      </c>
      <c r="G7" s="604">
        <f>$E$7*$D$7*31/365</f>
        <v>9554794.5205479451</v>
      </c>
      <c r="H7" s="604">
        <f>$E$7*$D$7*30/365</f>
        <v>9246575.3424657527</v>
      </c>
    </row>
    <row r="8" spans="1:8">
      <c r="A8" s="104" t="s">
        <v>153</v>
      </c>
      <c r="B8" s="104" t="s">
        <v>45</v>
      </c>
      <c r="C8" s="485">
        <v>46203</v>
      </c>
      <c r="D8" s="486">
        <v>0.1125</v>
      </c>
      <c r="E8" s="484">
        <v>500000000</v>
      </c>
      <c r="F8" s="604">
        <f>E8*D8*31/365</f>
        <v>4777397.2602739725</v>
      </c>
      <c r="G8" s="604">
        <f>$E$8*$D$8*31/365</f>
        <v>4777397.2602739725</v>
      </c>
      <c r="H8" s="604">
        <f>$E$8*$D$8*30/365</f>
        <v>4623287.6712328764</v>
      </c>
    </row>
    <row r="9" spans="1:8">
      <c r="F9" s="125">
        <f>SUM(F7:F8)</f>
        <v>14332191.780821918</v>
      </c>
      <c r="G9" s="125">
        <f>SUM(G7:G8)</f>
        <v>14332191.780821918</v>
      </c>
      <c r="H9" s="125">
        <f>SUM(H7:H8)</f>
        <v>13869863.01369863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EA73-D181-43F1-BAC2-041CD0F7304D}">
  <dimension ref="A1:M18"/>
  <sheetViews>
    <sheetView zoomScale="81" workbookViewId="0">
      <selection activeCell="I10" sqref="I10"/>
    </sheetView>
  </sheetViews>
  <sheetFormatPr defaultRowHeight="15.6"/>
  <cols>
    <col min="1" max="1" width="6.33203125" style="156" bestFit="1" customWidth="1"/>
    <col min="2" max="2" width="9" style="156" bestFit="1" customWidth="1"/>
    <col min="3" max="3" width="39.88671875" style="156" bestFit="1" customWidth="1"/>
    <col min="4" max="4" width="11.109375" style="156" bestFit="1" customWidth="1"/>
    <col min="5" max="6" width="14.33203125" style="156" bestFit="1" customWidth="1"/>
    <col min="7" max="7" width="16" style="156" bestFit="1" customWidth="1"/>
    <col min="8" max="9" width="18.109375" style="156" bestFit="1" customWidth="1"/>
    <col min="10" max="10" width="22.88671875" bestFit="1" customWidth="1"/>
    <col min="11" max="11" width="15.33203125" style="156" bestFit="1" customWidth="1"/>
    <col min="12" max="12" width="18.109375" style="156" bestFit="1" customWidth="1"/>
    <col min="13" max="13" width="12.33203125" style="156" bestFit="1" customWidth="1"/>
    <col min="14" max="16384" width="8.88671875" style="156"/>
  </cols>
  <sheetData>
    <row r="1" spans="1:13">
      <c r="A1" s="445" t="s">
        <v>90</v>
      </c>
      <c r="B1" s="444" t="s">
        <v>91</v>
      </c>
      <c r="C1" s="444" t="s">
        <v>4</v>
      </c>
      <c r="D1" s="444" t="s">
        <v>99</v>
      </c>
      <c r="E1" s="444" t="s">
        <v>116</v>
      </c>
      <c r="F1" s="444" t="s">
        <v>96</v>
      </c>
      <c r="G1" s="444" t="s">
        <v>97</v>
      </c>
      <c r="H1" s="444" t="s">
        <v>100</v>
      </c>
      <c r="I1" s="444" t="s">
        <v>101</v>
      </c>
      <c r="J1" s="444" t="s">
        <v>152</v>
      </c>
      <c r="K1" s="443" t="s">
        <v>169</v>
      </c>
      <c r="L1" s="443" t="s">
        <v>103</v>
      </c>
    </row>
    <row r="2" spans="1:13">
      <c r="A2" s="440" t="s">
        <v>23</v>
      </c>
      <c r="B2" s="440" t="s">
        <v>79</v>
      </c>
      <c r="C2" s="442" t="s">
        <v>45</v>
      </c>
      <c r="D2" s="439">
        <f>F2-E2</f>
        <v>22</v>
      </c>
      <c r="E2" s="441">
        <v>46231</v>
      </c>
      <c r="F2" s="441">
        <v>46253</v>
      </c>
      <c r="G2" s="612">
        <v>0.1173</v>
      </c>
      <c r="H2" s="610">
        <v>1999987518</v>
      </c>
      <c r="I2" s="610">
        <v>2014127558</v>
      </c>
      <c r="J2" s="610">
        <f>I2-H2</f>
        <v>14140040</v>
      </c>
      <c r="K2" s="571">
        <f>H2*G2*D2/365</f>
        <v>14140185.723152876</v>
      </c>
      <c r="L2" s="572">
        <f>K2-J2</f>
        <v>145.72315287590027</v>
      </c>
      <c r="M2" s="491"/>
    </row>
    <row r="3" spans="1:13">
      <c r="A3" s="440" t="s">
        <v>83</v>
      </c>
      <c r="B3" s="440" t="s">
        <v>79</v>
      </c>
      <c r="C3" s="442" t="s">
        <v>45</v>
      </c>
      <c r="D3" s="439">
        <f>F3-E3</f>
        <v>17</v>
      </c>
      <c r="E3" s="441">
        <v>46230</v>
      </c>
      <c r="F3" s="441">
        <v>46247</v>
      </c>
      <c r="G3" s="612">
        <v>0.1172</v>
      </c>
      <c r="H3" s="610">
        <v>999983711</v>
      </c>
      <c r="I3" s="610">
        <v>1005442329</v>
      </c>
      <c r="J3" s="610">
        <f>I3-H3</f>
        <v>5458618</v>
      </c>
      <c r="K3" s="571">
        <f>H3*G3*D3/365</f>
        <v>5458541.2213599999</v>
      </c>
      <c r="L3" s="572">
        <f>K3-J3</f>
        <v>-76.778640000149608</v>
      </c>
      <c r="M3" s="491"/>
    </row>
    <row r="4" spans="1:13">
      <c r="A4" s="440" t="s">
        <v>23</v>
      </c>
      <c r="B4" s="440" t="s">
        <v>79</v>
      </c>
      <c r="C4" s="442" t="s">
        <v>45</v>
      </c>
      <c r="D4" s="439">
        <f t="shared" ref="D4:D6" si="0">F4-E4</f>
        <v>14</v>
      </c>
      <c r="E4" s="441">
        <v>46251</v>
      </c>
      <c r="F4" s="441">
        <v>46265</v>
      </c>
      <c r="G4" s="612">
        <v>0.1182</v>
      </c>
      <c r="H4" s="610">
        <v>2999917776.9200001</v>
      </c>
      <c r="I4" s="610">
        <v>3013521300</v>
      </c>
      <c r="J4" s="610">
        <f>I4-H4</f>
        <v>13603523.079999924</v>
      </c>
      <c r="K4" s="571">
        <f>H4*G4*D4/365</f>
        <v>13600723.115745798</v>
      </c>
      <c r="L4" s="572">
        <f>K4-J4</f>
        <v>-2799.9642541259527</v>
      </c>
      <c r="M4" s="491"/>
    </row>
    <row r="5" spans="1:13">
      <c r="A5" s="440" t="s">
        <v>23</v>
      </c>
      <c r="B5" s="440" t="s">
        <v>79</v>
      </c>
      <c r="C5" s="442" t="s">
        <v>45</v>
      </c>
      <c r="D5" s="439">
        <f t="shared" si="0"/>
        <v>14</v>
      </c>
      <c r="E5" s="441">
        <v>46251</v>
      </c>
      <c r="F5" s="441">
        <v>46265</v>
      </c>
      <c r="G5" s="612">
        <v>0.1182</v>
      </c>
      <c r="H5" s="610">
        <v>1000005664.5599999</v>
      </c>
      <c r="I5" s="610">
        <v>1004540322</v>
      </c>
      <c r="J5" s="610">
        <f>I5-H5</f>
        <v>4534657.4400000572</v>
      </c>
      <c r="K5" s="571">
        <f>H5*G5*D5/365</f>
        <v>4533724.3115448989</v>
      </c>
      <c r="L5" s="572">
        <f t="shared" ref="L5:L6" si="1">K5-J5</f>
        <v>-933.12845515832305</v>
      </c>
    </row>
    <row r="6" spans="1:13">
      <c r="A6" s="440" t="s">
        <v>23</v>
      </c>
      <c r="B6" s="440" t="s">
        <v>79</v>
      </c>
      <c r="C6" s="442" t="s">
        <v>45</v>
      </c>
      <c r="D6" s="439">
        <f t="shared" si="0"/>
        <v>13</v>
      </c>
      <c r="E6" s="441">
        <v>46254</v>
      </c>
      <c r="F6" s="441">
        <v>46267</v>
      </c>
      <c r="G6" s="612">
        <v>0.117052</v>
      </c>
      <c r="H6" s="610">
        <v>2000036906.8199999</v>
      </c>
      <c r="I6" s="611">
        <v>2008375035</v>
      </c>
      <c r="J6" s="610">
        <f>I6-H6</f>
        <v>8338128.1800000668</v>
      </c>
      <c r="K6" s="571">
        <f>H6*G6*D6/365</f>
        <v>8338104.5485540563</v>
      </c>
      <c r="L6" s="572">
        <f t="shared" si="1"/>
        <v>-23.631446010433137</v>
      </c>
    </row>
    <row r="7" spans="1:13">
      <c r="H7" s="570"/>
    </row>
    <row r="8" spans="1:13">
      <c r="H8" s="570"/>
    </row>
    <row r="9" spans="1:13">
      <c r="H9" s="570"/>
    </row>
    <row r="10" spans="1:13" ht="16.2" thickBot="1">
      <c r="G10" s="638">
        <f>AVERAGE(G2:G6)</f>
        <v>0.11759040000000001</v>
      </c>
      <c r="J10" s="569">
        <f>SUM(J2:J3)</f>
        <v>19598658</v>
      </c>
    </row>
    <row r="11" spans="1:13" ht="16.2" thickBot="1">
      <c r="G11" s="438" t="s">
        <v>197</v>
      </c>
      <c r="J11" s="438" t="s">
        <v>19</v>
      </c>
    </row>
    <row r="13" spans="1:13">
      <c r="J13" s="9"/>
    </row>
    <row r="14" spans="1:13">
      <c r="J14" s="9"/>
    </row>
    <row r="15" spans="1:13">
      <c r="J15" s="9"/>
    </row>
    <row r="16" spans="1:13">
      <c r="J16" s="9"/>
    </row>
    <row r="17" spans="10:10">
      <c r="J17" s="9"/>
    </row>
    <row r="18" spans="10:10">
      <c r="J18" s="60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XEZ64"/>
  <sheetViews>
    <sheetView showGridLines="0" topLeftCell="C5" zoomScale="53" zoomScaleNormal="53" workbookViewId="0">
      <selection activeCell="M14" sqref="M14"/>
    </sheetView>
  </sheetViews>
  <sheetFormatPr defaultColWidth="8.77734375" defaultRowHeight="14.4"/>
  <cols>
    <col min="1" max="1" width="25.6640625" style="4" bestFit="1" customWidth="1"/>
    <col min="2" max="2" width="37.88671875" style="4" bestFit="1" customWidth="1"/>
    <col min="3" max="3" width="80.21875" style="4" bestFit="1" customWidth="1"/>
    <col min="4" max="4" width="31.33203125" style="4" bestFit="1" customWidth="1"/>
    <col min="5" max="5" width="15.88671875" style="5" bestFit="1" customWidth="1"/>
    <col min="6" max="6" width="16.21875" style="4" bestFit="1" customWidth="1"/>
    <col min="7" max="7" width="17.6640625" style="4" bestFit="1" customWidth="1"/>
    <col min="8" max="8" width="16.21875" style="4" bestFit="1" customWidth="1"/>
    <col min="9" max="9" width="16.21875" style="6" bestFit="1" customWidth="1"/>
    <col min="10" max="12" width="17.6640625" style="6" bestFit="1" customWidth="1"/>
    <col min="13" max="14" width="17.6640625" style="4" bestFit="1" customWidth="1"/>
    <col min="15" max="15" width="11.21875" style="4" bestFit="1" customWidth="1"/>
    <col min="16" max="16" width="12.88671875" style="4" bestFit="1" customWidth="1"/>
    <col min="17" max="17" width="10" style="4" bestFit="1" customWidth="1"/>
    <col min="18" max="18" width="17.6640625" style="4" bestFit="1" customWidth="1"/>
    <col min="19" max="19" width="19.5546875" bestFit="1" customWidth="1"/>
    <col min="20" max="20" width="11.44140625" style="124" bestFit="1" customWidth="1"/>
    <col min="21" max="21" width="45" hidden="1" customWidth="1"/>
    <col min="22" max="22" width="20.88671875" hidden="1" customWidth="1"/>
    <col min="23" max="23" width="7.88671875" hidden="1" customWidth="1"/>
    <col min="24" max="24" width="8.6640625" bestFit="1" customWidth="1"/>
    <col min="25" max="26" width="15.88671875" bestFit="1" customWidth="1"/>
    <col min="27" max="28" width="14" bestFit="1" customWidth="1"/>
  </cols>
  <sheetData>
    <row r="1" spans="1:28 16378:16378" ht="16.2" thickBot="1">
      <c r="A1" s="136" t="s">
        <v>0</v>
      </c>
      <c r="B1" s="137" t="s">
        <v>135</v>
      </c>
      <c r="C1" s="138"/>
      <c r="D1" s="139"/>
      <c r="E1" s="140"/>
      <c r="F1" s="139"/>
      <c r="G1" s="139"/>
      <c r="H1" s="139"/>
      <c r="I1" s="141"/>
      <c r="J1" s="142"/>
      <c r="K1" s="143"/>
      <c r="L1" s="143"/>
      <c r="M1" s="139"/>
      <c r="N1" s="139"/>
      <c r="O1" s="139"/>
      <c r="P1" s="139"/>
      <c r="Q1" s="139"/>
      <c r="R1" s="139"/>
      <c r="S1" s="144"/>
      <c r="T1" s="145"/>
      <c r="U1" s="146" t="s">
        <v>126</v>
      </c>
      <c r="V1" s="147">
        <f>S19+S27+S35</f>
        <v>1007608074.2100003</v>
      </c>
    </row>
    <row r="2" spans="1:28 16378:16378" s="13" customFormat="1" ht="16.2" thickBot="1">
      <c r="A2" s="148" t="s">
        <v>2</v>
      </c>
      <c r="B2" s="148"/>
      <c r="C2" s="149" t="s">
        <v>4</v>
      </c>
      <c r="D2" s="150" t="s">
        <v>5</v>
      </c>
      <c r="E2" s="149" t="s">
        <v>6</v>
      </c>
      <c r="F2" s="149" t="s">
        <v>7</v>
      </c>
      <c r="G2" s="149" t="s">
        <v>8</v>
      </c>
      <c r="H2" s="149" t="s">
        <v>9</v>
      </c>
      <c r="I2" s="149" t="s">
        <v>10</v>
      </c>
      <c r="J2" s="149" t="s">
        <v>11</v>
      </c>
      <c r="K2" s="149" t="s">
        <v>12</v>
      </c>
      <c r="L2" s="149" t="s">
        <v>13</v>
      </c>
      <c r="M2" s="149" t="s">
        <v>14</v>
      </c>
      <c r="N2" s="149" t="s">
        <v>15</v>
      </c>
      <c r="O2" s="149" t="s">
        <v>16</v>
      </c>
      <c r="P2" s="149" t="s">
        <v>17</v>
      </c>
      <c r="Q2" s="149" t="s">
        <v>18</v>
      </c>
      <c r="R2" s="149" t="s">
        <v>19</v>
      </c>
      <c r="S2" s="151"/>
      <c r="T2" s="152"/>
      <c r="U2" s="153" t="s">
        <v>131</v>
      </c>
      <c r="V2" s="8">
        <v>-797902644.11000001</v>
      </c>
    </row>
    <row r="3" spans="1:28 16378:16378" ht="16.2" thickBot="1">
      <c r="A3" s="154">
        <v>1</v>
      </c>
      <c r="B3" s="155" t="s">
        <v>21</v>
      </c>
      <c r="C3" s="270" t="s">
        <v>22</v>
      </c>
      <c r="D3" s="200">
        <v>231422923</v>
      </c>
      <c r="E3" s="280" t="s">
        <v>23</v>
      </c>
      <c r="F3" s="199"/>
      <c r="G3" s="199">
        <v>26514</v>
      </c>
      <c r="H3" s="281" t="s">
        <v>24</v>
      </c>
      <c r="I3" s="281" t="s">
        <v>24</v>
      </c>
      <c r="J3" s="281" t="s">
        <v>24</v>
      </c>
      <c r="K3" s="282" t="s">
        <v>24</v>
      </c>
      <c r="L3" s="281" t="s">
        <v>24</v>
      </c>
      <c r="M3" s="281" t="s">
        <v>24</v>
      </c>
      <c r="N3" s="281" t="s">
        <v>24</v>
      </c>
      <c r="O3" s="281" t="s">
        <v>24</v>
      </c>
      <c r="P3" s="281" t="s">
        <v>24</v>
      </c>
      <c r="Q3" s="281" t="s">
        <v>24</v>
      </c>
      <c r="R3" s="281">
        <f>SUM(F3:Q3)</f>
        <v>26514</v>
      </c>
      <c r="S3" s="156"/>
      <c r="T3" s="145"/>
      <c r="U3" s="157" t="s">
        <v>103</v>
      </c>
      <c r="V3" s="158">
        <f>V2+V1</f>
        <v>209705430.10000026</v>
      </c>
      <c r="XEX3" s="20"/>
    </row>
    <row r="4" spans="1:28 16378:16378" ht="15.6">
      <c r="A4" s="154">
        <v>3</v>
      </c>
      <c r="B4" s="155" t="s">
        <v>21</v>
      </c>
      <c r="C4" s="270" t="s">
        <v>25</v>
      </c>
      <c r="D4" s="200">
        <v>9134</v>
      </c>
      <c r="E4" s="280" t="s">
        <v>23</v>
      </c>
      <c r="F4" s="199">
        <v>5506585</v>
      </c>
      <c r="G4" s="199">
        <v>5506585</v>
      </c>
      <c r="H4" s="199">
        <v>5506585</v>
      </c>
      <c r="I4" s="283">
        <v>1566397.4699999988</v>
      </c>
      <c r="J4" s="199">
        <v>3102250.2</v>
      </c>
      <c r="K4" s="199">
        <f>2629214.54+2094186.08</f>
        <v>4723400.62</v>
      </c>
      <c r="L4" s="199">
        <v>4371706.21</v>
      </c>
      <c r="M4" s="199">
        <v>3860707.55</v>
      </c>
      <c r="N4" s="199">
        <v>3941162.6</v>
      </c>
      <c r="O4" s="199">
        <v>0</v>
      </c>
      <c r="P4" s="199">
        <v>0</v>
      </c>
      <c r="Q4" s="199"/>
      <c r="R4" s="199">
        <f>SUBTOTAL(9,F4:Q4)</f>
        <v>38085379.649999999</v>
      </c>
      <c r="S4" s="103"/>
      <c r="T4" s="145"/>
      <c r="U4" s="266"/>
      <c r="V4" s="267"/>
    </row>
    <row r="5" spans="1:28 16378:16378" ht="15.6">
      <c r="A5" s="154">
        <v>3</v>
      </c>
      <c r="B5" s="155" t="s">
        <v>21</v>
      </c>
      <c r="C5" s="270" t="s">
        <v>26</v>
      </c>
      <c r="D5" s="200">
        <v>9172</v>
      </c>
      <c r="E5" s="280" t="s">
        <v>23</v>
      </c>
      <c r="F5" s="199">
        <v>1216390.3333333333</v>
      </c>
      <c r="G5" s="199">
        <v>1216390.3333333333</v>
      </c>
      <c r="H5" s="199">
        <v>1216390.3333333333</v>
      </c>
      <c r="I5" s="283">
        <v>2072281.2800000003</v>
      </c>
      <c r="J5" s="199">
        <v>2925850.36</v>
      </c>
      <c r="K5" s="199">
        <v>6103588.96</v>
      </c>
      <c r="L5" s="199">
        <f>1307802.28+1967751.74</f>
        <v>3275554.02</v>
      </c>
      <c r="M5" s="199">
        <v>7788250.9000000004</v>
      </c>
      <c r="N5" s="199">
        <v>10639561.6</v>
      </c>
      <c r="O5" s="199">
        <v>0</v>
      </c>
      <c r="P5" s="199">
        <v>0</v>
      </c>
      <c r="Q5" s="199"/>
      <c r="R5" s="199">
        <f>SUBTOTAL(9,F5:Q5)</f>
        <v>36454258.120000005</v>
      </c>
      <c r="S5" s="103"/>
      <c r="T5" s="145"/>
      <c r="U5" s="235"/>
      <c r="V5" s="236"/>
    </row>
    <row r="6" spans="1:28 16378:16378" ht="15.6">
      <c r="A6" s="159">
        <v>4</v>
      </c>
      <c r="B6" s="160" t="s">
        <v>21</v>
      </c>
      <c r="C6" s="271" t="s">
        <v>0</v>
      </c>
      <c r="D6" s="196">
        <v>1006023474</v>
      </c>
      <c r="E6" s="284" t="s">
        <v>27</v>
      </c>
      <c r="F6" s="195">
        <v>305737</v>
      </c>
      <c r="G6" s="195">
        <v>486244.07</v>
      </c>
      <c r="H6" s="195">
        <v>193234.39</v>
      </c>
      <c r="I6" s="285">
        <f>146697.41+3547.95</f>
        <v>150245.36000000002</v>
      </c>
      <c r="J6" s="285">
        <v>257170.07</v>
      </c>
      <c r="K6" s="286">
        <v>277764.5</v>
      </c>
      <c r="L6" s="195">
        <v>256624.39</v>
      </c>
      <c r="M6" s="195">
        <v>297433.18</v>
      </c>
      <c r="N6" s="195">
        <v>342034.54</v>
      </c>
      <c r="O6" s="195"/>
      <c r="P6" s="195"/>
      <c r="Q6" s="195"/>
      <c r="R6" s="195">
        <f t="shared" ref="R6:R18" si="0">SUM(F6:Q6)</f>
        <v>2566487.5000000005</v>
      </c>
      <c r="T6" s="145"/>
      <c r="U6" s="265">
        <f>U8+U9</f>
        <v>0</v>
      </c>
      <c r="V6" s="236"/>
    </row>
    <row r="7" spans="1:28 16378:16378" ht="15.6">
      <c r="A7" s="159">
        <v>5</v>
      </c>
      <c r="B7" s="160" t="s">
        <v>21</v>
      </c>
      <c r="C7" s="271" t="s">
        <v>22</v>
      </c>
      <c r="D7" s="196">
        <v>1006024272</v>
      </c>
      <c r="E7" s="284" t="s">
        <v>27</v>
      </c>
      <c r="F7" s="195">
        <v>1637214.51</v>
      </c>
      <c r="G7" s="195">
        <v>20894.88</v>
      </c>
      <c r="H7" s="195">
        <v>22509.87</v>
      </c>
      <c r="I7" s="285">
        <v>52507.16</v>
      </c>
      <c r="J7" s="281" t="s">
        <v>24</v>
      </c>
      <c r="K7" s="282" t="s">
        <v>24</v>
      </c>
      <c r="L7" s="281" t="s">
        <v>24</v>
      </c>
      <c r="M7" s="281" t="s">
        <v>24</v>
      </c>
      <c r="N7" s="281" t="s">
        <v>24</v>
      </c>
      <c r="O7" s="281" t="s">
        <v>24</v>
      </c>
      <c r="P7" s="281" t="s">
        <v>24</v>
      </c>
      <c r="Q7" s="281" t="s">
        <v>24</v>
      </c>
      <c r="R7" s="195">
        <f t="shared" si="0"/>
        <v>1733126.42</v>
      </c>
      <c r="T7" s="145"/>
      <c r="U7" s="235"/>
      <c r="V7" s="236"/>
    </row>
    <row r="8" spans="1:28 16378:16378" ht="15.6">
      <c r="A8" s="159">
        <v>6</v>
      </c>
      <c r="B8" s="160" t="s">
        <v>21</v>
      </c>
      <c r="C8" s="271" t="s">
        <v>28</v>
      </c>
      <c r="D8" s="196">
        <v>1006155292</v>
      </c>
      <c r="E8" s="284" t="s">
        <v>27</v>
      </c>
      <c r="F8" s="195">
        <v>1182085.76</v>
      </c>
      <c r="G8" s="195">
        <v>10240.43</v>
      </c>
      <c r="H8" s="195">
        <v>10338.94</v>
      </c>
      <c r="I8" s="285">
        <v>337931.83</v>
      </c>
      <c r="J8" s="285">
        <v>382024.66</v>
      </c>
      <c r="K8" s="286">
        <v>410482.89</v>
      </c>
      <c r="L8" s="195">
        <v>617477.6</v>
      </c>
      <c r="M8" s="195">
        <v>4476.3</v>
      </c>
      <c r="N8" s="195">
        <v>3656735.1</v>
      </c>
      <c r="O8" s="195"/>
      <c r="P8" s="195"/>
      <c r="Q8" s="195"/>
      <c r="R8" s="195">
        <f t="shared" si="0"/>
        <v>6611793.5099999998</v>
      </c>
      <c r="T8" s="145"/>
      <c r="U8" s="262"/>
      <c r="V8" s="263"/>
    </row>
    <row r="9" spans="1:28 16378:16378" ht="15.6">
      <c r="A9" s="159">
        <v>7</v>
      </c>
      <c r="B9" s="160" t="s">
        <v>21</v>
      </c>
      <c r="C9" s="271" t="s">
        <v>29</v>
      </c>
      <c r="D9" s="196">
        <v>1006155289</v>
      </c>
      <c r="E9" s="284" t="s">
        <v>27</v>
      </c>
      <c r="F9" s="195">
        <v>102934.62</v>
      </c>
      <c r="G9" s="195">
        <v>98496.78</v>
      </c>
      <c r="H9" s="195">
        <v>99444.32</v>
      </c>
      <c r="I9" s="285">
        <v>103579.27</v>
      </c>
      <c r="J9" s="285">
        <v>853225.36</v>
      </c>
      <c r="K9" s="195">
        <v>1223477.75</v>
      </c>
      <c r="L9" s="195">
        <v>973248.17</v>
      </c>
      <c r="M9" s="195">
        <v>7062.64</v>
      </c>
      <c r="N9" s="195">
        <v>7876</v>
      </c>
      <c r="O9" s="195"/>
      <c r="P9" s="195"/>
      <c r="Q9" s="195"/>
      <c r="R9" s="195">
        <f t="shared" si="0"/>
        <v>3469344.91</v>
      </c>
      <c r="T9" s="145"/>
      <c r="U9" s="264"/>
      <c r="V9" s="236"/>
    </row>
    <row r="10" spans="1:28 16378:16378" ht="15.6">
      <c r="A10" s="159">
        <v>8</v>
      </c>
      <c r="B10" s="160" t="s">
        <v>21</v>
      </c>
      <c r="C10" s="271" t="s">
        <v>30</v>
      </c>
      <c r="D10" s="196">
        <v>1006155288</v>
      </c>
      <c r="E10" s="284" t="s">
        <v>27</v>
      </c>
      <c r="F10" s="195">
        <v>22522226.91</v>
      </c>
      <c r="G10" s="195">
        <v>32579787.75</v>
      </c>
      <c r="H10" s="195">
        <v>19774819.050000001</v>
      </c>
      <c r="I10" s="285">
        <v>26319781.190000001</v>
      </c>
      <c r="J10" s="285">
        <v>27920224.550000001</v>
      </c>
      <c r="K10" s="286">
        <v>24683729.850000001</v>
      </c>
      <c r="L10" s="195">
        <v>16691642.5</v>
      </c>
      <c r="M10" s="195">
        <v>4887529.79</v>
      </c>
      <c r="N10" s="195">
        <v>5157241.9000000004</v>
      </c>
      <c r="O10" s="195"/>
      <c r="P10" s="195"/>
      <c r="Q10" s="195"/>
      <c r="R10" s="195">
        <f t="shared" si="0"/>
        <v>180536983.48999998</v>
      </c>
      <c r="T10" s="145"/>
      <c r="U10" s="235"/>
      <c r="V10" s="236"/>
    </row>
    <row r="11" spans="1:28 16378:16378" ht="15.6">
      <c r="A11" s="159">
        <v>9</v>
      </c>
      <c r="B11" s="160" t="s">
        <v>21</v>
      </c>
      <c r="C11" s="271" t="s">
        <v>31</v>
      </c>
      <c r="D11" s="196">
        <v>1698</v>
      </c>
      <c r="E11" s="284" t="s">
        <v>27</v>
      </c>
      <c r="F11" s="195">
        <v>1382968.51</v>
      </c>
      <c r="G11" s="195">
        <v>2143162.59</v>
      </c>
      <c r="H11" s="195">
        <v>2346921.39</v>
      </c>
      <c r="I11" s="285">
        <v>1900670.44</v>
      </c>
      <c r="J11" s="285">
        <v>1655608.98</v>
      </c>
      <c r="K11" s="286">
        <v>1791145.86</v>
      </c>
      <c r="L11" s="195">
        <v>381386.85</v>
      </c>
      <c r="M11" s="195">
        <v>390970.64</v>
      </c>
      <c r="N11" s="195">
        <v>344467.9</v>
      </c>
      <c r="O11" s="195"/>
      <c r="P11" s="195"/>
      <c r="Q11" s="195"/>
      <c r="R11" s="195">
        <f t="shared" si="0"/>
        <v>12337303.16</v>
      </c>
      <c r="T11" s="145"/>
      <c r="U11" s="235"/>
      <c r="V11" s="236"/>
    </row>
    <row r="12" spans="1:28 16378:16378" ht="15.6">
      <c r="A12" s="159">
        <v>9</v>
      </c>
      <c r="B12" s="160" t="s">
        <v>21</v>
      </c>
      <c r="C12" s="271" t="s">
        <v>25</v>
      </c>
      <c r="D12" s="196">
        <v>2280</v>
      </c>
      <c r="E12" s="284" t="s">
        <v>27</v>
      </c>
      <c r="F12" s="195"/>
      <c r="G12" s="195"/>
      <c r="H12" s="195"/>
      <c r="I12" s="285">
        <v>2602094.88</v>
      </c>
      <c r="J12" s="285">
        <v>5711710.3399999999</v>
      </c>
      <c r="K12" s="195">
        <v>4426338.17</v>
      </c>
      <c r="L12" s="195">
        <v>1854292.54</v>
      </c>
      <c r="M12" s="195">
        <v>87014.93</v>
      </c>
      <c r="N12" s="195">
        <v>87014.9</v>
      </c>
      <c r="O12" s="195"/>
      <c r="P12" s="195"/>
      <c r="Q12" s="195"/>
      <c r="R12" s="195">
        <f t="shared" si="0"/>
        <v>14768465.76</v>
      </c>
      <c r="T12" s="145"/>
      <c r="U12" s="262"/>
      <c r="V12" s="236"/>
    </row>
    <row r="13" spans="1:28 16378:16378" ht="15.6">
      <c r="A13" s="164">
        <v>10</v>
      </c>
      <c r="B13" s="165" t="s">
        <v>21</v>
      </c>
      <c r="C13" s="272" t="s">
        <v>32</v>
      </c>
      <c r="D13" s="287" t="s">
        <v>33</v>
      </c>
      <c r="E13" s="288" t="s">
        <v>34</v>
      </c>
      <c r="F13" s="289">
        <v>1968.9</v>
      </c>
      <c r="G13" s="289">
        <v>1984.79</v>
      </c>
      <c r="H13" s="289">
        <v>1936.26</v>
      </c>
      <c r="I13" s="290">
        <v>2016.42</v>
      </c>
      <c r="J13" s="289">
        <v>1967.12</v>
      </c>
      <c r="K13" s="291">
        <v>2048.56</v>
      </c>
      <c r="L13" s="289">
        <v>1956.4</v>
      </c>
      <c r="M13" s="289">
        <v>1777.39</v>
      </c>
      <c r="N13" s="289">
        <v>1976.86</v>
      </c>
      <c r="O13" s="289"/>
      <c r="P13" s="289"/>
      <c r="Q13" s="289"/>
      <c r="R13" s="289">
        <f t="shared" si="0"/>
        <v>17632.699999999997</v>
      </c>
      <c r="T13" s="145"/>
      <c r="U13" s="268"/>
      <c r="V13" s="236"/>
    </row>
    <row r="14" spans="1:28 16378:16378" ht="15.6">
      <c r="A14" s="166">
        <v>11</v>
      </c>
      <c r="B14" s="167" t="s">
        <v>21</v>
      </c>
      <c r="C14" s="273" t="s">
        <v>30</v>
      </c>
      <c r="D14" s="292" t="s">
        <v>35</v>
      </c>
      <c r="E14" s="293" t="s">
        <v>36</v>
      </c>
      <c r="F14" s="294">
        <v>503868.95333333331</v>
      </c>
      <c r="G14" s="294">
        <v>503868.95333333331</v>
      </c>
      <c r="H14" s="294">
        <v>503868.95333333331</v>
      </c>
      <c r="I14" s="295"/>
      <c r="J14" s="295"/>
      <c r="K14" s="296"/>
      <c r="L14" s="294">
        <v>34178</v>
      </c>
      <c r="M14" s="294"/>
      <c r="N14" s="327">
        <v>591305</v>
      </c>
      <c r="O14" s="294"/>
      <c r="P14" s="294"/>
      <c r="Q14" s="294"/>
      <c r="R14" s="294">
        <f t="shared" si="0"/>
        <v>2137089.86</v>
      </c>
      <c r="S14" s="168"/>
      <c r="T14" s="145"/>
      <c r="U14" s="262"/>
      <c r="V14" s="236"/>
    </row>
    <row r="15" spans="1:28 16378:16378" ht="15.6">
      <c r="A15" s="169">
        <v>12</v>
      </c>
      <c r="B15" s="170" t="s">
        <v>21</v>
      </c>
      <c r="C15" s="274" t="s">
        <v>37</v>
      </c>
      <c r="D15" s="297" t="s">
        <v>38</v>
      </c>
      <c r="E15" s="298" t="s">
        <v>39</v>
      </c>
      <c r="F15" s="299"/>
      <c r="G15" s="299"/>
      <c r="H15" s="299"/>
      <c r="I15" s="300"/>
      <c r="J15" s="300"/>
      <c r="K15" s="301">
        <v>17477.169999999998</v>
      </c>
      <c r="L15" s="299"/>
      <c r="M15" s="299"/>
      <c r="N15" s="327">
        <v>7000</v>
      </c>
      <c r="O15" s="299"/>
      <c r="P15" s="299"/>
      <c r="Q15" s="299"/>
      <c r="R15" s="299">
        <f t="shared" si="0"/>
        <v>24477.17</v>
      </c>
      <c r="S15" s="156"/>
      <c r="T15" s="145"/>
      <c r="U15" s="235"/>
      <c r="V15" s="236"/>
      <c r="Y15" s="9"/>
    </row>
    <row r="16" spans="1:28 16378:16378" ht="15.6">
      <c r="A16" s="171">
        <v>13</v>
      </c>
      <c r="B16" s="172" t="s">
        <v>21</v>
      </c>
      <c r="C16" s="275" t="s">
        <v>26</v>
      </c>
      <c r="D16" s="302" t="s">
        <v>40</v>
      </c>
      <c r="E16" s="303" t="s">
        <v>41</v>
      </c>
      <c r="F16" s="304">
        <v>46036892.25</v>
      </c>
      <c r="G16" s="304">
        <v>46551176.920000002</v>
      </c>
      <c r="H16" s="304">
        <v>54817037.539999999</v>
      </c>
      <c r="I16" s="304">
        <v>48949285.340000004</v>
      </c>
      <c r="J16" s="305">
        <f>53355378.15+2512114</f>
        <v>55867492.149999999</v>
      </c>
      <c r="K16" s="306">
        <v>66883322.560000002</v>
      </c>
      <c r="L16" s="304">
        <v>83952078.420000002</v>
      </c>
      <c r="M16" s="304">
        <f>9117508.01+68524828.89</f>
        <v>77642336.900000006</v>
      </c>
      <c r="N16" s="304">
        <v>95461094.459999993</v>
      </c>
      <c r="O16" s="304"/>
      <c r="P16" s="304"/>
      <c r="Q16" s="304"/>
      <c r="R16" s="304">
        <f>SUM(F16:Q16)</f>
        <v>576160716.54000008</v>
      </c>
      <c r="S16" s="156"/>
      <c r="T16" s="145"/>
      <c r="U16" s="235"/>
      <c r="V16" s="236"/>
      <c r="Z16" s="324"/>
      <c r="AA16" s="325"/>
      <c r="AB16" s="21"/>
    </row>
    <row r="17" spans="1:27" ht="15.6">
      <c r="A17" s="171">
        <v>14</v>
      </c>
      <c r="B17" s="172" t="s">
        <v>42</v>
      </c>
      <c r="C17" s="275" t="s">
        <v>43</v>
      </c>
      <c r="D17" s="302" t="s">
        <v>44</v>
      </c>
      <c r="E17" s="303" t="s">
        <v>41</v>
      </c>
      <c r="F17" s="304">
        <v>2344613.9900000002</v>
      </c>
      <c r="G17" s="304">
        <v>2518745.09</v>
      </c>
      <c r="H17" s="304">
        <v>2508166.67</v>
      </c>
      <c r="I17" s="304">
        <v>2565342.91</v>
      </c>
      <c r="J17" s="305">
        <f>-43683+2251652.17</f>
        <v>2207969.17</v>
      </c>
      <c r="K17" s="307">
        <v>1933481.4</v>
      </c>
      <c r="L17" s="304">
        <v>933356</v>
      </c>
      <c r="M17" s="304">
        <f>106543.02+509166.02</f>
        <v>615709.04</v>
      </c>
      <c r="N17" s="304">
        <v>246427.87</v>
      </c>
      <c r="O17" s="304"/>
      <c r="P17" s="304"/>
      <c r="Q17" s="304"/>
      <c r="R17" s="304">
        <f>SUM(F17:Q17)</f>
        <v>15873812.139999999</v>
      </c>
      <c r="S17" s="317"/>
      <c r="T17" s="145"/>
      <c r="U17" s="235"/>
      <c r="V17" s="236"/>
    </row>
    <row r="18" spans="1:27" ht="16.2" thickBot="1">
      <c r="A18" s="173">
        <v>16</v>
      </c>
      <c r="B18" s="174" t="s">
        <v>21</v>
      </c>
      <c r="C18" s="276" t="s">
        <v>45</v>
      </c>
      <c r="D18" s="308" t="s">
        <v>46</v>
      </c>
      <c r="E18" s="309" t="s">
        <v>47</v>
      </c>
      <c r="F18" s="310"/>
      <c r="G18" s="310"/>
      <c r="H18" s="310"/>
      <c r="I18" s="311"/>
      <c r="J18" s="311"/>
      <c r="K18" s="311"/>
      <c r="L18" s="310"/>
      <c r="M18" s="310"/>
      <c r="N18" s="310"/>
      <c r="O18" s="310"/>
      <c r="P18" s="310"/>
      <c r="Q18" s="310"/>
      <c r="R18" s="310">
        <f t="shared" si="0"/>
        <v>0</v>
      </c>
      <c r="S18" s="156"/>
      <c r="T18" s="145"/>
      <c r="U18" s="235"/>
      <c r="V18" s="236"/>
    </row>
    <row r="19" spans="1:27" ht="16.2" thickBot="1">
      <c r="A19" s="175">
        <v>17</v>
      </c>
      <c r="B19" s="176" t="s">
        <v>21</v>
      </c>
      <c r="C19" s="277" t="s">
        <v>48</v>
      </c>
      <c r="D19" s="312">
        <v>2001412216</v>
      </c>
      <c r="E19" s="313" t="s">
        <v>49</v>
      </c>
      <c r="F19" s="314">
        <f>259115.55+7670713</f>
        <v>7929828.5499999998</v>
      </c>
      <c r="G19" s="314">
        <f>7740862.45</f>
        <v>7740862.4500000002</v>
      </c>
      <c r="H19" s="314">
        <v>7559785.1399999997</v>
      </c>
      <c r="I19" s="315">
        <v>7880799.8499999996</v>
      </c>
      <c r="J19" s="316">
        <v>7696212.2300000004</v>
      </c>
      <c r="K19" s="316">
        <f>7764213+261093.82</f>
        <v>8025306.8200000003</v>
      </c>
      <c r="L19" s="314">
        <v>7626081.21</v>
      </c>
      <c r="M19" s="314">
        <v>6810513.0599999996</v>
      </c>
      <c r="N19" s="314">
        <v>7599210.5</v>
      </c>
      <c r="O19" s="314"/>
      <c r="P19" s="314"/>
      <c r="Q19" s="314"/>
      <c r="R19" s="314">
        <f>SUM(F19:Q19)</f>
        <v>68868599.810000002</v>
      </c>
      <c r="S19" s="201">
        <f>SUM(R3:R20)</f>
        <v>962276417.4200002</v>
      </c>
      <c r="T19" s="145"/>
      <c r="U19" s="249"/>
      <c r="V19" s="250"/>
    </row>
    <row r="20" spans="1:27" ht="16.2" thickBot="1">
      <c r="A20" s="243"/>
      <c r="B20" s="176" t="s">
        <v>21</v>
      </c>
      <c r="C20" s="277" t="s">
        <v>132</v>
      </c>
      <c r="D20" s="312">
        <v>2001543507</v>
      </c>
      <c r="E20" s="313" t="s">
        <v>49</v>
      </c>
      <c r="F20" s="314"/>
      <c r="G20" s="314"/>
      <c r="H20" s="314"/>
      <c r="I20" s="315"/>
      <c r="J20" s="316"/>
      <c r="K20" s="316">
        <v>69873.86</v>
      </c>
      <c r="L20" s="314">
        <v>863606.99</v>
      </c>
      <c r="M20" s="314">
        <v>789747.23</v>
      </c>
      <c r="N20" s="314">
        <v>881204.6</v>
      </c>
      <c r="O20" s="314"/>
      <c r="P20" s="314"/>
      <c r="Q20" s="314"/>
      <c r="R20" s="314">
        <f>SUM(F20:Q20)</f>
        <v>2604432.6800000002</v>
      </c>
      <c r="S20" s="201"/>
      <c r="T20" s="145"/>
      <c r="U20" s="249"/>
      <c r="V20" s="250"/>
    </row>
    <row r="21" spans="1:27" ht="16.2" thickBot="1">
      <c r="A21" s="179"/>
      <c r="B21" s="180"/>
      <c r="C21" s="180"/>
      <c r="D21" s="181"/>
      <c r="E21" s="182"/>
      <c r="F21" s="278">
        <f>SUM(F3:F19)</f>
        <v>90673315.286666662</v>
      </c>
      <c r="G21" s="278">
        <f>SUM(G3:G19)</f>
        <v>99404954.036666676</v>
      </c>
      <c r="H21" s="278">
        <f>SUM(H3:H19)</f>
        <v>94561037.856666669</v>
      </c>
      <c r="I21" s="278">
        <f>SUM(I3:I19)</f>
        <v>94502933.400000006</v>
      </c>
      <c r="J21" s="278">
        <f>SUM(J3:J19)</f>
        <v>108581705.19</v>
      </c>
      <c r="K21" s="278">
        <f t="shared" ref="K21:Q21" si="1">SUM(K3:K20)</f>
        <v>120571438.97000001</v>
      </c>
      <c r="L21" s="278">
        <f t="shared" si="1"/>
        <v>121833189.29999998</v>
      </c>
      <c r="M21" s="278">
        <f t="shared" si="1"/>
        <v>103183529.55000001</v>
      </c>
      <c r="N21" s="278">
        <f t="shared" si="1"/>
        <v>128964313.82999998</v>
      </c>
      <c r="O21" s="278">
        <f t="shared" si="1"/>
        <v>0</v>
      </c>
      <c r="P21" s="278">
        <f t="shared" si="1"/>
        <v>0</v>
      </c>
      <c r="Q21" s="278">
        <f t="shared" si="1"/>
        <v>0</v>
      </c>
      <c r="R21" s="279">
        <f>SUM(F21:Q21)</f>
        <v>962276417.41999984</v>
      </c>
      <c r="S21" s="185" t="s">
        <v>19</v>
      </c>
      <c r="T21" s="234">
        <f>R21-S19</f>
        <v>0</v>
      </c>
      <c r="U21" s="235"/>
      <c r="V21" s="236"/>
    </row>
    <row r="22" spans="1:27" ht="16.2" thickBot="1">
      <c r="A22" s="179"/>
      <c r="B22" s="180"/>
      <c r="C22" s="180"/>
      <c r="D22" s="181"/>
      <c r="E22" s="182"/>
      <c r="F22" s="186"/>
      <c r="G22" s="186">
        <f>SUM(F21:H21)</f>
        <v>284639307.18000001</v>
      </c>
      <c r="H22" s="187"/>
      <c r="I22" s="186"/>
      <c r="J22" s="186">
        <f>SUM(I21:K21)</f>
        <v>323656077.56</v>
      </c>
      <c r="K22" s="187"/>
      <c r="L22" s="186"/>
      <c r="M22" s="186">
        <f>SUM(L21:N21)</f>
        <v>353981032.67999995</v>
      </c>
      <c r="N22" s="187"/>
      <c r="O22" s="188"/>
      <c r="P22" s="188"/>
      <c r="Q22" s="188"/>
      <c r="R22" s="180"/>
      <c r="S22" s="189"/>
      <c r="T22" s="190"/>
      <c r="U22" s="235"/>
      <c r="V22" s="236"/>
    </row>
    <row r="23" spans="1:27" ht="16.2" thickBot="1">
      <c r="A23" s="179"/>
      <c r="B23" s="180"/>
      <c r="C23" s="180"/>
      <c r="D23" s="181"/>
      <c r="E23" s="182"/>
      <c r="F23" s="191"/>
      <c r="G23" s="192" t="s">
        <v>113</v>
      </c>
      <c r="H23" s="193"/>
      <c r="I23" s="191"/>
      <c r="J23" s="192" t="s">
        <v>115</v>
      </c>
      <c r="K23" s="193"/>
      <c r="L23" s="191"/>
      <c r="M23" s="192" t="s">
        <v>138</v>
      </c>
      <c r="N23" s="193"/>
      <c r="O23" s="188"/>
      <c r="P23" s="188"/>
      <c r="Q23" s="188"/>
      <c r="R23" s="180"/>
      <c r="S23" s="189"/>
      <c r="T23" s="190"/>
      <c r="U23" s="235"/>
      <c r="V23" s="236"/>
    </row>
    <row r="24" spans="1:27" ht="16.2" thickBot="1">
      <c r="A24" s="184" t="s">
        <v>50</v>
      </c>
      <c r="B24" s="148"/>
      <c r="C24" s="149" t="s">
        <v>4</v>
      </c>
      <c r="D24" s="150" t="s">
        <v>5</v>
      </c>
      <c r="E24" s="149" t="s">
        <v>6</v>
      </c>
      <c r="F24" s="149" t="s">
        <v>7</v>
      </c>
      <c r="G24" s="149" t="s">
        <v>8</v>
      </c>
      <c r="H24" s="149" t="s">
        <v>9</v>
      </c>
      <c r="I24" s="149" t="s">
        <v>10</v>
      </c>
      <c r="J24" s="149" t="s">
        <v>11</v>
      </c>
      <c r="K24" s="149" t="s">
        <v>12</v>
      </c>
      <c r="L24" s="149" t="s">
        <v>13</v>
      </c>
      <c r="M24" s="149" t="s">
        <v>14</v>
      </c>
      <c r="N24" s="149" t="s">
        <v>15</v>
      </c>
      <c r="O24" s="149" t="s">
        <v>16</v>
      </c>
      <c r="P24" s="149" t="s">
        <v>17</v>
      </c>
      <c r="Q24" s="149" t="s">
        <v>18</v>
      </c>
      <c r="R24" s="149" t="s">
        <v>19</v>
      </c>
      <c r="S24" s="156"/>
      <c r="T24" s="145"/>
      <c r="U24" s="235"/>
      <c r="V24" s="236"/>
    </row>
    <row r="25" spans="1:27" ht="15.6">
      <c r="A25" s="194">
        <v>1</v>
      </c>
      <c r="B25" s="195" t="s">
        <v>50</v>
      </c>
      <c r="C25" s="195" t="s">
        <v>51</v>
      </c>
      <c r="D25" s="196">
        <v>1006155298</v>
      </c>
      <c r="E25" s="195" t="s">
        <v>27</v>
      </c>
      <c r="F25" s="195">
        <v>888690.75</v>
      </c>
      <c r="G25" s="195">
        <v>1185738.26</v>
      </c>
      <c r="H25" s="195">
        <v>472893.35</v>
      </c>
      <c r="I25" s="195">
        <f>432114.54+43939.69</f>
        <v>476054.23</v>
      </c>
      <c r="J25" s="195">
        <v>287403.43</v>
      </c>
      <c r="K25" s="195">
        <v>1093974.06</v>
      </c>
      <c r="L25" s="195">
        <v>2039666.6</v>
      </c>
      <c r="M25" s="195">
        <v>596641.27</v>
      </c>
      <c r="N25" s="195">
        <v>730089.9</v>
      </c>
      <c r="O25" s="195"/>
      <c r="P25" s="195"/>
      <c r="Q25" s="195"/>
      <c r="R25" s="195">
        <f>SUM(F25:Q25)</f>
        <v>7771151.8499999996</v>
      </c>
      <c r="S25" s="156"/>
      <c r="T25" s="145"/>
      <c r="U25" s="235"/>
      <c r="V25" s="236"/>
    </row>
    <row r="26" spans="1:27" ht="16.2" thickBot="1">
      <c r="A26" s="194">
        <f>A25+1</f>
        <v>2</v>
      </c>
      <c r="B26" s="195" t="s">
        <v>50</v>
      </c>
      <c r="C26" s="195" t="s">
        <v>52</v>
      </c>
      <c r="D26" s="196">
        <v>1009045100</v>
      </c>
      <c r="E26" s="195" t="s">
        <v>27</v>
      </c>
      <c r="F26" s="195">
        <v>483471.76</v>
      </c>
      <c r="G26" s="195">
        <v>694131.04</v>
      </c>
      <c r="H26" s="195">
        <v>831423.35</v>
      </c>
      <c r="I26" s="195">
        <v>811374.49</v>
      </c>
      <c r="J26" s="195">
        <v>691352.67</v>
      </c>
      <c r="K26" s="195">
        <v>673279.89</v>
      </c>
      <c r="L26" s="195">
        <v>171831.17</v>
      </c>
      <c r="M26" s="195">
        <v>139065.49</v>
      </c>
      <c r="N26" s="195">
        <v>530408.19999999995</v>
      </c>
      <c r="O26" s="195"/>
      <c r="P26" s="195"/>
      <c r="Q26" s="195"/>
      <c r="R26" s="195">
        <f>SUM(F26:Q26)</f>
        <v>5026338.0600000005</v>
      </c>
      <c r="S26" s="156"/>
      <c r="T26" s="145"/>
      <c r="U26" s="249"/>
      <c r="V26" s="236"/>
    </row>
    <row r="27" spans="1:27" ht="16.2" thickBot="1">
      <c r="A27" s="194">
        <f>A26+1</f>
        <v>3</v>
      </c>
      <c r="B27" s="195" t="s">
        <v>50</v>
      </c>
      <c r="C27" s="195" t="s">
        <v>53</v>
      </c>
      <c r="D27" s="196">
        <v>1009045134</v>
      </c>
      <c r="E27" s="195" t="s">
        <v>27</v>
      </c>
      <c r="F27" s="197">
        <v>40023.53</v>
      </c>
      <c r="G27" s="197">
        <v>102031.25</v>
      </c>
      <c r="H27" s="197">
        <v>96754.54</v>
      </c>
      <c r="I27" s="197">
        <v>91072.28</v>
      </c>
      <c r="J27" s="197">
        <v>66662.41</v>
      </c>
      <c r="K27" s="195">
        <v>132754.54</v>
      </c>
      <c r="L27" s="197">
        <v>259714.56</v>
      </c>
      <c r="M27" s="197">
        <v>211683.32</v>
      </c>
      <c r="N27" s="197">
        <v>215771.2</v>
      </c>
      <c r="O27" s="197"/>
      <c r="P27" s="197"/>
      <c r="Q27" s="197"/>
      <c r="R27" s="195">
        <f>SUM(F27:Q27)</f>
        <v>1216467.6300000001</v>
      </c>
      <c r="S27" s="178">
        <f>SUM(R25:R28)</f>
        <v>14125923.350000001</v>
      </c>
      <c r="T27" s="145"/>
      <c r="U27" s="235"/>
      <c r="V27" s="236"/>
    </row>
    <row r="28" spans="1:27" ht="16.2" thickBot="1">
      <c r="A28" s="198">
        <v>4</v>
      </c>
      <c r="B28" s="199" t="s">
        <v>50</v>
      </c>
      <c r="C28" s="199" t="s">
        <v>51</v>
      </c>
      <c r="D28" s="200">
        <v>231422152</v>
      </c>
      <c r="E28" s="199" t="s">
        <v>23</v>
      </c>
      <c r="F28" s="199">
        <v>9964.3333333333339</v>
      </c>
      <c r="G28" s="199">
        <v>9964.3333333333339</v>
      </c>
      <c r="H28" s="199">
        <v>9964.3333333333339</v>
      </c>
      <c r="I28" s="155">
        <v>13848.89</v>
      </c>
      <c r="J28" s="199">
        <v>13782.99</v>
      </c>
      <c r="K28" s="199">
        <v>14016.74</v>
      </c>
      <c r="L28" s="199">
        <v>13809.08</v>
      </c>
      <c r="M28" s="155">
        <v>12579.71</v>
      </c>
      <c r="N28" s="199">
        <v>14035.4</v>
      </c>
      <c r="O28" s="199"/>
      <c r="P28" s="199"/>
      <c r="Q28" s="199"/>
      <c r="R28" s="199">
        <f>SUM(F28:Q28)</f>
        <v>111965.81</v>
      </c>
      <c r="S28" s="178"/>
      <c r="T28" s="145"/>
      <c r="U28" s="269"/>
      <c r="V28" s="236"/>
    </row>
    <row r="29" spans="1:27" ht="16.2" thickBot="1">
      <c r="A29" s="139"/>
      <c r="B29" s="139"/>
      <c r="C29" s="139"/>
      <c r="D29" s="139"/>
      <c r="E29" s="139"/>
      <c r="F29" s="183">
        <f t="shared" ref="F29:K29" si="2">SUM(F25:F28)</f>
        <v>1422150.3733333333</v>
      </c>
      <c r="G29" s="183">
        <f t="shared" si="2"/>
        <v>1991864.8833333333</v>
      </c>
      <c r="H29" s="183">
        <f t="shared" si="2"/>
        <v>1411035.5733333332</v>
      </c>
      <c r="I29" s="183">
        <f t="shared" si="2"/>
        <v>1392349.89</v>
      </c>
      <c r="J29" s="183">
        <f t="shared" si="2"/>
        <v>1059201.5000000002</v>
      </c>
      <c r="K29" s="183">
        <f t="shared" si="2"/>
        <v>1914025.2300000002</v>
      </c>
      <c r="L29" s="183">
        <f t="shared" ref="L29:Q29" si="3">SUM(L25:L28)</f>
        <v>2485021.41</v>
      </c>
      <c r="M29" s="183">
        <f t="shared" si="3"/>
        <v>959969.79</v>
      </c>
      <c r="N29" s="183">
        <f t="shared" si="3"/>
        <v>1490304.7</v>
      </c>
      <c r="O29" s="183">
        <f t="shared" si="3"/>
        <v>0</v>
      </c>
      <c r="P29" s="183">
        <f t="shared" si="3"/>
        <v>0</v>
      </c>
      <c r="Q29" s="183">
        <f t="shared" si="3"/>
        <v>0</v>
      </c>
      <c r="R29" s="201">
        <f>SUM(F29:Q29)</f>
        <v>14125923.349999998</v>
      </c>
      <c r="S29" s="185" t="s">
        <v>19</v>
      </c>
      <c r="T29" s="234">
        <f>S27-R29</f>
        <v>0</v>
      </c>
      <c r="U29" s="235"/>
      <c r="V29" s="236"/>
    </row>
    <row r="30" spans="1:27" ht="16.2" thickBot="1">
      <c r="A30" s="139"/>
      <c r="B30" s="139"/>
      <c r="C30" s="139"/>
      <c r="D30" s="139"/>
      <c r="E30" s="139"/>
      <c r="F30" s="186"/>
      <c r="G30" s="202">
        <f>SUM(F29:H29)</f>
        <v>4825050.83</v>
      </c>
      <c r="H30" s="187"/>
      <c r="I30" s="186"/>
      <c r="J30" s="186">
        <f>SUM(I29:K29)</f>
        <v>4365576.62</v>
      </c>
      <c r="K30" s="187"/>
      <c r="L30" s="186"/>
      <c r="M30" s="186">
        <f>SUM(L29:N29)</f>
        <v>4935295.9000000004</v>
      </c>
      <c r="N30" s="187"/>
      <c r="O30" s="188"/>
      <c r="P30" s="188"/>
      <c r="Q30" s="188"/>
      <c r="R30" s="190"/>
      <c r="S30" s="189"/>
      <c r="T30" s="190"/>
      <c r="U30" s="235"/>
      <c r="V30" s="236"/>
    </row>
    <row r="31" spans="1:27" ht="16.2" thickBot="1">
      <c r="A31" s="139"/>
      <c r="B31" s="139"/>
      <c r="C31" s="139"/>
      <c r="D31" s="139"/>
      <c r="E31" s="139"/>
      <c r="F31" s="191"/>
      <c r="G31" s="192" t="s">
        <v>113</v>
      </c>
      <c r="H31" s="193"/>
      <c r="I31" s="191"/>
      <c r="J31" s="192" t="s">
        <v>115</v>
      </c>
      <c r="K31" s="193"/>
      <c r="L31" s="191"/>
      <c r="M31" s="192" t="s">
        <v>138</v>
      </c>
      <c r="N31" s="193"/>
      <c r="O31" s="188"/>
      <c r="P31" s="188"/>
      <c r="Q31" s="188"/>
      <c r="R31" s="190"/>
      <c r="S31" s="189"/>
      <c r="T31" s="190"/>
      <c r="U31" s="235"/>
      <c r="V31" s="236"/>
      <c r="Z31" s="122"/>
      <c r="AA31" s="9"/>
    </row>
    <row r="32" spans="1:27" ht="16.2" thickBot="1">
      <c r="A32" s="184" t="s">
        <v>54</v>
      </c>
      <c r="B32" s="148"/>
      <c r="C32" s="149" t="s">
        <v>4</v>
      </c>
      <c r="D32" s="150" t="s">
        <v>5</v>
      </c>
      <c r="E32" s="149" t="s">
        <v>6</v>
      </c>
      <c r="F32" s="149" t="s">
        <v>7</v>
      </c>
      <c r="G32" s="149" t="s">
        <v>8</v>
      </c>
      <c r="H32" s="149" t="s">
        <v>9</v>
      </c>
      <c r="I32" s="149" t="s">
        <v>10</v>
      </c>
      <c r="J32" s="149" t="s">
        <v>11</v>
      </c>
      <c r="K32" s="149" t="s">
        <v>12</v>
      </c>
      <c r="L32" s="149" t="s">
        <v>13</v>
      </c>
      <c r="M32" s="149" t="s">
        <v>14</v>
      </c>
      <c r="N32" s="149" t="s">
        <v>15</v>
      </c>
      <c r="O32" s="149" t="s">
        <v>16</v>
      </c>
      <c r="P32" s="149" t="s">
        <v>17</v>
      </c>
      <c r="Q32" s="149" t="s">
        <v>18</v>
      </c>
      <c r="R32" s="149" t="s">
        <v>19</v>
      </c>
      <c r="S32" s="156"/>
      <c r="T32" s="145"/>
      <c r="U32" s="235"/>
      <c r="V32" s="236"/>
      <c r="Z32" s="122"/>
      <c r="AA32" s="9"/>
    </row>
    <row r="33" spans="1:27 16380:16380" ht="15.6">
      <c r="A33" s="194">
        <v>1</v>
      </c>
      <c r="B33" s="195" t="s">
        <v>54</v>
      </c>
      <c r="C33" s="195" t="s">
        <v>55</v>
      </c>
      <c r="D33" s="196">
        <v>1008986958</v>
      </c>
      <c r="E33" s="195" t="s">
        <v>27</v>
      </c>
      <c r="F33" s="195">
        <v>1631218.09</v>
      </c>
      <c r="G33" s="195">
        <v>387286.15</v>
      </c>
      <c r="H33" s="195">
        <v>363066.02</v>
      </c>
      <c r="I33" s="195">
        <v>241418.67</v>
      </c>
      <c r="J33" s="195">
        <v>213903.35999999999</v>
      </c>
      <c r="K33" s="195">
        <v>198829.8</v>
      </c>
      <c r="L33" s="195">
        <v>373192.71</v>
      </c>
      <c r="M33" s="195">
        <v>335911.43</v>
      </c>
      <c r="N33" s="195">
        <v>372987.2</v>
      </c>
      <c r="O33" s="195"/>
      <c r="P33" s="195"/>
      <c r="Q33" s="195"/>
      <c r="R33" s="195">
        <f>SUM(F33:Q33)</f>
        <v>4117813.43</v>
      </c>
      <c r="S33" s="156"/>
      <c r="T33" s="145"/>
      <c r="U33" s="235"/>
      <c r="V33" s="236"/>
      <c r="Z33" s="122"/>
      <c r="AA33" s="9"/>
    </row>
    <row r="34" spans="1:27 16380:16380" ht="16.2" thickBot="1">
      <c r="A34" s="203">
        <v>2</v>
      </c>
      <c r="B34" s="199" t="s">
        <v>54</v>
      </c>
      <c r="C34" s="199" t="s">
        <v>56</v>
      </c>
      <c r="D34" s="200">
        <v>262115182</v>
      </c>
      <c r="E34" s="199" t="s">
        <v>23</v>
      </c>
      <c r="F34" s="199">
        <v>3419337.3333333335</v>
      </c>
      <c r="G34" s="199">
        <v>3419337.3333333335</v>
      </c>
      <c r="H34" s="199">
        <v>3419337.3333333335</v>
      </c>
      <c r="I34" s="155">
        <v>3627097.17</v>
      </c>
      <c r="J34" s="199">
        <v>3392741.75</v>
      </c>
      <c r="K34" s="199">
        <v>3123508.91</v>
      </c>
      <c r="L34" s="199">
        <v>2405713.73</v>
      </c>
      <c r="M34" s="155">
        <v>2037265.25</v>
      </c>
      <c r="N34" s="199">
        <v>2243581.2000000002</v>
      </c>
      <c r="O34" s="199"/>
      <c r="P34" s="199"/>
      <c r="Q34" s="199"/>
      <c r="R34" s="199">
        <f>SUM(F34:Q34)</f>
        <v>27087920.010000002</v>
      </c>
      <c r="S34" s="156"/>
      <c r="T34" s="145"/>
      <c r="U34" s="235"/>
      <c r="V34" s="236"/>
      <c r="Z34" s="86"/>
      <c r="AA34" s="9"/>
    </row>
    <row r="35" spans="1:27 16380:16380" ht="16.2" thickBot="1">
      <c r="A35" s="204">
        <v>3</v>
      </c>
      <c r="B35" s="205" t="s">
        <v>54</v>
      </c>
      <c r="C35" s="205" t="s">
        <v>57</v>
      </c>
      <c r="D35" s="206" t="s">
        <v>58</v>
      </c>
      <c r="E35" s="205" t="s">
        <v>36</v>
      </c>
      <c r="F35" s="205"/>
      <c r="G35" s="205"/>
      <c r="H35" s="205"/>
      <c r="I35" s="205"/>
      <c r="J35" s="205"/>
      <c r="K35" s="205"/>
      <c r="L35" s="205">
        <v>0</v>
      </c>
      <c r="M35" s="205">
        <v>0</v>
      </c>
      <c r="N35" s="205">
        <v>0</v>
      </c>
      <c r="O35" s="205">
        <v>0</v>
      </c>
      <c r="P35" s="205"/>
      <c r="Q35" s="205">
        <v>0</v>
      </c>
      <c r="R35" s="205">
        <f>SUM(F35:Q35)</f>
        <v>0</v>
      </c>
      <c r="S35" s="178">
        <f>SUM(R33:R35)</f>
        <v>31205733.440000001</v>
      </c>
      <c r="T35" s="145"/>
      <c r="U35" s="235"/>
      <c r="V35" s="236"/>
    </row>
    <row r="36" spans="1:27 16380:16380" ht="16.2" thickBot="1">
      <c r="A36" s="207"/>
      <c r="B36" s="208"/>
      <c r="C36" s="209"/>
      <c r="D36" s="210"/>
      <c r="E36" s="209"/>
      <c r="F36" s="183">
        <f t="shared" ref="F36:Q36" si="4">SUM(F33:F35)</f>
        <v>5050555.4233333338</v>
      </c>
      <c r="G36" s="183">
        <f t="shared" si="4"/>
        <v>3806623.4833333334</v>
      </c>
      <c r="H36" s="183">
        <f t="shared" si="4"/>
        <v>3782403.3533333335</v>
      </c>
      <c r="I36" s="183">
        <f t="shared" si="4"/>
        <v>3868515.84</v>
      </c>
      <c r="J36" s="183">
        <f t="shared" si="4"/>
        <v>3606645.11</v>
      </c>
      <c r="K36" s="183">
        <f t="shared" si="4"/>
        <v>3322338.71</v>
      </c>
      <c r="L36" s="183">
        <f t="shared" si="4"/>
        <v>2778906.44</v>
      </c>
      <c r="M36" s="183">
        <f t="shared" si="4"/>
        <v>2373176.6800000002</v>
      </c>
      <c r="N36" s="183">
        <f t="shared" si="4"/>
        <v>2616568.4000000004</v>
      </c>
      <c r="O36" s="183">
        <f t="shared" si="4"/>
        <v>0</v>
      </c>
      <c r="P36" s="183">
        <f t="shared" si="4"/>
        <v>0</v>
      </c>
      <c r="Q36" s="183">
        <f t="shared" si="4"/>
        <v>0</v>
      </c>
      <c r="R36" s="178">
        <f>SUM(F36:Q36)</f>
        <v>31205733.440000005</v>
      </c>
      <c r="S36" s="185" t="s">
        <v>19</v>
      </c>
      <c r="T36" s="234">
        <f>R36-S35</f>
        <v>0</v>
      </c>
      <c r="U36" s="235"/>
      <c r="V36" s="236"/>
      <c r="XEZ36" s="81"/>
    </row>
    <row r="37" spans="1:27 16380:16380" ht="16.2" thickBot="1">
      <c r="A37" s="207"/>
      <c r="B37" s="208"/>
      <c r="C37" s="209"/>
      <c r="D37" s="210"/>
      <c r="E37" s="209"/>
      <c r="F37" s="186"/>
      <c r="G37" s="202">
        <f>SUM(F36:H36)</f>
        <v>12639582.26</v>
      </c>
      <c r="H37" s="187"/>
      <c r="I37" s="186"/>
      <c r="J37" s="186">
        <f>SUM(I36:K36)</f>
        <v>10797499.66</v>
      </c>
      <c r="K37" s="187"/>
      <c r="L37" s="186"/>
      <c r="M37" s="186">
        <f>SUM(L36:N36)</f>
        <v>7768651.5200000005</v>
      </c>
      <c r="N37" s="187"/>
      <c r="O37" s="188"/>
      <c r="P37" s="188"/>
      <c r="Q37" s="188"/>
      <c r="R37" s="190"/>
      <c r="S37" s="189"/>
      <c r="T37" s="190"/>
      <c r="U37" s="235"/>
      <c r="V37" s="237"/>
      <c r="XEZ37" s="81"/>
    </row>
    <row r="38" spans="1:27 16380:16380" ht="16.2" thickBot="1">
      <c r="A38" s="207"/>
      <c r="B38" s="208"/>
      <c r="C38" s="209"/>
      <c r="D38" s="210"/>
      <c r="E38" s="209"/>
      <c r="F38" s="191"/>
      <c r="G38" s="192" t="s">
        <v>113</v>
      </c>
      <c r="H38" s="193"/>
      <c r="I38" s="191"/>
      <c r="J38" s="192" t="s">
        <v>115</v>
      </c>
      <c r="K38" s="193"/>
      <c r="L38" s="191"/>
      <c r="M38" s="192" t="s">
        <v>138</v>
      </c>
      <c r="N38" s="193"/>
      <c r="O38" s="188"/>
      <c r="P38" s="188"/>
      <c r="Q38" s="188"/>
      <c r="R38" s="185" t="s">
        <v>114</v>
      </c>
      <c r="S38" s="185">
        <f>S19+S45+S54</f>
        <v>1018080471.3316441</v>
      </c>
      <c r="T38" s="211"/>
      <c r="U38" s="146" t="s">
        <v>126</v>
      </c>
      <c r="V38" s="212">
        <f>S45</f>
        <v>41382051.369999997</v>
      </c>
      <c r="XEZ38" s="81"/>
    </row>
    <row r="39" spans="1:27 16380:16380" ht="16.2" thickBot="1">
      <c r="A39" s="184" t="s">
        <v>59</v>
      </c>
      <c r="B39" s="148"/>
      <c r="C39" s="149" t="s">
        <v>4</v>
      </c>
      <c r="D39" s="150" t="s">
        <v>5</v>
      </c>
      <c r="E39" s="149" t="s">
        <v>6</v>
      </c>
      <c r="F39" s="149" t="s">
        <v>7</v>
      </c>
      <c r="G39" s="149" t="s">
        <v>8</v>
      </c>
      <c r="H39" s="149" t="s">
        <v>9</v>
      </c>
      <c r="I39" s="149" t="s">
        <v>10</v>
      </c>
      <c r="J39" s="149" t="s">
        <v>11</v>
      </c>
      <c r="K39" s="149" t="s">
        <v>12</v>
      </c>
      <c r="L39" s="149" t="s">
        <v>13</v>
      </c>
      <c r="M39" s="149" t="s">
        <v>14</v>
      </c>
      <c r="N39" s="149" t="s">
        <v>15</v>
      </c>
      <c r="O39" s="149" t="s">
        <v>16</v>
      </c>
      <c r="P39" s="149" t="s">
        <v>17</v>
      </c>
      <c r="Q39" s="149" t="s">
        <v>18</v>
      </c>
      <c r="R39" s="149" t="s">
        <v>19</v>
      </c>
      <c r="S39" s="156"/>
      <c r="T39" s="145"/>
      <c r="U39" s="146" t="s">
        <v>133</v>
      </c>
      <c r="V39" s="9">
        <v>-38926310.539999999</v>
      </c>
    </row>
    <row r="40" spans="1:27 16380:16380" ht="16.2" thickBot="1">
      <c r="A40" s="159">
        <v>1</v>
      </c>
      <c r="B40" s="213" t="s">
        <v>21</v>
      </c>
      <c r="C40" s="160" t="s">
        <v>60</v>
      </c>
      <c r="D40" s="161">
        <v>1005639975</v>
      </c>
      <c r="E40" s="162" t="s">
        <v>27</v>
      </c>
      <c r="F40" s="239">
        <v>2575179.4900000002</v>
      </c>
      <c r="G40" s="163">
        <v>2798067.76</v>
      </c>
      <c r="H40" s="163">
        <v>3508992.61</v>
      </c>
      <c r="I40" s="163">
        <f>4357126.93+102577.4</f>
        <v>4459704.33</v>
      </c>
      <c r="J40" s="163">
        <v>1675173.77</v>
      </c>
      <c r="K40" s="163">
        <v>2387880.3199999998</v>
      </c>
      <c r="L40" s="160">
        <v>1520617.44</v>
      </c>
      <c r="M40" s="160">
        <v>684954.83</v>
      </c>
      <c r="N40" s="160">
        <v>1063375</v>
      </c>
      <c r="O40" s="160"/>
      <c r="P40" s="160"/>
      <c r="Q40" s="160"/>
      <c r="R40" s="160">
        <f t="shared" ref="R40:R45" si="5">SUM(F40:Q40)</f>
        <v>20673945.549999997</v>
      </c>
      <c r="S40" s="168"/>
      <c r="T40" s="145"/>
      <c r="U40" s="214" t="s">
        <v>103</v>
      </c>
      <c r="V40" s="215">
        <f>V38+V39</f>
        <v>2455740.8299999982</v>
      </c>
      <c r="W40" s="238" t="s">
        <v>66</v>
      </c>
    </row>
    <row r="41" spans="1:27 16380:16380" ht="15.6">
      <c r="A41" s="216">
        <v>2</v>
      </c>
      <c r="B41" s="217" t="s">
        <v>21</v>
      </c>
      <c r="C41" s="217" t="s">
        <v>0</v>
      </c>
      <c r="D41" s="218" t="s">
        <v>61</v>
      </c>
      <c r="E41" s="219" t="s">
        <v>39</v>
      </c>
      <c r="F41" s="239">
        <v>-7338.28</v>
      </c>
      <c r="G41" s="220"/>
      <c r="H41" s="220">
        <v>9613644</v>
      </c>
      <c r="I41" s="220"/>
      <c r="J41" s="220"/>
      <c r="K41" s="220">
        <v>6476881.9199999999</v>
      </c>
      <c r="L41" s="217"/>
      <c r="M41" s="230"/>
      <c r="N41" s="329">
        <v>900000</v>
      </c>
      <c r="O41" s="217"/>
      <c r="P41" s="217"/>
      <c r="Q41" s="217"/>
      <c r="R41" s="217">
        <f t="shared" si="5"/>
        <v>16983187.640000001</v>
      </c>
      <c r="S41" s="156"/>
      <c r="T41" s="145"/>
      <c r="U41" s="156"/>
      <c r="V41" s="156"/>
    </row>
    <row r="42" spans="1:27 16380:16380" ht="15.6">
      <c r="A42" s="216">
        <v>3</v>
      </c>
      <c r="B42" s="217" t="s">
        <v>21</v>
      </c>
      <c r="C42" s="217" t="s">
        <v>0</v>
      </c>
      <c r="D42" s="218" t="s">
        <v>62</v>
      </c>
      <c r="E42" s="219" t="s">
        <v>63</v>
      </c>
      <c r="F42" s="220">
        <v>154745.37</v>
      </c>
      <c r="G42" s="220">
        <v>101863.58</v>
      </c>
      <c r="H42" s="220">
        <v>146492.28</v>
      </c>
      <c r="I42" s="220">
        <v>128463</v>
      </c>
      <c r="J42" s="220">
        <v>122808.94</v>
      </c>
      <c r="K42" s="220">
        <v>167396.63</v>
      </c>
      <c r="L42" s="318">
        <v>291807.46999999997</v>
      </c>
      <c r="M42" s="321">
        <v>157719.84</v>
      </c>
      <c r="N42" s="322">
        <v>176866.08</v>
      </c>
      <c r="O42" s="319"/>
      <c r="P42" s="217"/>
      <c r="Q42" s="217"/>
      <c r="R42" s="217">
        <f>SUM(F42:Q42)</f>
        <v>1448163.1900000002</v>
      </c>
      <c r="S42" s="156"/>
      <c r="T42" s="145"/>
      <c r="U42" s="221"/>
      <c r="V42" s="156"/>
    </row>
    <row r="43" spans="1:27 16380:16380" ht="15.6">
      <c r="A43" s="216">
        <v>4</v>
      </c>
      <c r="B43" s="217" t="s">
        <v>21</v>
      </c>
      <c r="C43" s="217" t="s">
        <v>0</v>
      </c>
      <c r="D43" s="218" t="s">
        <v>64</v>
      </c>
      <c r="E43" s="219" t="s">
        <v>65</v>
      </c>
      <c r="F43" s="220">
        <v>117524.62</v>
      </c>
      <c r="G43" s="220">
        <v>133629.24</v>
      </c>
      <c r="H43" s="220">
        <v>119804.06</v>
      </c>
      <c r="I43" s="220">
        <v>125961.06</v>
      </c>
      <c r="J43" s="220">
        <v>65306.38</v>
      </c>
      <c r="K43" s="220">
        <v>66411.649999999994</v>
      </c>
      <c r="L43" s="318">
        <v>57115.56</v>
      </c>
      <c r="M43" s="323">
        <v>38214.57</v>
      </c>
      <c r="N43" s="323">
        <v>107430.76</v>
      </c>
      <c r="O43" s="319"/>
      <c r="P43" s="217"/>
      <c r="Q43" s="217"/>
      <c r="R43" s="217">
        <f>SUM(F43:Q43)</f>
        <v>831397.9</v>
      </c>
      <c r="S43" s="156"/>
      <c r="T43" s="145"/>
      <c r="U43" s="156"/>
      <c r="V43" s="156"/>
    </row>
    <row r="44" spans="1:27 16380:16380" ht="16.2" thickBot="1">
      <c r="A44" s="216">
        <v>5</v>
      </c>
      <c r="B44" s="217" t="s">
        <v>21</v>
      </c>
      <c r="C44" s="217" t="s">
        <v>0</v>
      </c>
      <c r="D44" s="218">
        <v>20007488228</v>
      </c>
      <c r="E44" s="219" t="s">
        <v>66</v>
      </c>
      <c r="F44" s="220">
        <v>137877</v>
      </c>
      <c r="G44" s="220">
        <v>146859.66</v>
      </c>
      <c r="H44" s="220">
        <v>143138.48000000001</v>
      </c>
      <c r="I44" s="220">
        <v>451325.12</v>
      </c>
      <c r="J44" s="220">
        <v>37631.47</v>
      </c>
      <c r="K44" s="220">
        <v>12454.33</v>
      </c>
      <c r="L44" s="318">
        <v>85921.76</v>
      </c>
      <c r="M44" s="322">
        <v>2921.58</v>
      </c>
      <c r="N44" s="322">
        <v>19278.13</v>
      </c>
      <c r="O44" s="319"/>
      <c r="P44" s="217"/>
      <c r="Q44" s="217"/>
      <c r="R44" s="217">
        <f>SUM(F44:Q44)</f>
        <v>1037407.5299999999</v>
      </c>
      <c r="S44" s="156"/>
      <c r="T44" s="190"/>
      <c r="U44" s="156"/>
      <c r="V44" s="156"/>
      <c r="X44" s="9"/>
    </row>
    <row r="45" spans="1:27 16380:16380" ht="16.2" thickBot="1">
      <c r="A45" s="216">
        <v>6</v>
      </c>
      <c r="B45" s="217" t="s">
        <v>21</v>
      </c>
      <c r="C45" s="217" t="s">
        <v>67</v>
      </c>
      <c r="D45" s="218" t="s">
        <v>68</v>
      </c>
      <c r="E45" s="219" t="s">
        <v>39</v>
      </c>
      <c r="F45" s="217"/>
      <c r="G45" s="217"/>
      <c r="H45" s="217"/>
      <c r="I45" s="220"/>
      <c r="J45" s="220"/>
      <c r="K45" s="220">
        <v>407949.56</v>
      </c>
      <c r="L45" s="217"/>
      <c r="M45" s="320"/>
      <c r="N45" s="328" t="s">
        <v>139</v>
      </c>
      <c r="O45" s="217"/>
      <c r="P45" s="217"/>
      <c r="Q45" s="217"/>
      <c r="R45" s="217">
        <f t="shared" si="5"/>
        <v>407949.56</v>
      </c>
      <c r="S45" s="178">
        <f>SUM(R40:R45)</f>
        <v>41382051.369999997</v>
      </c>
      <c r="T45" s="145"/>
      <c r="U45" s="156"/>
      <c r="V45" s="156"/>
    </row>
    <row r="46" spans="1:27 16380:16380" ht="16.2" thickBot="1">
      <c r="A46" s="139"/>
      <c r="B46" s="139"/>
      <c r="C46" s="139"/>
      <c r="D46" s="140"/>
      <c r="E46" s="139"/>
      <c r="F46" s="183">
        <f t="shared" ref="F46:Q46" si="6">SUM(F40:F45)</f>
        <v>2977988.2000000007</v>
      </c>
      <c r="G46" s="183">
        <f t="shared" si="6"/>
        <v>3180420.24</v>
      </c>
      <c r="H46" s="183">
        <f t="shared" si="6"/>
        <v>13532071.43</v>
      </c>
      <c r="I46" s="183">
        <f>SUM(I40:I45)</f>
        <v>5165453.51</v>
      </c>
      <c r="J46" s="183">
        <f t="shared" si="6"/>
        <v>1900920.5599999998</v>
      </c>
      <c r="K46" s="183">
        <f t="shared" si="6"/>
        <v>9518974.410000002</v>
      </c>
      <c r="L46" s="183">
        <f t="shared" si="6"/>
        <v>1955462.23</v>
      </c>
      <c r="M46" s="183">
        <f t="shared" si="6"/>
        <v>883810.81999999983</v>
      </c>
      <c r="N46" s="183">
        <f t="shared" si="6"/>
        <v>2266949.9699999997</v>
      </c>
      <c r="O46" s="183">
        <f t="shared" si="6"/>
        <v>0</v>
      </c>
      <c r="P46" s="183">
        <f t="shared" si="6"/>
        <v>0</v>
      </c>
      <c r="Q46" s="183">
        <f t="shared" si="6"/>
        <v>0</v>
      </c>
      <c r="R46" s="178">
        <f>SUM(F46:Q46)</f>
        <v>41382051.369999997</v>
      </c>
      <c r="S46" s="185" t="s">
        <v>19</v>
      </c>
      <c r="T46" s="178">
        <f>R46-S45</f>
        <v>0</v>
      </c>
      <c r="U46" s="156"/>
      <c r="V46" s="156"/>
    </row>
    <row r="47" spans="1:27 16380:16380" ht="16.2" thickBot="1">
      <c r="A47" s="139"/>
      <c r="B47" s="139"/>
      <c r="C47" s="139"/>
      <c r="D47" s="139"/>
      <c r="E47" s="140"/>
      <c r="F47" s="186"/>
      <c r="G47" s="202">
        <f>SUM(F46:H46)</f>
        <v>19690479.870000001</v>
      </c>
      <c r="H47" s="222"/>
      <c r="I47" s="186"/>
      <c r="J47" s="186">
        <f>SUM(I46:K46)</f>
        <v>16585348.48</v>
      </c>
      <c r="K47" s="187"/>
      <c r="L47" s="186"/>
      <c r="M47" s="186">
        <f>SUM(L46:N46)</f>
        <v>5106223.0199999996</v>
      </c>
      <c r="N47" s="187"/>
      <c r="O47" s="139"/>
      <c r="P47" s="139"/>
      <c r="Q47" s="139"/>
      <c r="R47" s="139"/>
      <c r="S47" s="156"/>
      <c r="T47" s="145"/>
      <c r="U47" s="156"/>
      <c r="V47" s="156"/>
    </row>
    <row r="48" spans="1:27 16380:16380" ht="16.2" thickBot="1">
      <c r="A48" s="139"/>
      <c r="B48" s="139"/>
      <c r="C48" s="139"/>
      <c r="D48" s="139"/>
      <c r="E48" s="140"/>
      <c r="F48" s="191"/>
      <c r="G48" s="192" t="s">
        <v>113</v>
      </c>
      <c r="H48" s="193"/>
      <c r="I48" s="191"/>
      <c r="J48" s="192" t="s">
        <v>115</v>
      </c>
      <c r="K48" s="193"/>
      <c r="L48" s="191"/>
      <c r="M48" s="192" t="s">
        <v>138</v>
      </c>
      <c r="N48" s="193"/>
      <c r="O48" s="139"/>
      <c r="P48" s="139"/>
      <c r="Q48" s="139"/>
      <c r="R48" s="139"/>
      <c r="S48" s="221"/>
      <c r="T48" s="223"/>
      <c r="U48" s="240"/>
      <c r="V48" s="156"/>
      <c r="W48" s="241"/>
    </row>
    <row r="49" spans="1:23" ht="16.2" thickBot="1">
      <c r="A49" s="184" t="s">
        <v>69</v>
      </c>
      <c r="B49" s="148"/>
      <c r="C49" s="149" t="s">
        <v>4</v>
      </c>
      <c r="D49" s="150" t="s">
        <v>5</v>
      </c>
      <c r="E49" s="149" t="s">
        <v>6</v>
      </c>
      <c r="F49" s="149" t="s">
        <v>7</v>
      </c>
      <c r="G49" s="149" t="s">
        <v>8</v>
      </c>
      <c r="H49" s="149" t="s">
        <v>9</v>
      </c>
      <c r="I49" s="149" t="s">
        <v>10</v>
      </c>
      <c r="J49" s="149" t="s">
        <v>11</v>
      </c>
      <c r="K49" s="149" t="s">
        <v>12</v>
      </c>
      <c r="L49" s="149" t="s">
        <v>13</v>
      </c>
      <c r="M49" s="149" t="s">
        <v>14</v>
      </c>
      <c r="N49" s="149" t="s">
        <v>15</v>
      </c>
      <c r="O49" s="149" t="s">
        <v>16</v>
      </c>
      <c r="P49" s="149" t="s">
        <v>17</v>
      </c>
      <c r="Q49" s="149" t="s">
        <v>18</v>
      </c>
      <c r="R49" s="149" t="s">
        <v>19</v>
      </c>
      <c r="S49" s="156"/>
      <c r="T49" s="190"/>
      <c r="U49" s="156"/>
      <c r="V49" s="156"/>
    </row>
    <row r="50" spans="1:23" ht="16.2" thickBot="1">
      <c r="A50" s="224" t="s">
        <v>70</v>
      </c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139"/>
      <c r="S50" s="156"/>
      <c r="T50" s="190"/>
      <c r="U50" s="146" t="s">
        <v>126</v>
      </c>
      <c r="V50" s="251">
        <f>S54</f>
        <v>14422002.541643837</v>
      </c>
    </row>
    <row r="51" spans="1:23" ht="16.2" thickBot="1">
      <c r="A51" s="224"/>
      <c r="B51" s="224"/>
      <c r="C51" s="225" t="s">
        <v>4</v>
      </c>
      <c r="D51" s="226" t="s">
        <v>71</v>
      </c>
      <c r="E51" s="225" t="s">
        <v>6</v>
      </c>
      <c r="F51" s="227">
        <v>45839</v>
      </c>
      <c r="G51" s="227">
        <v>45870</v>
      </c>
      <c r="H51" s="227">
        <v>45901</v>
      </c>
      <c r="I51" s="227">
        <v>45931</v>
      </c>
      <c r="J51" s="227">
        <v>45962</v>
      </c>
      <c r="K51" s="227">
        <v>45992</v>
      </c>
      <c r="L51" s="227">
        <v>46023</v>
      </c>
      <c r="M51" s="227">
        <v>46054</v>
      </c>
      <c r="N51" s="227">
        <v>46082</v>
      </c>
      <c r="O51" s="227">
        <v>46113</v>
      </c>
      <c r="P51" s="227">
        <v>46143</v>
      </c>
      <c r="Q51" s="227">
        <v>46174</v>
      </c>
      <c r="R51" s="225" t="s">
        <v>19</v>
      </c>
      <c r="S51" s="156"/>
      <c r="T51" s="145"/>
      <c r="U51" s="146" t="s">
        <v>134</v>
      </c>
      <c r="V51" s="252">
        <v>-10057618.98</v>
      </c>
    </row>
    <row r="52" spans="1:23" ht="16.2" thickBot="1">
      <c r="A52" s="159">
        <v>1</v>
      </c>
      <c r="B52" s="139"/>
      <c r="C52" s="217" t="s">
        <v>72</v>
      </c>
      <c r="D52" s="218">
        <v>3180459344</v>
      </c>
      <c r="E52" s="228" t="s">
        <v>73</v>
      </c>
      <c r="F52" s="217"/>
      <c r="G52" s="217"/>
      <c r="H52" s="217"/>
      <c r="I52" s="217"/>
      <c r="J52" s="217"/>
      <c r="K52" s="217">
        <v>3848786.14</v>
      </c>
      <c r="L52" s="217"/>
      <c r="M52" s="217"/>
      <c r="N52" s="326">
        <v>1602739.7260273974</v>
      </c>
      <c r="O52" s="217"/>
      <c r="P52" s="217"/>
      <c r="Q52" s="217"/>
      <c r="R52" s="217">
        <f>SUM(F52:Q52)</f>
        <v>5451525.866027398</v>
      </c>
      <c r="S52" s="156"/>
      <c r="T52" s="145"/>
      <c r="U52" s="214" t="s">
        <v>103</v>
      </c>
      <c r="V52" s="215">
        <f>V51+V50</f>
        <v>4364383.561643837</v>
      </c>
    </row>
    <row r="53" spans="1:23" ht="16.2" thickBot="1">
      <c r="A53" s="216">
        <v>2</v>
      </c>
      <c r="B53" s="139"/>
      <c r="C53" s="217" t="s">
        <v>74</v>
      </c>
      <c r="D53" s="218" t="s">
        <v>75</v>
      </c>
      <c r="E53" s="228" t="s">
        <v>27</v>
      </c>
      <c r="F53" s="217">
        <v>175638.36</v>
      </c>
      <c r="G53" s="217">
        <v>173260.27</v>
      </c>
      <c r="H53" s="217">
        <v>173424.66</v>
      </c>
      <c r="I53" s="217">
        <v>179205.48</v>
      </c>
      <c r="J53" s="217">
        <v>173424.66</v>
      </c>
      <c r="K53" s="217">
        <v>179205.48</v>
      </c>
      <c r="L53" s="326">
        <v>161369.86301369863</v>
      </c>
      <c r="M53" s="326">
        <v>145753.42465753425</v>
      </c>
      <c r="N53" s="326">
        <v>161369.86301369863</v>
      </c>
      <c r="O53" s="217"/>
      <c r="P53" s="217"/>
      <c r="Q53" s="217"/>
      <c r="R53" s="217">
        <f>SUM(F53:Q53)</f>
        <v>1522652.0606849319</v>
      </c>
      <c r="S53" s="156"/>
      <c r="T53" s="145"/>
      <c r="U53" s="156"/>
      <c r="V53" s="156"/>
    </row>
    <row r="54" spans="1:23" ht="16.2" thickBot="1">
      <c r="A54" s="216">
        <v>3</v>
      </c>
      <c r="B54" s="139"/>
      <c r="C54" s="217" t="s">
        <v>76</v>
      </c>
      <c r="D54" s="229" t="s">
        <v>77</v>
      </c>
      <c r="E54" s="228" t="s">
        <v>78</v>
      </c>
      <c r="F54" s="217"/>
      <c r="G54" s="217"/>
      <c r="H54" s="217"/>
      <c r="I54" s="217"/>
      <c r="J54" s="217"/>
      <c r="K54" s="217">
        <v>4797578.03</v>
      </c>
      <c r="L54" s="217"/>
      <c r="M54" s="217"/>
      <c r="N54" s="217">
        <v>2293150.6849315069</v>
      </c>
      <c r="O54" s="217"/>
      <c r="P54" s="217"/>
      <c r="Q54" s="217"/>
      <c r="R54" s="230">
        <f>SUM(F54:Q54)</f>
        <v>7090728.7149315067</v>
      </c>
      <c r="S54" s="178">
        <f>SUM(R52:R54)+G61</f>
        <v>14422002.541643837</v>
      </c>
      <c r="T54" s="145"/>
      <c r="U54" s="156"/>
      <c r="V54" s="156"/>
    </row>
    <row r="55" spans="1:23" ht="16.2" hidden="1" thickBot="1">
      <c r="A55" s="243"/>
      <c r="B55" s="244"/>
      <c r="C55" s="244"/>
      <c r="D55" s="245"/>
      <c r="E55" s="246"/>
      <c r="F55" s="244"/>
      <c r="G55" s="244"/>
      <c r="H55" s="244"/>
      <c r="I55" s="247"/>
      <c r="J55" s="248"/>
      <c r="K55" s="248"/>
      <c r="L55" s="244"/>
      <c r="M55" s="244"/>
      <c r="N55" s="244"/>
      <c r="O55" s="244"/>
      <c r="P55" s="244"/>
      <c r="Q55" s="244"/>
      <c r="R55" s="177"/>
      <c r="S55" s="178"/>
      <c r="T55" s="145"/>
      <c r="U55" s="235"/>
      <c r="V55" s="156"/>
      <c r="W55" s="156"/>
    </row>
    <row r="56" spans="1:23" ht="16.2" thickBot="1">
      <c r="A56" s="139"/>
      <c r="B56" s="139"/>
      <c r="C56" s="139"/>
      <c r="D56" s="231"/>
      <c r="E56" s="139"/>
      <c r="F56" s="232">
        <f t="shared" ref="F56:Q56" si="7">SUM(F52:F54)</f>
        <v>175638.36</v>
      </c>
      <c r="G56" s="232">
        <f t="shared" si="7"/>
        <v>173260.27</v>
      </c>
      <c r="H56" s="232">
        <f t="shared" si="7"/>
        <v>173424.66</v>
      </c>
      <c r="I56" s="233">
        <f t="shared" si="7"/>
        <v>179205.48</v>
      </c>
      <c r="J56" s="233">
        <f t="shared" si="7"/>
        <v>173424.66</v>
      </c>
      <c r="K56" s="233">
        <f t="shared" si="7"/>
        <v>8825569.6500000004</v>
      </c>
      <c r="L56" s="233">
        <f t="shared" si="7"/>
        <v>161369.86301369863</v>
      </c>
      <c r="M56" s="233">
        <f t="shared" si="7"/>
        <v>145753.42465753425</v>
      </c>
      <c r="N56" s="233">
        <f t="shared" si="7"/>
        <v>4057260.273972603</v>
      </c>
      <c r="O56" s="233">
        <f t="shared" si="7"/>
        <v>0</v>
      </c>
      <c r="P56" s="233">
        <f t="shared" si="7"/>
        <v>0</v>
      </c>
      <c r="Q56" s="233">
        <f t="shared" si="7"/>
        <v>0</v>
      </c>
      <c r="R56" s="185">
        <f>SUM(F56:Q56)+G61</f>
        <v>14422002.541643836</v>
      </c>
      <c r="S56" s="185" t="s">
        <v>19</v>
      </c>
      <c r="T56" s="178">
        <f>R56-S54</f>
        <v>0</v>
      </c>
      <c r="U56" s="156"/>
      <c r="V56" s="156"/>
    </row>
    <row r="57" spans="1:23" ht="16.8" thickTop="1" thickBot="1">
      <c r="A57" s="139"/>
      <c r="B57" s="139"/>
      <c r="C57" s="139"/>
      <c r="D57" s="139"/>
      <c r="E57" s="140"/>
      <c r="F57" s="186"/>
      <c r="G57" s="202">
        <f>SUM(F56:H56)</f>
        <v>522323.29000000004</v>
      </c>
      <c r="H57" s="222"/>
      <c r="I57" s="186"/>
      <c r="J57" s="186">
        <f>SUM(I56:K56)</f>
        <v>9178199.790000001</v>
      </c>
      <c r="K57" s="187"/>
      <c r="L57" s="186"/>
      <c r="M57" s="186">
        <f>SUM(L56:N56)</f>
        <v>4364383.5616438361</v>
      </c>
      <c r="N57" s="187"/>
      <c r="O57" s="139"/>
      <c r="P57" s="139"/>
      <c r="Q57" s="139"/>
      <c r="R57" s="139"/>
      <c r="S57" s="156"/>
      <c r="T57" s="145"/>
      <c r="U57" s="156"/>
      <c r="V57" s="156"/>
    </row>
    <row r="58" spans="1:23" ht="16.2" thickBot="1">
      <c r="A58" s="139"/>
      <c r="B58" s="139"/>
      <c r="C58" s="139"/>
      <c r="D58" s="139"/>
      <c r="E58" s="140"/>
      <c r="F58" s="191"/>
      <c r="G58" s="192" t="s">
        <v>113</v>
      </c>
      <c r="H58" s="193"/>
      <c r="I58" s="191"/>
      <c r="J58" s="192" t="s">
        <v>115</v>
      </c>
      <c r="K58" s="193"/>
      <c r="L58" s="191"/>
      <c r="M58" s="192" t="s">
        <v>138</v>
      </c>
      <c r="N58" s="193"/>
      <c r="O58" s="139"/>
      <c r="P58" s="139"/>
      <c r="Q58" s="139"/>
      <c r="R58" s="139"/>
      <c r="S58" s="156"/>
      <c r="T58" s="145"/>
      <c r="U58" s="156"/>
      <c r="V58" s="156"/>
    </row>
    <row r="60" spans="1:23" ht="16.8" hidden="1" thickBot="1">
      <c r="D60" s="259" t="s">
        <v>130</v>
      </c>
      <c r="E60" s="260">
        <v>46167</v>
      </c>
      <c r="F60" s="261">
        <v>46198</v>
      </c>
      <c r="S60" s="241"/>
      <c r="U60" s="21"/>
    </row>
    <row r="61" spans="1:23" hidden="1">
      <c r="D61" s="253"/>
      <c r="E61" s="257">
        <v>190246.58</v>
      </c>
      <c r="F61" s="258">
        <v>166849.32</v>
      </c>
      <c r="G61" s="4">
        <f>SUM(E61:F61)</f>
        <v>357095.9</v>
      </c>
    </row>
    <row r="62" spans="1:23" ht="15" hidden="1" thickBot="1">
      <c r="D62" s="254"/>
      <c r="E62" s="255"/>
      <c r="F62" s="256"/>
    </row>
    <row r="63" spans="1:23" hidden="1"/>
    <row r="64" spans="1:23" hidden="1"/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EZ56"/>
  <sheetViews>
    <sheetView showGridLines="0" topLeftCell="C1" zoomScale="85" zoomScaleNormal="85" workbookViewId="0">
      <selection activeCell="U12" sqref="U12"/>
    </sheetView>
  </sheetViews>
  <sheetFormatPr defaultColWidth="8.77734375" defaultRowHeight="14.4"/>
  <cols>
    <col min="1" max="1" width="19.109375" style="4" bestFit="1" customWidth="1"/>
    <col min="2" max="2" width="33.5546875" style="4" bestFit="1" customWidth="1"/>
    <col min="3" max="3" width="61.33203125" style="4" bestFit="1" customWidth="1"/>
    <col min="4" max="4" width="24.6640625" style="4" bestFit="1" customWidth="1"/>
    <col min="5" max="5" width="11.77734375" style="5" bestFit="1" customWidth="1"/>
    <col min="6" max="6" width="12.77734375" style="4" bestFit="1" customWidth="1"/>
    <col min="7" max="7" width="13.88671875" style="4" bestFit="1" customWidth="1"/>
    <col min="8" max="8" width="12.77734375" style="4" bestFit="1" customWidth="1"/>
    <col min="9" max="9" width="14.33203125" style="6" bestFit="1" customWidth="1"/>
    <col min="10" max="11" width="13.88671875" style="6" bestFit="1" customWidth="1"/>
    <col min="12" max="12" width="7.88671875" style="6" bestFit="1" customWidth="1"/>
    <col min="13" max="17" width="7.88671875" style="4" bestFit="1" customWidth="1"/>
    <col min="18" max="18" width="13.88671875" style="4" bestFit="1" customWidth="1"/>
    <col min="19" max="19" width="14.109375" bestFit="1" customWidth="1"/>
    <col min="20" max="20" width="9.21875" bestFit="1" customWidth="1"/>
    <col min="21" max="21" width="10.33203125" bestFit="1" customWidth="1"/>
    <col min="22" max="22" width="18.77734375" bestFit="1" customWidth="1"/>
  </cols>
  <sheetData>
    <row r="1" spans="1:19 16378:16378" ht="15" thickBot="1">
      <c r="A1" s="1" t="s">
        <v>0</v>
      </c>
      <c r="B1" s="2" t="s">
        <v>1</v>
      </c>
      <c r="C1" s="3"/>
      <c r="I1" s="103"/>
      <c r="J1" s="134"/>
      <c r="S1" s="9"/>
    </row>
    <row r="2" spans="1:19 16378:16378" s="13" customFormat="1">
      <c r="A2" s="10" t="s">
        <v>2</v>
      </c>
      <c r="B2" s="10" t="s">
        <v>3</v>
      </c>
      <c r="C2" s="11" t="s">
        <v>4</v>
      </c>
      <c r="D2" s="12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1" t="s">
        <v>18</v>
      </c>
      <c r="R2" s="11" t="s">
        <v>19</v>
      </c>
    </row>
    <row r="3" spans="1:19 16378:16378">
      <c r="A3" s="16">
        <v>1</v>
      </c>
      <c r="B3" s="17" t="s">
        <v>21</v>
      </c>
      <c r="C3" s="17" t="s">
        <v>22</v>
      </c>
      <c r="D3" s="18">
        <v>231422923</v>
      </c>
      <c r="E3" s="19" t="s">
        <v>23</v>
      </c>
      <c r="F3" s="17"/>
      <c r="G3" s="17">
        <v>26514</v>
      </c>
      <c r="H3" s="20" t="s">
        <v>24</v>
      </c>
      <c r="I3" s="20" t="s">
        <v>24</v>
      </c>
      <c r="J3" s="20" t="s">
        <v>24</v>
      </c>
      <c r="K3" s="20" t="s">
        <v>24</v>
      </c>
      <c r="L3" s="20" t="s">
        <v>24</v>
      </c>
      <c r="M3" s="20" t="s">
        <v>24</v>
      </c>
      <c r="N3" s="20" t="s">
        <v>24</v>
      </c>
      <c r="O3" s="20" t="s">
        <v>24</v>
      </c>
      <c r="P3" s="20" t="s">
        <v>24</v>
      </c>
      <c r="Q3" s="20" t="s">
        <v>24</v>
      </c>
      <c r="R3" s="20">
        <f>SUM(F3:Q3)</f>
        <v>26514</v>
      </c>
      <c r="XEX3" s="20"/>
    </row>
    <row r="4" spans="1:19 16378:16378">
      <c r="A4" s="16">
        <v>3</v>
      </c>
      <c r="B4" s="17" t="s">
        <v>21</v>
      </c>
      <c r="C4" s="17" t="s">
        <v>25</v>
      </c>
      <c r="D4" s="18">
        <v>9134</v>
      </c>
      <c r="E4" s="19" t="s">
        <v>23</v>
      </c>
      <c r="F4" s="17">
        <v>5506585</v>
      </c>
      <c r="G4" s="17">
        <v>5506585</v>
      </c>
      <c r="H4" s="17">
        <v>5506585</v>
      </c>
      <c r="I4" s="22">
        <v>1566397.4699999988</v>
      </c>
      <c r="J4" s="17">
        <v>3102250.2</v>
      </c>
      <c r="K4" s="17">
        <f>2629214.54+2094186</f>
        <v>4723400.54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/>
      <c r="R4" s="17">
        <f>SUBTOTAL(9,F4:Q4)</f>
        <v>25911803.209999997</v>
      </c>
    </row>
    <row r="5" spans="1:19 16378:16378">
      <c r="A5" s="16">
        <v>3</v>
      </c>
      <c r="B5" s="17" t="s">
        <v>21</v>
      </c>
      <c r="C5" s="17" t="s">
        <v>26</v>
      </c>
      <c r="D5" s="18">
        <v>9172</v>
      </c>
      <c r="E5" s="19" t="s">
        <v>23</v>
      </c>
      <c r="F5" s="17">
        <v>1216390.3333333333</v>
      </c>
      <c r="G5" s="17">
        <v>1216390.3333333333</v>
      </c>
      <c r="H5" s="17">
        <v>1216390.3333333333</v>
      </c>
      <c r="I5" s="22">
        <v>2072281.2800000003</v>
      </c>
      <c r="J5" s="17">
        <v>2925850.36</v>
      </c>
      <c r="K5" s="17">
        <v>6103588.96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/>
      <c r="R5" s="17">
        <f>SUBTOTAL(9,F5:Q5)</f>
        <v>14750891.600000001</v>
      </c>
    </row>
    <row r="6" spans="1:19 16378:16378">
      <c r="A6" s="23">
        <v>4</v>
      </c>
      <c r="B6" s="24" t="s">
        <v>21</v>
      </c>
      <c r="C6" s="24" t="s">
        <v>0</v>
      </c>
      <c r="D6" s="25">
        <v>1006023474</v>
      </c>
      <c r="E6" s="26" t="s">
        <v>27</v>
      </c>
      <c r="F6" s="24">
        <v>305737</v>
      </c>
      <c r="G6" s="24">
        <v>486244.07</v>
      </c>
      <c r="H6" s="24">
        <v>193234.39</v>
      </c>
      <c r="I6" s="27">
        <f>146697.41+3547.95</f>
        <v>150245.36000000002</v>
      </c>
      <c r="J6" s="27">
        <v>257170.07</v>
      </c>
      <c r="K6" s="27">
        <v>277764.5</v>
      </c>
      <c r="L6" s="24"/>
      <c r="M6" s="24"/>
      <c r="N6" s="24"/>
      <c r="O6" s="24"/>
      <c r="P6" s="24"/>
      <c r="Q6" s="24"/>
      <c r="R6" s="24">
        <f t="shared" ref="R6:R18" si="0">SUM(F6:Q6)</f>
        <v>1670395.3900000001</v>
      </c>
    </row>
    <row r="7" spans="1:19 16378:16378">
      <c r="A7" s="23">
        <v>5</v>
      </c>
      <c r="B7" s="24" t="s">
        <v>21</v>
      </c>
      <c r="C7" s="24" t="s">
        <v>22</v>
      </c>
      <c r="D7" s="25">
        <v>1006024272</v>
      </c>
      <c r="E7" s="26" t="s">
        <v>27</v>
      </c>
      <c r="F7" s="24">
        <v>1637214.51</v>
      </c>
      <c r="G7" s="24">
        <v>20894.88</v>
      </c>
      <c r="H7" s="24">
        <v>22509.87</v>
      </c>
      <c r="I7" s="27">
        <v>52507.16</v>
      </c>
      <c r="J7" s="20" t="s">
        <v>24</v>
      </c>
      <c r="K7" s="20" t="s">
        <v>24</v>
      </c>
      <c r="L7" s="20" t="s">
        <v>24</v>
      </c>
      <c r="M7" s="20" t="s">
        <v>24</v>
      </c>
      <c r="N7" s="20"/>
      <c r="O7" s="20" t="s">
        <v>24</v>
      </c>
      <c r="P7" s="20" t="s">
        <v>24</v>
      </c>
      <c r="Q7" s="20" t="s">
        <v>24</v>
      </c>
      <c r="R7" s="24">
        <f t="shared" si="0"/>
        <v>1733126.42</v>
      </c>
    </row>
    <row r="8" spans="1:19 16378:16378">
      <c r="A8" s="23">
        <v>6</v>
      </c>
      <c r="B8" s="24" t="s">
        <v>21</v>
      </c>
      <c r="C8" s="24" t="s">
        <v>28</v>
      </c>
      <c r="D8" s="25">
        <v>1006155292</v>
      </c>
      <c r="E8" s="26" t="s">
        <v>27</v>
      </c>
      <c r="F8" s="24">
        <v>1182085.76</v>
      </c>
      <c r="G8" s="24">
        <v>10240.43</v>
      </c>
      <c r="H8" s="24">
        <v>10338.94</v>
      </c>
      <c r="I8" s="27">
        <v>337931.83</v>
      </c>
      <c r="J8" s="27">
        <v>382024.66</v>
      </c>
      <c r="K8" s="27">
        <v>410482.89</v>
      </c>
      <c r="L8" s="24"/>
      <c r="M8" s="24"/>
      <c r="N8" s="24"/>
      <c r="O8" s="24"/>
      <c r="P8" s="24"/>
      <c r="Q8" s="24"/>
      <c r="R8" s="24">
        <f t="shared" si="0"/>
        <v>2333104.5099999998</v>
      </c>
    </row>
    <row r="9" spans="1:19 16378:16378">
      <c r="A9" s="23">
        <v>7</v>
      </c>
      <c r="B9" s="24" t="s">
        <v>21</v>
      </c>
      <c r="C9" s="24" t="s">
        <v>29</v>
      </c>
      <c r="D9" s="25">
        <v>1006155289</v>
      </c>
      <c r="E9" s="26" t="s">
        <v>27</v>
      </c>
      <c r="F9" s="24">
        <v>102934.62</v>
      </c>
      <c r="G9" s="24">
        <v>98496.78</v>
      </c>
      <c r="H9" s="24">
        <v>99444.32</v>
      </c>
      <c r="I9" s="27">
        <v>103579.27</v>
      </c>
      <c r="J9" s="27">
        <v>853225.36</v>
      </c>
      <c r="K9" s="27">
        <v>1223477.75</v>
      </c>
      <c r="L9" s="24"/>
      <c r="M9" s="24"/>
      <c r="N9" s="24"/>
      <c r="O9" s="24"/>
      <c r="P9" s="24"/>
      <c r="Q9" s="24"/>
      <c r="R9" s="24">
        <f t="shared" si="0"/>
        <v>2481158.1</v>
      </c>
    </row>
    <row r="10" spans="1:19 16378:16378">
      <c r="A10" s="23">
        <v>8</v>
      </c>
      <c r="B10" s="24" t="s">
        <v>21</v>
      </c>
      <c r="C10" s="24" t="s">
        <v>30</v>
      </c>
      <c r="D10" s="25">
        <v>1006155288</v>
      </c>
      <c r="E10" s="26" t="s">
        <v>27</v>
      </c>
      <c r="F10" s="24">
        <v>22522226.91</v>
      </c>
      <c r="G10" s="24">
        <v>32579787.75</v>
      </c>
      <c r="H10" s="24">
        <v>19774819.050000001</v>
      </c>
      <c r="I10" s="27">
        <v>26319781.190000001</v>
      </c>
      <c r="J10" s="27">
        <v>27920224.550000001</v>
      </c>
      <c r="K10" s="27">
        <v>24683729.850000001</v>
      </c>
      <c r="L10" s="24"/>
      <c r="M10" s="24"/>
      <c r="N10" s="24"/>
      <c r="O10" s="24"/>
      <c r="P10" s="24"/>
      <c r="Q10" s="24"/>
      <c r="R10" s="24">
        <f t="shared" si="0"/>
        <v>153800569.29999998</v>
      </c>
    </row>
    <row r="11" spans="1:19 16378:16378">
      <c r="A11" s="23">
        <v>9</v>
      </c>
      <c r="B11" s="24" t="s">
        <v>21</v>
      </c>
      <c r="C11" s="24" t="s">
        <v>31</v>
      </c>
      <c r="D11" s="25">
        <v>1698</v>
      </c>
      <c r="E11" s="26" t="s">
        <v>27</v>
      </c>
      <c r="F11" s="24">
        <v>1382968.51</v>
      </c>
      <c r="G11" s="24">
        <v>2143162.59</v>
      </c>
      <c r="H11" s="24">
        <v>2346921.39</v>
      </c>
      <c r="I11" s="27">
        <v>1900670.44</v>
      </c>
      <c r="J11" s="27">
        <v>1655608.98</v>
      </c>
      <c r="K11" s="27">
        <v>1791145.86</v>
      </c>
      <c r="L11" s="24"/>
      <c r="M11" s="24"/>
      <c r="N11" s="24"/>
      <c r="O11" s="24"/>
      <c r="P11" s="24"/>
      <c r="Q11" s="24"/>
      <c r="R11" s="24">
        <f t="shared" si="0"/>
        <v>11220477.77</v>
      </c>
    </row>
    <row r="12" spans="1:19 16378:16378">
      <c r="A12" s="23">
        <v>9</v>
      </c>
      <c r="B12" s="24" t="s">
        <v>21</v>
      </c>
      <c r="C12" s="24" t="s">
        <v>25</v>
      </c>
      <c r="D12" s="25">
        <v>2280</v>
      </c>
      <c r="E12" s="26" t="s">
        <v>27</v>
      </c>
      <c r="F12" s="24"/>
      <c r="G12" s="24"/>
      <c r="H12" s="24"/>
      <c r="I12" s="27">
        <v>2602094.88</v>
      </c>
      <c r="J12" s="27">
        <v>5711710.3399999999</v>
      </c>
      <c r="K12" s="27">
        <v>4426338.17</v>
      </c>
      <c r="L12" s="24"/>
      <c r="M12" s="24"/>
      <c r="N12" s="24"/>
      <c r="O12" s="24"/>
      <c r="P12" s="24"/>
      <c r="Q12" s="24"/>
      <c r="R12" s="24">
        <f t="shared" si="0"/>
        <v>12740143.390000001</v>
      </c>
    </row>
    <row r="13" spans="1:19 16378:16378">
      <c r="A13" s="28">
        <v>10</v>
      </c>
      <c r="B13" s="29" t="s">
        <v>21</v>
      </c>
      <c r="C13" s="29" t="s">
        <v>32</v>
      </c>
      <c r="D13" s="30" t="s">
        <v>33</v>
      </c>
      <c r="E13" s="31" t="s">
        <v>34</v>
      </c>
      <c r="F13" s="29">
        <v>1968.9</v>
      </c>
      <c r="G13" s="29">
        <v>1984.79</v>
      </c>
      <c r="H13" s="29">
        <v>1936.26</v>
      </c>
      <c r="I13" s="32">
        <v>2016.42</v>
      </c>
      <c r="J13" s="32">
        <v>1967.12</v>
      </c>
      <c r="K13" s="32">
        <v>2048.56</v>
      </c>
      <c r="L13" s="29"/>
      <c r="M13" s="29"/>
      <c r="N13" s="29"/>
      <c r="O13" s="29"/>
      <c r="P13" s="29"/>
      <c r="Q13" s="29"/>
      <c r="R13" s="29">
        <f t="shared" si="0"/>
        <v>11922.05</v>
      </c>
    </row>
    <row r="14" spans="1:19 16378:16378">
      <c r="A14" s="33">
        <v>11</v>
      </c>
      <c r="B14" s="34" t="s">
        <v>21</v>
      </c>
      <c r="C14" s="34" t="s">
        <v>30</v>
      </c>
      <c r="D14" s="35" t="s">
        <v>35</v>
      </c>
      <c r="E14" s="36" t="s">
        <v>36</v>
      </c>
      <c r="F14" s="34">
        <v>503868.95333333331</v>
      </c>
      <c r="G14" s="34">
        <v>503868.95333333331</v>
      </c>
      <c r="H14" s="34">
        <v>503868.95333333331</v>
      </c>
      <c r="I14" s="37">
        <v>11333.333333333334</v>
      </c>
      <c r="J14" s="37">
        <v>11333.333333333334</v>
      </c>
      <c r="K14" s="37">
        <v>11333.333333333334</v>
      </c>
      <c r="L14" s="34"/>
      <c r="M14" s="34"/>
      <c r="N14" s="34"/>
      <c r="O14" s="34"/>
      <c r="P14" s="34"/>
      <c r="Q14" s="34"/>
      <c r="R14" s="34">
        <f t="shared" si="0"/>
        <v>1545606.8599999996</v>
      </c>
      <c r="S14" s="21"/>
    </row>
    <row r="15" spans="1:19 16378:16378">
      <c r="A15" s="38">
        <v>12</v>
      </c>
      <c r="B15" s="39" t="s">
        <v>21</v>
      </c>
      <c r="C15" s="39" t="s">
        <v>37</v>
      </c>
      <c r="D15" s="40" t="s">
        <v>38</v>
      </c>
      <c r="E15" s="41" t="s">
        <v>39</v>
      </c>
      <c r="F15" s="39"/>
      <c r="G15" s="39"/>
      <c r="H15" s="39"/>
      <c r="I15" s="42"/>
      <c r="J15" s="42"/>
      <c r="K15" s="42"/>
      <c r="L15" s="39"/>
      <c r="M15" s="39"/>
      <c r="N15" s="39"/>
      <c r="O15" s="39"/>
      <c r="P15" s="39"/>
      <c r="Q15" s="39"/>
      <c r="R15" s="39">
        <f t="shared" si="0"/>
        <v>0</v>
      </c>
    </row>
    <row r="16" spans="1:19 16378:16378">
      <c r="A16" s="43">
        <v>13</v>
      </c>
      <c r="B16" s="44" t="s">
        <v>21</v>
      </c>
      <c r="C16" s="44" t="s">
        <v>26</v>
      </c>
      <c r="D16" s="45" t="s">
        <v>40</v>
      </c>
      <c r="E16" s="46" t="s">
        <v>41</v>
      </c>
      <c r="F16" s="44">
        <v>46036892.25</v>
      </c>
      <c r="G16" s="44">
        <v>46551176.920000002</v>
      </c>
      <c r="H16" s="44">
        <v>54817037.539999999</v>
      </c>
      <c r="I16" s="44">
        <v>48949285.340000004</v>
      </c>
      <c r="J16" s="47">
        <v>53355378.149999999</v>
      </c>
      <c r="K16" s="44">
        <v>66883322.560000002</v>
      </c>
      <c r="L16" s="44"/>
      <c r="M16" s="44"/>
      <c r="N16" s="44"/>
      <c r="O16" s="44"/>
      <c r="P16" s="44"/>
      <c r="Q16" s="44"/>
      <c r="R16" s="44">
        <f>SUM(F16:Q16)</f>
        <v>316593092.75999999</v>
      </c>
    </row>
    <row r="17" spans="1:20">
      <c r="A17" s="43">
        <v>14</v>
      </c>
      <c r="B17" s="44" t="s">
        <v>42</v>
      </c>
      <c r="C17" s="44" t="s">
        <v>43</v>
      </c>
      <c r="D17" s="45" t="s">
        <v>44</v>
      </c>
      <c r="E17" s="46" t="s">
        <v>41</v>
      </c>
      <c r="F17" s="44">
        <v>2344613.9900000002</v>
      </c>
      <c r="G17" s="44">
        <v>2518745.09</v>
      </c>
      <c r="H17" s="44">
        <v>2508166.67</v>
      </c>
      <c r="I17" s="44">
        <v>2565342.91</v>
      </c>
      <c r="J17" s="47">
        <v>2251652.17</v>
      </c>
      <c r="K17" s="47">
        <v>1933481.4</v>
      </c>
      <c r="L17" s="44"/>
      <c r="M17" s="44"/>
      <c r="N17" s="44"/>
      <c r="O17" s="44"/>
      <c r="P17" s="44"/>
      <c r="Q17" s="44"/>
      <c r="R17" s="44">
        <f>SUM(F17:Q17)</f>
        <v>14122002.23</v>
      </c>
    </row>
    <row r="18" spans="1:20" ht="15" thickBot="1">
      <c r="A18" s="48">
        <v>16</v>
      </c>
      <c r="B18" s="49" t="s">
        <v>21</v>
      </c>
      <c r="C18" s="49" t="s">
        <v>45</v>
      </c>
      <c r="D18" s="50" t="s">
        <v>46</v>
      </c>
      <c r="E18" s="51" t="s">
        <v>47</v>
      </c>
      <c r="F18" s="49"/>
      <c r="G18" s="49"/>
      <c r="H18" s="49"/>
      <c r="I18" s="52"/>
      <c r="J18" s="52"/>
      <c r="K18" s="52"/>
      <c r="L18" s="49"/>
      <c r="M18" s="49"/>
      <c r="N18" s="49"/>
      <c r="O18" s="49"/>
      <c r="P18" s="49"/>
      <c r="Q18" s="49"/>
      <c r="R18" s="49">
        <f t="shared" si="0"/>
        <v>0</v>
      </c>
    </row>
    <row r="19" spans="1:20" ht="15" thickBot="1">
      <c r="A19" s="53">
        <v>17</v>
      </c>
      <c r="B19" s="54" t="s">
        <v>21</v>
      </c>
      <c r="C19" s="54" t="s">
        <v>48</v>
      </c>
      <c r="D19" s="55">
        <v>2001412216</v>
      </c>
      <c r="E19" s="56" t="s">
        <v>49</v>
      </c>
      <c r="F19" s="54">
        <f>259115.55+7670713</f>
        <v>7929828.5499999998</v>
      </c>
      <c r="G19" s="54">
        <f>7740862.45</f>
        <v>7740862.4500000002</v>
      </c>
      <c r="H19" s="54">
        <v>7559785.1399999997</v>
      </c>
      <c r="I19" s="57">
        <v>7880799.8499999996</v>
      </c>
      <c r="J19" s="57">
        <v>7696212.2300000004</v>
      </c>
      <c r="K19" s="57">
        <v>8025306</v>
      </c>
      <c r="L19" s="54"/>
      <c r="M19" s="54"/>
      <c r="N19" s="54"/>
      <c r="O19" s="54"/>
      <c r="P19" s="54"/>
      <c r="Q19" s="54"/>
      <c r="R19" s="58">
        <f>SUM(F19:Q19)</f>
        <v>46832794.219999999</v>
      </c>
      <c r="S19" s="59">
        <f>SUM(R3:R19)</f>
        <v>605773601.81000006</v>
      </c>
    </row>
    <row r="20" spans="1:20" ht="15" thickBot="1">
      <c r="A20" s="60"/>
      <c r="B20" s="61"/>
      <c r="C20" s="61"/>
      <c r="D20" s="62"/>
      <c r="E20" s="63"/>
      <c r="F20" s="64">
        <f t="shared" ref="F20:Q20" si="1">SUM(F3:F19)</f>
        <v>90673315.286666662</v>
      </c>
      <c r="G20" s="64">
        <f t="shared" si="1"/>
        <v>99404954.036666676</v>
      </c>
      <c r="H20" s="64">
        <f t="shared" si="1"/>
        <v>94561037.856666669</v>
      </c>
      <c r="I20" s="64">
        <f t="shared" si="1"/>
        <v>94514266.733333334</v>
      </c>
      <c r="J20" s="64">
        <f t="shared" si="1"/>
        <v>106124607.52333334</v>
      </c>
      <c r="K20" s="64">
        <f t="shared" si="1"/>
        <v>120495420.37333335</v>
      </c>
      <c r="L20" s="64">
        <f t="shared" si="1"/>
        <v>0</v>
      </c>
      <c r="M20" s="64">
        <f t="shared" si="1"/>
        <v>0</v>
      </c>
      <c r="N20" s="64">
        <f t="shared" si="1"/>
        <v>0</v>
      </c>
      <c r="O20" s="64">
        <f t="shared" si="1"/>
        <v>0</v>
      </c>
      <c r="P20" s="64">
        <f t="shared" si="1"/>
        <v>0</v>
      </c>
      <c r="Q20" s="64">
        <f t="shared" si="1"/>
        <v>0</v>
      </c>
      <c r="R20" s="65">
        <f>SUM(F20:Q20)</f>
        <v>605773601.81000006</v>
      </c>
      <c r="S20" s="66" t="s">
        <v>19</v>
      </c>
      <c r="T20" s="67">
        <f>R20-S19</f>
        <v>0</v>
      </c>
    </row>
    <row r="21" spans="1:20" ht="15" thickBot="1">
      <c r="A21" s="60"/>
      <c r="B21" s="61"/>
      <c r="C21" s="61"/>
      <c r="D21" s="62"/>
      <c r="E21" s="63"/>
      <c r="F21" s="132"/>
      <c r="G21" s="132">
        <f>SUM(F20:H20)</f>
        <v>284639307.18000001</v>
      </c>
      <c r="H21" s="128"/>
      <c r="I21" s="132"/>
      <c r="J21" s="132">
        <f>SUM(I20:K20)</f>
        <v>321134294.63</v>
      </c>
      <c r="K21" s="128"/>
      <c r="L21" s="83"/>
      <c r="M21" s="83"/>
      <c r="N21" s="83"/>
      <c r="O21" s="83"/>
      <c r="P21" s="83"/>
      <c r="Q21" s="83"/>
      <c r="R21" s="61"/>
      <c r="S21" s="85"/>
      <c r="T21" s="86"/>
    </row>
    <row r="22" spans="1:20" ht="15" thickBot="1">
      <c r="A22" s="60"/>
      <c r="B22" s="61"/>
      <c r="C22" s="61"/>
      <c r="D22" s="62"/>
      <c r="E22" s="63"/>
      <c r="F22" s="129"/>
      <c r="G22" s="130" t="s">
        <v>113</v>
      </c>
      <c r="H22" s="131"/>
      <c r="I22" s="129"/>
      <c r="J22" s="130" t="s">
        <v>115</v>
      </c>
      <c r="K22" s="131"/>
      <c r="L22" s="83"/>
      <c r="M22" s="83"/>
      <c r="N22" s="83"/>
      <c r="O22" s="83"/>
      <c r="P22" s="83"/>
      <c r="Q22" s="83"/>
      <c r="R22" s="61"/>
      <c r="S22" s="85"/>
      <c r="T22" s="86"/>
    </row>
    <row r="23" spans="1:20" ht="15" thickBot="1">
      <c r="A23" s="65" t="s">
        <v>50</v>
      </c>
      <c r="B23" s="10" t="s">
        <v>3</v>
      </c>
      <c r="C23" s="11" t="s">
        <v>4</v>
      </c>
      <c r="D23" s="12" t="s">
        <v>5</v>
      </c>
      <c r="E23" s="11" t="s">
        <v>6</v>
      </c>
      <c r="F23" s="11" t="s">
        <v>7</v>
      </c>
      <c r="G23" s="11" t="s">
        <v>8</v>
      </c>
      <c r="H23" s="11" t="s">
        <v>9</v>
      </c>
      <c r="I23" s="11" t="s">
        <v>10</v>
      </c>
      <c r="J23" s="11" t="s">
        <v>11</v>
      </c>
      <c r="K23" s="11" t="s">
        <v>12</v>
      </c>
      <c r="L23" s="11" t="s">
        <v>13</v>
      </c>
      <c r="M23" s="11" t="s">
        <v>14</v>
      </c>
      <c r="N23" s="11" t="s">
        <v>15</v>
      </c>
      <c r="O23" s="11" t="s">
        <v>16</v>
      </c>
      <c r="P23" s="11" t="s">
        <v>17</v>
      </c>
      <c r="Q23" s="11" t="s">
        <v>18</v>
      </c>
      <c r="R23" s="11" t="s">
        <v>19</v>
      </c>
    </row>
    <row r="24" spans="1:20">
      <c r="A24" s="68">
        <v>1</v>
      </c>
      <c r="B24" s="69" t="s">
        <v>50</v>
      </c>
      <c r="C24" s="69" t="s">
        <v>51</v>
      </c>
      <c r="D24" s="70">
        <v>1006155298</v>
      </c>
      <c r="E24" s="69" t="s">
        <v>27</v>
      </c>
      <c r="F24" s="69">
        <v>888690.75</v>
      </c>
      <c r="G24" s="69">
        <v>1185738.26</v>
      </c>
      <c r="H24" s="69">
        <v>472893.35</v>
      </c>
      <c r="I24" s="69">
        <f>432114.54+43939.69</f>
        <v>476054.23</v>
      </c>
      <c r="J24" s="69">
        <v>287403.43</v>
      </c>
      <c r="K24" s="69">
        <v>1093974.06</v>
      </c>
      <c r="L24" s="69"/>
      <c r="M24" s="69"/>
      <c r="N24" s="69"/>
      <c r="O24" s="69"/>
      <c r="P24" s="69"/>
      <c r="Q24" s="69"/>
      <c r="R24" s="69">
        <f>SUM(F24:Q24)</f>
        <v>4404754.08</v>
      </c>
    </row>
    <row r="25" spans="1:20" ht="15" thickBot="1">
      <c r="A25" s="68">
        <f>A24+1</f>
        <v>2</v>
      </c>
      <c r="B25" s="69" t="s">
        <v>50</v>
      </c>
      <c r="C25" s="69" t="s">
        <v>52</v>
      </c>
      <c r="D25" s="70">
        <v>1009045100</v>
      </c>
      <c r="E25" s="69" t="s">
        <v>27</v>
      </c>
      <c r="F25" s="69">
        <v>483471.76</v>
      </c>
      <c r="G25" s="69">
        <v>694131.04</v>
      </c>
      <c r="H25" s="69">
        <v>831423.35</v>
      </c>
      <c r="I25" s="69">
        <v>811374.49</v>
      </c>
      <c r="J25" s="69">
        <v>691352.67</v>
      </c>
      <c r="K25" s="69">
        <v>673279.89</v>
      </c>
      <c r="L25" s="69"/>
      <c r="M25" s="69"/>
      <c r="N25" s="69"/>
      <c r="O25" s="69"/>
      <c r="P25" s="69"/>
      <c r="Q25" s="69"/>
      <c r="R25" s="69">
        <f>SUM(F25:Q25)</f>
        <v>4185033.1999999997</v>
      </c>
    </row>
    <row r="26" spans="1:20" ht="15" thickBot="1">
      <c r="A26" s="68">
        <f>A25+1</f>
        <v>3</v>
      </c>
      <c r="B26" s="69" t="s">
        <v>50</v>
      </c>
      <c r="C26" s="69" t="s">
        <v>53</v>
      </c>
      <c r="D26" s="70">
        <v>1009045134</v>
      </c>
      <c r="E26" s="69" t="s">
        <v>27</v>
      </c>
      <c r="F26" s="71">
        <v>40023.53</v>
      </c>
      <c r="G26" s="71">
        <v>102031.25</v>
      </c>
      <c r="H26" s="71">
        <v>96754.54</v>
      </c>
      <c r="I26" s="71">
        <v>91072.28</v>
      </c>
      <c r="J26" s="71">
        <v>66662.41</v>
      </c>
      <c r="K26" s="71">
        <v>132754.54</v>
      </c>
      <c r="L26" s="71"/>
      <c r="M26" s="71"/>
      <c r="N26" s="71"/>
      <c r="O26" s="71"/>
      <c r="P26" s="71"/>
      <c r="Q26" s="71"/>
      <c r="R26" s="69">
        <f>SUM(F26:Q26)</f>
        <v>529298.55000000005</v>
      </c>
      <c r="S26" s="59">
        <f>SUM(R24:R27)</f>
        <v>9190627.4499999993</v>
      </c>
    </row>
    <row r="27" spans="1:20" ht="15" thickBot="1">
      <c r="A27" s="135">
        <v>4</v>
      </c>
      <c r="B27" s="74" t="s">
        <v>50</v>
      </c>
      <c r="C27" s="74" t="s">
        <v>51</v>
      </c>
      <c r="D27" s="75">
        <v>231422152</v>
      </c>
      <c r="E27" s="74" t="s">
        <v>23</v>
      </c>
      <c r="F27" s="74">
        <v>9964.3333333333339</v>
      </c>
      <c r="G27" s="74">
        <v>9964.3333333333339</v>
      </c>
      <c r="H27" s="74">
        <v>9964.3333333333339</v>
      </c>
      <c r="I27" s="17">
        <v>13848.89</v>
      </c>
      <c r="J27" s="74">
        <v>13782.99</v>
      </c>
      <c r="K27" s="74">
        <v>14016.74</v>
      </c>
      <c r="L27" s="74"/>
      <c r="M27" s="74"/>
      <c r="N27" s="74"/>
      <c r="O27" s="74"/>
      <c r="P27" s="74"/>
      <c r="Q27" s="74"/>
      <c r="R27" s="74">
        <f>SUM(F27:Q27)</f>
        <v>71541.62</v>
      </c>
      <c r="S27" s="59"/>
    </row>
    <row r="28" spans="1:20" ht="15" thickBot="1">
      <c r="E28" s="4"/>
      <c r="F28" s="64">
        <f>SUM(F24:F27)</f>
        <v>1422150.3733333333</v>
      </c>
      <c r="G28" s="64">
        <f>SUM(G24:G27)</f>
        <v>1991864.8833333333</v>
      </c>
      <c r="H28" s="64">
        <f>SUM(H24:H27)</f>
        <v>1411035.5733333332</v>
      </c>
      <c r="I28" s="64">
        <f>SUM(I24:I27)</f>
        <v>1392349.89</v>
      </c>
      <c r="J28" s="64">
        <f>SUM(J24:J27)</f>
        <v>1059201.5000000002</v>
      </c>
      <c r="K28" s="64">
        <f t="shared" ref="K28:Q28" si="2">SUM(K24:K26)</f>
        <v>1900008.4900000002</v>
      </c>
      <c r="L28" s="64">
        <f t="shared" si="2"/>
        <v>0</v>
      </c>
      <c r="M28" s="64">
        <f t="shared" si="2"/>
        <v>0</v>
      </c>
      <c r="N28" s="64">
        <f t="shared" si="2"/>
        <v>0</v>
      </c>
      <c r="O28" s="64">
        <f t="shared" si="2"/>
        <v>0</v>
      </c>
      <c r="P28" s="64">
        <f t="shared" si="2"/>
        <v>0</v>
      </c>
      <c r="Q28" s="64">
        <f t="shared" si="2"/>
        <v>0</v>
      </c>
      <c r="R28" s="72">
        <f>SUM(F28:Q28)</f>
        <v>9176610.7100000009</v>
      </c>
      <c r="S28" s="66" t="s">
        <v>19</v>
      </c>
      <c r="T28" s="67">
        <f>S26-R28</f>
        <v>14016.739999998361</v>
      </c>
    </row>
    <row r="29" spans="1:20" ht="15" thickBot="1">
      <c r="E29" s="4"/>
      <c r="F29" s="132"/>
      <c r="G29" s="133">
        <f>SUM(F28:H28)</f>
        <v>4825050.83</v>
      </c>
      <c r="H29" s="128"/>
      <c r="I29" s="132"/>
      <c r="J29" s="132">
        <f>SUM(I28:K28)</f>
        <v>4351559.8800000008</v>
      </c>
      <c r="K29" s="128"/>
      <c r="L29" s="83"/>
      <c r="M29" s="83"/>
      <c r="N29" s="83"/>
      <c r="O29" s="83"/>
      <c r="P29" s="83"/>
      <c r="Q29" s="83"/>
      <c r="R29" s="84"/>
      <c r="S29" s="85"/>
      <c r="T29" s="86"/>
    </row>
    <row r="30" spans="1:20" ht="15" thickBot="1">
      <c r="E30" s="4"/>
      <c r="F30" s="129"/>
      <c r="G30" s="130" t="s">
        <v>113</v>
      </c>
      <c r="H30" s="131"/>
      <c r="I30" s="129"/>
      <c r="J30" s="130" t="s">
        <v>115</v>
      </c>
      <c r="K30" s="131"/>
      <c r="L30" s="83"/>
      <c r="M30" s="83"/>
      <c r="N30" s="83"/>
      <c r="O30" s="83"/>
      <c r="P30" s="83"/>
      <c r="Q30" s="83"/>
      <c r="R30" s="84"/>
      <c r="S30" s="85"/>
      <c r="T30" s="86"/>
    </row>
    <row r="31" spans="1:20" ht="15" thickBot="1">
      <c r="A31" s="65" t="s">
        <v>54</v>
      </c>
      <c r="B31" s="10" t="s">
        <v>3</v>
      </c>
      <c r="C31" s="11" t="s">
        <v>4</v>
      </c>
      <c r="D31" s="12" t="s">
        <v>5</v>
      </c>
      <c r="E31" s="11" t="s">
        <v>6</v>
      </c>
      <c r="F31" s="11" t="s">
        <v>7</v>
      </c>
      <c r="G31" s="11" t="s">
        <v>8</v>
      </c>
      <c r="H31" s="11" t="s">
        <v>9</v>
      </c>
      <c r="I31" s="11" t="s">
        <v>10</v>
      </c>
      <c r="J31" s="11" t="s">
        <v>11</v>
      </c>
      <c r="K31" s="11" t="s">
        <v>12</v>
      </c>
      <c r="L31" s="11" t="s">
        <v>13</v>
      </c>
      <c r="M31" s="11" t="s">
        <v>14</v>
      </c>
      <c r="N31" s="11" t="s">
        <v>15</v>
      </c>
      <c r="O31" s="11" t="s">
        <v>16</v>
      </c>
      <c r="P31" s="11" t="s">
        <v>17</v>
      </c>
      <c r="Q31" s="11" t="s">
        <v>18</v>
      </c>
      <c r="R31" s="11" t="s">
        <v>19</v>
      </c>
    </row>
    <row r="32" spans="1:20">
      <c r="A32" s="68">
        <v>1</v>
      </c>
      <c r="B32" s="69" t="s">
        <v>54</v>
      </c>
      <c r="C32" s="69" t="s">
        <v>55</v>
      </c>
      <c r="D32" s="70">
        <v>1008986958</v>
      </c>
      <c r="E32" s="69" t="s">
        <v>27</v>
      </c>
      <c r="F32" s="69">
        <v>1631218.09</v>
      </c>
      <c r="G32" s="69">
        <v>387286.15</v>
      </c>
      <c r="H32" s="69">
        <v>363066.02</v>
      </c>
      <c r="I32" s="69">
        <v>241418.67</v>
      </c>
      <c r="J32" s="69">
        <v>213903.35999999999</v>
      </c>
      <c r="K32" s="69">
        <v>198829.8</v>
      </c>
      <c r="L32" s="69"/>
      <c r="M32" s="69"/>
      <c r="N32" s="69"/>
      <c r="O32" s="69"/>
      <c r="P32" s="69"/>
      <c r="Q32" s="69"/>
      <c r="R32" s="69">
        <f>SUM(F32:Q32)</f>
        <v>3035722.09</v>
      </c>
    </row>
    <row r="33" spans="1:22 16380:16380" ht="15" thickBot="1">
      <c r="A33" s="73">
        <v>2</v>
      </c>
      <c r="B33" s="74" t="s">
        <v>54</v>
      </c>
      <c r="C33" s="74" t="s">
        <v>56</v>
      </c>
      <c r="D33" s="75">
        <v>262115182</v>
      </c>
      <c r="E33" s="74" t="s">
        <v>23</v>
      </c>
      <c r="F33" s="74">
        <v>3419337.3333333335</v>
      </c>
      <c r="G33" s="74">
        <v>3419337.3333333335</v>
      </c>
      <c r="H33" s="74">
        <v>3419337.3333333335</v>
      </c>
      <c r="I33" s="17">
        <v>3627097.17</v>
      </c>
      <c r="J33" s="74">
        <v>3392741.75</v>
      </c>
      <c r="K33" s="74">
        <v>3123508.91</v>
      </c>
      <c r="L33" s="74"/>
      <c r="M33" s="74"/>
      <c r="N33" s="74"/>
      <c r="O33" s="74"/>
      <c r="P33" s="74"/>
      <c r="Q33" s="74"/>
      <c r="R33" s="74">
        <f>SUM(F33:Q33)</f>
        <v>20401359.830000002</v>
      </c>
    </row>
    <row r="34" spans="1:22 16380:16380" ht="15" thickBot="1">
      <c r="A34" s="76">
        <v>3</v>
      </c>
      <c r="B34" s="77" t="s">
        <v>54</v>
      </c>
      <c r="C34" s="77" t="s">
        <v>57</v>
      </c>
      <c r="D34" s="78" t="s">
        <v>58</v>
      </c>
      <c r="E34" s="77" t="s">
        <v>36</v>
      </c>
      <c r="F34" s="77"/>
      <c r="G34" s="77"/>
      <c r="H34" s="77"/>
      <c r="I34" s="77"/>
      <c r="J34" s="77"/>
      <c r="K34" s="77"/>
      <c r="L34" s="77">
        <v>0</v>
      </c>
      <c r="M34" s="77">
        <v>0</v>
      </c>
      <c r="N34" s="77">
        <v>0</v>
      </c>
      <c r="O34" s="77">
        <v>0</v>
      </c>
      <c r="P34" s="77"/>
      <c r="Q34" s="77">
        <v>0</v>
      </c>
      <c r="R34" s="77">
        <f>SUM(F34:Q34)</f>
        <v>0</v>
      </c>
      <c r="S34" s="59">
        <f>SUM(R32:R34)</f>
        <v>23437081.920000002</v>
      </c>
    </row>
    <row r="35" spans="1:22 16380:16380" ht="15" thickBot="1">
      <c r="A35" s="79"/>
      <c r="B35" s="80"/>
      <c r="C35" s="81"/>
      <c r="D35" s="82"/>
      <c r="E35" s="81"/>
      <c r="F35" s="64">
        <f t="shared" ref="F35:Q35" si="3">SUM(F32:F34)</f>
        <v>5050555.4233333338</v>
      </c>
      <c r="G35" s="64">
        <f t="shared" si="3"/>
        <v>3806623.4833333334</v>
      </c>
      <c r="H35" s="64">
        <f t="shared" si="3"/>
        <v>3782403.3533333335</v>
      </c>
      <c r="I35" s="64">
        <f t="shared" si="3"/>
        <v>3868515.84</v>
      </c>
      <c r="J35" s="64">
        <f t="shared" si="3"/>
        <v>3606645.11</v>
      </c>
      <c r="K35" s="64">
        <f t="shared" si="3"/>
        <v>3322338.71</v>
      </c>
      <c r="L35" s="64">
        <f t="shared" si="3"/>
        <v>0</v>
      </c>
      <c r="M35" s="64">
        <f t="shared" si="3"/>
        <v>0</v>
      </c>
      <c r="N35" s="64">
        <f t="shared" si="3"/>
        <v>0</v>
      </c>
      <c r="O35" s="64">
        <f t="shared" si="3"/>
        <v>0</v>
      </c>
      <c r="P35" s="64">
        <f t="shared" si="3"/>
        <v>0</v>
      </c>
      <c r="Q35" s="64">
        <f t="shared" si="3"/>
        <v>0</v>
      </c>
      <c r="R35" s="59">
        <f>SUM(F35:Q35)</f>
        <v>23437081.920000002</v>
      </c>
      <c r="S35" s="66" t="s">
        <v>19</v>
      </c>
      <c r="T35" s="67">
        <f>R35-S34</f>
        <v>0</v>
      </c>
      <c r="XEZ35" s="81"/>
    </row>
    <row r="36" spans="1:22 16380:16380" ht="15" thickBot="1">
      <c r="A36" s="79"/>
      <c r="B36" s="80"/>
      <c r="C36" s="81"/>
      <c r="D36" s="82"/>
      <c r="E36" s="81"/>
      <c r="F36" s="132"/>
      <c r="G36" s="133">
        <f>SUM(F35:H35)</f>
        <v>12639582.26</v>
      </c>
      <c r="H36" s="128"/>
      <c r="I36" s="132"/>
      <c r="J36" s="132">
        <f>SUM(I35:K35)</f>
        <v>10797499.66</v>
      </c>
      <c r="K36" s="128"/>
      <c r="L36" s="83"/>
      <c r="M36" s="83"/>
      <c r="N36" s="83"/>
      <c r="O36" s="83"/>
      <c r="P36" s="83"/>
      <c r="Q36" s="83"/>
      <c r="R36" s="84"/>
      <c r="S36" s="85"/>
      <c r="T36" s="86"/>
      <c r="V36" s="122"/>
      <c r="XEZ36" s="81"/>
    </row>
    <row r="37" spans="1:22 16380:16380" ht="15" thickBot="1">
      <c r="A37" s="79"/>
      <c r="B37" s="80"/>
      <c r="C37" s="81"/>
      <c r="D37" s="82"/>
      <c r="E37" s="81"/>
      <c r="F37" s="129"/>
      <c r="G37" s="130" t="s">
        <v>113</v>
      </c>
      <c r="H37" s="131"/>
      <c r="I37" s="129"/>
      <c r="J37" s="130" t="s">
        <v>115</v>
      </c>
      <c r="K37" s="131"/>
      <c r="L37" s="83"/>
      <c r="M37" s="83"/>
      <c r="N37" s="83"/>
      <c r="O37" s="83"/>
      <c r="P37" s="83"/>
      <c r="Q37" s="83"/>
      <c r="R37" s="66" t="s">
        <v>114</v>
      </c>
      <c r="S37" s="66">
        <f>S19+S44+S53</f>
        <v>651097743.58136988</v>
      </c>
      <c r="T37" s="9"/>
      <c r="XEZ37" s="81"/>
    </row>
    <row r="38" spans="1:22 16380:16380" ht="15" thickBot="1">
      <c r="A38" s="65" t="s">
        <v>59</v>
      </c>
      <c r="B38" s="10" t="s">
        <v>3</v>
      </c>
      <c r="C38" s="11" t="s">
        <v>4</v>
      </c>
      <c r="D38" s="12" t="s">
        <v>5</v>
      </c>
      <c r="E38" s="11" t="s">
        <v>6</v>
      </c>
      <c r="F38" s="11" t="s">
        <v>7</v>
      </c>
      <c r="G38" s="11" t="s">
        <v>8</v>
      </c>
      <c r="H38" s="11" t="s">
        <v>9</v>
      </c>
      <c r="I38" s="11" t="s">
        <v>10</v>
      </c>
      <c r="J38" s="11" t="s">
        <v>11</v>
      </c>
      <c r="K38" s="11" t="s">
        <v>12</v>
      </c>
      <c r="L38" s="11" t="s">
        <v>13</v>
      </c>
      <c r="M38" s="11" t="s">
        <v>14</v>
      </c>
      <c r="N38" s="11" t="s">
        <v>15</v>
      </c>
      <c r="O38" s="11" t="s">
        <v>16</v>
      </c>
      <c r="P38" s="11" t="s">
        <v>17</v>
      </c>
      <c r="Q38" s="11" t="s">
        <v>18</v>
      </c>
      <c r="R38" s="11" t="s">
        <v>19</v>
      </c>
    </row>
    <row r="39" spans="1:22 16380:16380">
      <c r="A39" s="23">
        <v>1</v>
      </c>
      <c r="B39" s="87" t="s">
        <v>21</v>
      </c>
      <c r="C39" s="24" t="s">
        <v>60</v>
      </c>
      <c r="D39" s="25">
        <v>1005639975</v>
      </c>
      <c r="E39" s="26" t="s">
        <v>27</v>
      </c>
      <c r="F39" s="24">
        <v>2575179.4900000002</v>
      </c>
      <c r="G39" s="24">
        <v>2798067.76</v>
      </c>
      <c r="H39" s="24">
        <v>3508992.61</v>
      </c>
      <c r="I39" s="27">
        <f>4357126.93+102577.4</f>
        <v>4459704.33</v>
      </c>
      <c r="J39" s="27">
        <v>1675173.77</v>
      </c>
      <c r="K39" s="27">
        <v>2387880.3199999998</v>
      </c>
      <c r="L39" s="24"/>
      <c r="M39" s="24"/>
      <c r="N39" s="24"/>
      <c r="O39" s="24"/>
      <c r="P39" s="24"/>
      <c r="Q39" s="24"/>
      <c r="R39" s="24">
        <f t="shared" ref="R39:R44" si="4">SUM(F39:Q39)</f>
        <v>17404998.279999997</v>
      </c>
      <c r="S39" s="21"/>
      <c r="U39" s="122"/>
    </row>
    <row r="40" spans="1:22 16380:16380">
      <c r="A40" s="88">
        <v>2</v>
      </c>
      <c r="B40" s="89" t="s">
        <v>21</v>
      </c>
      <c r="C40" s="89" t="s">
        <v>0</v>
      </c>
      <c r="D40" s="90" t="s">
        <v>61</v>
      </c>
      <c r="E40" s="91" t="s">
        <v>39</v>
      </c>
      <c r="F40" s="92">
        <v>-7338.28</v>
      </c>
      <c r="G40" s="89"/>
      <c r="H40" s="89">
        <v>8045262.5</v>
      </c>
      <c r="I40" s="89"/>
      <c r="J40" s="89"/>
      <c r="K40" s="89">
        <v>8045262.5</v>
      </c>
      <c r="L40" s="89"/>
      <c r="M40" s="89"/>
      <c r="N40" s="89"/>
      <c r="O40" s="89"/>
      <c r="P40" s="89"/>
      <c r="Q40" s="89"/>
      <c r="R40" s="89">
        <f t="shared" si="4"/>
        <v>16083186.719999999</v>
      </c>
    </row>
    <row r="41" spans="1:22 16380:16380">
      <c r="A41" s="88">
        <v>3</v>
      </c>
      <c r="B41" s="89" t="s">
        <v>21</v>
      </c>
      <c r="C41" s="89" t="s">
        <v>0</v>
      </c>
      <c r="D41" s="90" t="s">
        <v>62</v>
      </c>
      <c r="E41" s="91" t="s">
        <v>63</v>
      </c>
      <c r="F41" s="92">
        <v>154745.37</v>
      </c>
      <c r="G41" s="92">
        <v>101863.58</v>
      </c>
      <c r="H41" s="93">
        <v>146492.28</v>
      </c>
      <c r="I41" s="93">
        <v>128463</v>
      </c>
      <c r="J41" s="93">
        <v>122809</v>
      </c>
      <c r="K41" s="93">
        <v>167396.63</v>
      </c>
      <c r="L41" s="89"/>
      <c r="M41" s="89"/>
      <c r="N41" s="89"/>
      <c r="O41" s="89"/>
      <c r="P41" s="89"/>
      <c r="Q41" s="89"/>
      <c r="R41" s="89">
        <f>SUM(F41:Q41)</f>
        <v>821769.86</v>
      </c>
      <c r="U41" s="86"/>
    </row>
    <row r="42" spans="1:22 16380:16380">
      <c r="A42" s="88">
        <v>4</v>
      </c>
      <c r="B42" s="89" t="s">
        <v>21</v>
      </c>
      <c r="C42" s="89" t="s">
        <v>0</v>
      </c>
      <c r="D42" s="90" t="s">
        <v>64</v>
      </c>
      <c r="E42" s="91" t="s">
        <v>65</v>
      </c>
      <c r="F42" s="92">
        <v>117524.62</v>
      </c>
      <c r="G42" s="92">
        <v>133629.24</v>
      </c>
      <c r="H42" s="93">
        <v>119804.06</v>
      </c>
      <c r="I42" s="93">
        <v>125961.06</v>
      </c>
      <c r="J42" s="93">
        <v>65306.38</v>
      </c>
      <c r="K42" s="93">
        <v>66411.649999999994</v>
      </c>
      <c r="L42" s="89"/>
      <c r="M42" s="89"/>
      <c r="N42" s="89"/>
      <c r="O42" s="89"/>
      <c r="P42" s="89"/>
      <c r="Q42" s="89"/>
      <c r="R42" s="89">
        <f>SUM(F42:Q42)</f>
        <v>628637.01</v>
      </c>
    </row>
    <row r="43" spans="1:22 16380:16380" ht="15" thickBot="1">
      <c r="A43" s="88">
        <v>5</v>
      </c>
      <c r="B43" s="89" t="s">
        <v>21</v>
      </c>
      <c r="C43" s="89" t="s">
        <v>0</v>
      </c>
      <c r="D43" s="90">
        <v>20007488228</v>
      </c>
      <c r="E43" s="91" t="s">
        <v>66</v>
      </c>
      <c r="F43" s="94">
        <f>2216.25+G43</f>
        <v>149075.91</v>
      </c>
      <c r="G43" s="92">
        <v>146859.66</v>
      </c>
      <c r="H43" s="93">
        <v>143138.48000000001</v>
      </c>
      <c r="I43" s="93">
        <v>451325.12</v>
      </c>
      <c r="J43" s="93">
        <v>37631</v>
      </c>
      <c r="K43" s="93">
        <v>37631</v>
      </c>
      <c r="L43" s="89"/>
      <c r="M43" s="89"/>
      <c r="N43" s="89"/>
      <c r="O43" s="89"/>
      <c r="P43" s="89"/>
      <c r="Q43" s="89"/>
      <c r="R43" s="89">
        <f t="shared" si="4"/>
        <v>965661.17</v>
      </c>
      <c r="T43" s="86"/>
    </row>
    <row r="44" spans="1:22 16380:16380" ht="15" thickBot="1">
      <c r="A44" s="88">
        <v>6</v>
      </c>
      <c r="B44" s="89" t="s">
        <v>21</v>
      </c>
      <c r="C44" s="89" t="s">
        <v>67</v>
      </c>
      <c r="D44" s="90" t="s">
        <v>68</v>
      </c>
      <c r="E44" s="91" t="s">
        <v>39</v>
      </c>
      <c r="F44" s="89"/>
      <c r="G44" s="89"/>
      <c r="H44" s="89">
        <v>203974.5</v>
      </c>
      <c r="I44" s="93"/>
      <c r="J44" s="93"/>
      <c r="K44" s="93">
        <v>203974.5</v>
      </c>
      <c r="L44" s="89"/>
      <c r="M44" s="89"/>
      <c r="N44" s="89"/>
      <c r="O44" s="89"/>
      <c r="P44" s="89"/>
      <c r="Q44" s="89"/>
      <c r="R44" s="89">
        <f t="shared" si="4"/>
        <v>407949</v>
      </c>
      <c r="S44" s="59">
        <f>SUM(R39:R44)</f>
        <v>36312202.039999999</v>
      </c>
    </row>
    <row r="45" spans="1:22 16380:16380" ht="15" thickBot="1">
      <c r="D45" s="5"/>
      <c r="E45" s="4"/>
      <c r="F45" s="64">
        <f t="shared" ref="F45:Q45" si="5">SUM(F39:F44)</f>
        <v>2989187.1100000008</v>
      </c>
      <c r="G45" s="64">
        <f t="shared" si="5"/>
        <v>3180420.24</v>
      </c>
      <c r="H45" s="64">
        <f t="shared" si="5"/>
        <v>12167664.43</v>
      </c>
      <c r="I45" s="64">
        <f>SUM(I39:I44)</f>
        <v>5165453.51</v>
      </c>
      <c r="J45" s="64">
        <f t="shared" si="5"/>
        <v>1900920.15</v>
      </c>
      <c r="K45" s="64">
        <f t="shared" si="5"/>
        <v>10908556.600000001</v>
      </c>
      <c r="L45" s="64">
        <f t="shared" si="5"/>
        <v>0</v>
      </c>
      <c r="M45" s="64">
        <f t="shared" si="5"/>
        <v>0</v>
      </c>
      <c r="N45" s="64">
        <f t="shared" si="5"/>
        <v>0</v>
      </c>
      <c r="O45" s="64">
        <f t="shared" si="5"/>
        <v>0</v>
      </c>
      <c r="P45" s="64">
        <f t="shared" si="5"/>
        <v>0</v>
      </c>
      <c r="Q45" s="64">
        <f t="shared" si="5"/>
        <v>0</v>
      </c>
      <c r="R45" s="59">
        <f>SUM(F45:Q45)</f>
        <v>36312202.039999999</v>
      </c>
      <c r="S45" s="66" t="s">
        <v>19</v>
      </c>
      <c r="T45" s="67">
        <f>R45-S44</f>
        <v>0</v>
      </c>
    </row>
    <row r="46" spans="1:22 16380:16380" ht="15" thickBot="1">
      <c r="F46" s="132"/>
      <c r="G46" s="133">
        <f>SUM(F45:H45)</f>
        <v>18337271.780000001</v>
      </c>
      <c r="H46" s="127"/>
      <c r="I46" s="132"/>
      <c r="J46" s="132">
        <f>SUM(I45:K45)</f>
        <v>17974930.260000002</v>
      </c>
      <c r="K46" s="128"/>
    </row>
    <row r="47" spans="1:22 16380:16380" ht="15" thickBot="1">
      <c r="F47" s="129"/>
      <c r="G47" s="130" t="s">
        <v>113</v>
      </c>
      <c r="H47" s="131"/>
      <c r="I47" s="129"/>
      <c r="J47" s="130" t="s">
        <v>115</v>
      </c>
      <c r="K47" s="131"/>
      <c r="S47" s="86"/>
      <c r="T47" s="21"/>
    </row>
    <row r="48" spans="1:22 16380:16380" ht="15" thickBot="1">
      <c r="A48" s="65" t="s">
        <v>69</v>
      </c>
      <c r="B48" s="10" t="s">
        <v>3</v>
      </c>
      <c r="C48" s="11" t="s">
        <v>4</v>
      </c>
      <c r="D48" s="12" t="s">
        <v>5</v>
      </c>
      <c r="E48" s="11" t="s">
        <v>6</v>
      </c>
      <c r="F48" s="11" t="s">
        <v>7</v>
      </c>
      <c r="G48" s="11" t="s">
        <v>8</v>
      </c>
      <c r="H48" s="11" t="s">
        <v>9</v>
      </c>
      <c r="I48" s="11" t="s">
        <v>10</v>
      </c>
      <c r="J48" s="11" t="s">
        <v>11</v>
      </c>
      <c r="K48" s="11" t="s">
        <v>12</v>
      </c>
      <c r="L48" s="11" t="s">
        <v>13</v>
      </c>
      <c r="M48" s="11" t="s">
        <v>14</v>
      </c>
      <c r="N48" s="11" t="s">
        <v>15</v>
      </c>
      <c r="O48" s="11" t="s">
        <v>16</v>
      </c>
      <c r="P48" s="11" t="s">
        <v>17</v>
      </c>
      <c r="Q48" s="11" t="s">
        <v>18</v>
      </c>
      <c r="R48" s="11" t="s">
        <v>19</v>
      </c>
      <c r="T48" s="84"/>
    </row>
    <row r="49" spans="1:20">
      <c r="A49" s="95" t="s">
        <v>70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T49" s="84"/>
    </row>
    <row r="50" spans="1:20">
      <c r="A50" s="95"/>
      <c r="B50" s="95"/>
      <c r="C50" s="96" t="s">
        <v>4</v>
      </c>
      <c r="D50" s="97" t="s">
        <v>71</v>
      </c>
      <c r="E50" s="96" t="s">
        <v>6</v>
      </c>
      <c r="F50" s="98">
        <v>45839</v>
      </c>
      <c r="G50" s="98">
        <v>45870</v>
      </c>
      <c r="H50" s="98">
        <v>45901</v>
      </c>
      <c r="I50" s="98">
        <v>45931</v>
      </c>
      <c r="J50" s="98">
        <v>45962</v>
      </c>
      <c r="K50" s="98">
        <v>45992</v>
      </c>
      <c r="L50" s="98">
        <v>46023</v>
      </c>
      <c r="M50" s="98">
        <v>46054</v>
      </c>
      <c r="N50" s="98">
        <v>46082</v>
      </c>
      <c r="O50" s="98">
        <v>46113</v>
      </c>
      <c r="P50" s="98">
        <v>46143</v>
      </c>
      <c r="Q50" s="98">
        <v>46174</v>
      </c>
      <c r="R50" s="96" t="s">
        <v>19</v>
      </c>
    </row>
    <row r="51" spans="1:20">
      <c r="A51" s="23">
        <v>1</v>
      </c>
      <c r="C51" s="89" t="s">
        <v>72</v>
      </c>
      <c r="D51" s="90">
        <v>3180459344</v>
      </c>
      <c r="E51" s="99" t="s">
        <v>73</v>
      </c>
      <c r="F51" s="119">
        <v>575342.4657534248</v>
      </c>
      <c r="G51" s="119">
        <v>575342.4657534248</v>
      </c>
      <c r="H51" s="119">
        <v>575342.4657534248</v>
      </c>
      <c r="I51" s="119">
        <v>575342.4657534248</v>
      </c>
      <c r="J51" s="119">
        <v>575342.4657534248</v>
      </c>
      <c r="K51" s="119">
        <v>575342.4657534248</v>
      </c>
      <c r="L51" s="89"/>
      <c r="M51" s="89"/>
      <c r="N51" s="89"/>
      <c r="O51" s="89"/>
      <c r="P51" s="89"/>
      <c r="Q51" s="89"/>
      <c r="R51" s="89">
        <f>SUM(F51:Q51)</f>
        <v>3452054.794520549</v>
      </c>
    </row>
    <row r="52" spans="1:20" ht="15" thickBot="1">
      <c r="A52" s="88">
        <v>2</v>
      </c>
      <c r="C52" s="89" t="s">
        <v>74</v>
      </c>
      <c r="D52" s="90" t="s">
        <v>75</v>
      </c>
      <c r="E52" s="99" t="s">
        <v>27</v>
      </c>
      <c r="F52" s="89">
        <v>175638.36</v>
      </c>
      <c r="G52" s="89">
        <v>173260.27</v>
      </c>
      <c r="H52" s="89">
        <v>173424.66</v>
      </c>
      <c r="I52" s="89" t="s">
        <v>109</v>
      </c>
      <c r="J52" s="242">
        <v>173424.66</v>
      </c>
      <c r="K52" s="242">
        <v>179205.48</v>
      </c>
      <c r="L52" s="89"/>
      <c r="M52" s="89"/>
      <c r="N52" s="89"/>
      <c r="O52" s="89"/>
      <c r="P52" s="89"/>
      <c r="Q52" s="89"/>
      <c r="R52" s="89">
        <f>SUM(F52:Q52)</f>
        <v>874953.43</v>
      </c>
    </row>
    <row r="53" spans="1:20" ht="15" thickBot="1">
      <c r="A53" s="88">
        <v>3</v>
      </c>
      <c r="C53" s="89" t="s">
        <v>76</v>
      </c>
      <c r="D53" s="100" t="s">
        <v>77</v>
      </c>
      <c r="E53" s="99" t="s">
        <v>78</v>
      </c>
      <c r="F53" s="120">
        <v>780821.91780821921</v>
      </c>
      <c r="G53" s="120">
        <v>780821.91780821921</v>
      </c>
      <c r="H53" s="120">
        <v>780821.91780821921</v>
      </c>
      <c r="I53" s="120">
        <v>780821.91780821921</v>
      </c>
      <c r="J53" s="120">
        <v>780821.91780821921</v>
      </c>
      <c r="K53" s="120">
        <v>780821.91780821921</v>
      </c>
      <c r="L53" s="89"/>
      <c r="M53" s="89"/>
      <c r="N53" s="89"/>
      <c r="O53" s="89"/>
      <c r="P53" s="89"/>
      <c r="Q53" s="89"/>
      <c r="R53" s="121">
        <f>SUM(F53:Q53)</f>
        <v>4684931.506849315</v>
      </c>
      <c r="S53" s="59">
        <f>SUM(R51:R53)</f>
        <v>9011939.7313698642</v>
      </c>
    </row>
    <row r="54" spans="1:20" ht="15" thickBot="1">
      <c r="D54" s="101"/>
      <c r="E54" s="4"/>
      <c r="F54" s="126">
        <f t="shared" ref="F54:Q54" si="6">SUM(F51:F53)</f>
        <v>1531802.7435616441</v>
      </c>
      <c r="G54" s="126">
        <f t="shared" si="6"/>
        <v>1529424.653561644</v>
      </c>
      <c r="H54" s="126">
        <f t="shared" si="6"/>
        <v>1529589.0435616439</v>
      </c>
      <c r="I54" s="102">
        <f t="shared" si="6"/>
        <v>1356164.383561644</v>
      </c>
      <c r="J54" s="102">
        <f t="shared" si="6"/>
        <v>1529589.0435616439</v>
      </c>
      <c r="K54" s="102">
        <f t="shared" si="6"/>
        <v>1535369.863561644</v>
      </c>
      <c r="L54" s="102">
        <f t="shared" si="6"/>
        <v>0</v>
      </c>
      <c r="M54" s="102">
        <f t="shared" si="6"/>
        <v>0</v>
      </c>
      <c r="N54" s="102">
        <f t="shared" si="6"/>
        <v>0</v>
      </c>
      <c r="O54" s="102">
        <f t="shared" si="6"/>
        <v>0</v>
      </c>
      <c r="P54" s="102">
        <f t="shared" si="6"/>
        <v>0</v>
      </c>
      <c r="Q54" s="102">
        <f t="shared" si="6"/>
        <v>0</v>
      </c>
      <c r="R54" s="66">
        <f>SUM(F54:Q54)</f>
        <v>9011939.7313698642</v>
      </c>
      <c r="S54" s="66" t="s">
        <v>19</v>
      </c>
      <c r="T54" s="67">
        <f>R54-S53</f>
        <v>0</v>
      </c>
    </row>
    <row r="55" spans="1:20" ht="15.6" thickTop="1" thickBot="1">
      <c r="F55" s="132"/>
      <c r="G55" s="133">
        <f>SUM(F54:H54)</f>
        <v>4590816.4406849323</v>
      </c>
      <c r="H55" s="127"/>
      <c r="I55" s="132"/>
      <c r="J55" s="132">
        <f>SUM(I54:K54)</f>
        <v>4421123.2906849319</v>
      </c>
      <c r="K55" s="128"/>
    </row>
    <row r="56" spans="1:20" ht="15" thickBot="1">
      <c r="F56" s="129"/>
      <c r="G56" s="130" t="s">
        <v>113</v>
      </c>
      <c r="H56" s="131"/>
      <c r="I56" s="129"/>
      <c r="J56" s="130" t="s">
        <v>115</v>
      </c>
      <c r="K56" s="131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0E82-03D9-4762-9C53-A8D36484ADA2}">
  <dimension ref="A1:Q38"/>
  <sheetViews>
    <sheetView topLeftCell="A15" zoomScale="60" workbookViewId="0">
      <selection activeCell="F49" sqref="F49"/>
    </sheetView>
  </sheetViews>
  <sheetFormatPr defaultRowHeight="14.4"/>
  <cols>
    <col min="1" max="1" width="10.33203125" bestFit="1" customWidth="1"/>
    <col min="2" max="2" width="54.21875" bestFit="1" customWidth="1"/>
    <col min="3" max="3" width="21.5546875" bestFit="1" customWidth="1"/>
    <col min="4" max="4" width="21.44140625" bestFit="1" customWidth="1"/>
    <col min="5" max="5" width="23.6640625" bestFit="1" customWidth="1"/>
    <col min="6" max="6" width="21.109375" bestFit="1" customWidth="1"/>
    <col min="7" max="7" width="11.5546875" bestFit="1" customWidth="1"/>
    <col min="8" max="9" width="25.109375" bestFit="1" customWidth="1"/>
    <col min="10" max="10" width="36.5546875" bestFit="1" customWidth="1"/>
    <col min="11" max="11" width="54" bestFit="1" customWidth="1"/>
    <col min="12" max="12" width="54" customWidth="1"/>
    <col min="13" max="13" width="34.77734375" bestFit="1" customWidth="1"/>
    <col min="14" max="14" width="25.44140625" bestFit="1" customWidth="1"/>
    <col min="15" max="15" width="38.6640625" bestFit="1" customWidth="1"/>
    <col min="16" max="16" width="40.44140625" bestFit="1" customWidth="1"/>
    <col min="17" max="17" width="56.5546875" bestFit="1" customWidth="1"/>
    <col min="18" max="18" width="40.44140625" bestFit="1" customWidth="1"/>
    <col min="19" max="19" width="46" bestFit="1" customWidth="1"/>
    <col min="20" max="20" width="52.88671875" bestFit="1" customWidth="1"/>
    <col min="21" max="21" width="44.33203125" bestFit="1" customWidth="1"/>
    <col min="22" max="22" width="46" bestFit="1" customWidth="1"/>
    <col min="23" max="23" width="41" bestFit="1" customWidth="1"/>
    <col min="24" max="24" width="40.109375" bestFit="1" customWidth="1"/>
    <col min="25" max="25" width="36.21875" bestFit="1" customWidth="1"/>
    <col min="26" max="26" width="38.44140625" bestFit="1" customWidth="1"/>
  </cols>
  <sheetData>
    <row r="1" spans="1:16" ht="21">
      <c r="A1" s="472" t="s">
        <v>90</v>
      </c>
      <c r="B1" s="472" t="s">
        <v>4</v>
      </c>
      <c r="C1" s="472" t="s">
        <v>95</v>
      </c>
      <c r="D1" s="472" t="s">
        <v>96</v>
      </c>
      <c r="E1" s="472" t="s">
        <v>97</v>
      </c>
      <c r="F1" s="472" t="s">
        <v>98</v>
      </c>
      <c r="G1" s="472" t="s">
        <v>156</v>
      </c>
      <c r="H1" s="472" t="s">
        <v>100</v>
      </c>
      <c r="I1" s="472" t="s">
        <v>101</v>
      </c>
      <c r="J1" s="472" t="s">
        <v>177</v>
      </c>
      <c r="K1" s="472" t="s">
        <v>176</v>
      </c>
      <c r="L1" s="472" t="s">
        <v>160</v>
      </c>
    </row>
    <row r="2" spans="1:16" ht="21">
      <c r="A2" s="482" t="s">
        <v>23</v>
      </c>
      <c r="B2" s="482" t="s">
        <v>45</v>
      </c>
      <c r="C2" s="473">
        <v>46086</v>
      </c>
      <c r="D2" s="473">
        <v>46268</v>
      </c>
      <c r="E2" s="483">
        <v>0.1065</v>
      </c>
      <c r="F2" s="482" t="s">
        <v>81</v>
      </c>
      <c r="G2" s="482">
        <v>182</v>
      </c>
      <c r="H2" s="482">
        <v>499950711</v>
      </c>
      <c r="I2" s="482">
        <v>526500000</v>
      </c>
      <c r="K2" s="482">
        <f>I2-H2</f>
        <v>26549289</v>
      </c>
      <c r="L2" s="482">
        <v>17213371.466128767</v>
      </c>
      <c r="M2" s="86"/>
    </row>
    <row r="3" spans="1:16" ht="21">
      <c r="A3" s="482" t="s">
        <v>23</v>
      </c>
      <c r="B3" s="482" t="s">
        <v>45</v>
      </c>
      <c r="C3" s="473">
        <v>46086</v>
      </c>
      <c r="D3" s="473">
        <v>46450</v>
      </c>
      <c r="E3" s="483">
        <v>0.10920000000000001</v>
      </c>
      <c r="F3" s="482" t="s">
        <v>81</v>
      </c>
      <c r="G3" s="482">
        <v>364</v>
      </c>
      <c r="H3" s="482">
        <v>499954594</v>
      </c>
      <c r="I3" s="482">
        <v>554400000</v>
      </c>
      <c r="K3" s="482">
        <f>I3-H3</f>
        <v>54445406</v>
      </c>
      <c r="L3" s="482">
        <v>17649903.88067507</v>
      </c>
      <c r="M3" s="86"/>
    </row>
    <row r="4" spans="1:16" ht="21">
      <c r="A4" s="573" t="s">
        <v>23</v>
      </c>
      <c r="B4" s="573" t="s">
        <v>45</v>
      </c>
      <c r="C4" s="574">
        <v>46147</v>
      </c>
      <c r="D4" s="574">
        <v>46226</v>
      </c>
      <c r="E4" s="575">
        <v>0.11650000000000001</v>
      </c>
      <c r="F4" s="573" t="s">
        <v>81</v>
      </c>
      <c r="G4" s="573">
        <f>D4-C4</f>
        <v>79</v>
      </c>
      <c r="H4" s="573">
        <v>975405000</v>
      </c>
      <c r="I4" s="573">
        <v>1000000000</v>
      </c>
      <c r="J4" s="573">
        <f>K4-L4</f>
        <v>6849309.8561643846</v>
      </c>
      <c r="K4" s="573">
        <f>I4-H4</f>
        <v>24595000</v>
      </c>
      <c r="L4" s="573">
        <v>17745690.143835615</v>
      </c>
      <c r="M4" s="86"/>
    </row>
    <row r="5" spans="1:16" ht="21">
      <c r="A5" s="573" t="s">
        <v>23</v>
      </c>
      <c r="B5" s="573" t="s">
        <v>45</v>
      </c>
      <c r="C5" s="574">
        <v>46156</v>
      </c>
      <c r="D5" s="574">
        <v>46240</v>
      </c>
      <c r="E5" s="575">
        <v>0.12008099999999999</v>
      </c>
      <c r="F5" s="573" t="s">
        <v>81</v>
      </c>
      <c r="G5" s="573">
        <f t="shared" ref="G5:G8" si="0">D5-C5</f>
        <v>84</v>
      </c>
      <c r="H5" s="573">
        <v>486554000</v>
      </c>
      <c r="I5" s="573">
        <v>500000000</v>
      </c>
      <c r="J5" s="573">
        <f>K5-L5</f>
        <v>5762595.1727342475</v>
      </c>
      <c r="K5" s="573">
        <f>I5-H5</f>
        <v>13446000</v>
      </c>
      <c r="L5" s="573">
        <v>7683404.8272657525</v>
      </c>
      <c r="M5" s="579"/>
    </row>
    <row r="6" spans="1:16" ht="21">
      <c r="A6" s="573" t="s">
        <v>23</v>
      </c>
      <c r="B6" s="573" t="s">
        <v>45</v>
      </c>
      <c r="C6" s="574">
        <v>46240</v>
      </c>
      <c r="D6" s="574">
        <v>46268</v>
      </c>
      <c r="E6" s="575">
        <v>0.112496</v>
      </c>
      <c r="F6" s="573" t="s">
        <v>81</v>
      </c>
      <c r="G6" s="573">
        <f t="shared" si="0"/>
        <v>28</v>
      </c>
      <c r="H6" s="573">
        <v>495722000</v>
      </c>
      <c r="I6" s="573">
        <v>500000000</v>
      </c>
      <c r="J6" s="573">
        <f t="shared" ref="J6:J8" si="1">I6-H6</f>
        <v>4278000</v>
      </c>
      <c r="K6" s="573"/>
      <c r="L6" s="573"/>
      <c r="M6" s="86"/>
      <c r="O6" s="21"/>
      <c r="P6" s="21"/>
    </row>
    <row r="7" spans="1:16" ht="21">
      <c r="A7" s="573" t="s">
        <v>23</v>
      </c>
      <c r="B7" s="573" t="s">
        <v>45</v>
      </c>
      <c r="C7" s="574">
        <v>46240</v>
      </c>
      <c r="D7" s="574">
        <v>46324</v>
      </c>
      <c r="E7" s="575">
        <v>0.114403</v>
      </c>
      <c r="F7" s="573" t="s">
        <v>81</v>
      </c>
      <c r="G7" s="573">
        <f t="shared" si="0"/>
        <v>84</v>
      </c>
      <c r="H7" s="573">
        <v>487173500</v>
      </c>
      <c r="I7" s="573">
        <v>500000000</v>
      </c>
      <c r="J7" s="573">
        <f t="shared" si="1"/>
        <v>12826500</v>
      </c>
      <c r="K7" s="573"/>
      <c r="L7" s="573"/>
      <c r="M7" s="86"/>
    </row>
    <row r="8" spans="1:16" ht="21">
      <c r="A8" s="573" t="s">
        <v>23</v>
      </c>
      <c r="B8" s="573" t="s">
        <v>45</v>
      </c>
      <c r="C8" s="574">
        <v>46240</v>
      </c>
      <c r="D8" s="574">
        <v>46422</v>
      </c>
      <c r="E8" s="575">
        <v>0.11437799999999999</v>
      </c>
      <c r="F8" s="573" t="s">
        <v>81</v>
      </c>
      <c r="G8" s="573">
        <f t="shared" si="0"/>
        <v>182</v>
      </c>
      <c r="H8" s="573">
        <v>473022500</v>
      </c>
      <c r="I8" s="573">
        <v>500000000</v>
      </c>
      <c r="J8" s="573">
        <f t="shared" si="1"/>
        <v>26977500</v>
      </c>
      <c r="K8" s="573"/>
      <c r="L8" s="573"/>
      <c r="M8" s="86"/>
    </row>
    <row r="9" spans="1:16" ht="21">
      <c r="A9" s="580"/>
      <c r="B9" s="580"/>
      <c r="C9" s="581"/>
      <c r="D9" s="581"/>
      <c r="E9" s="582"/>
      <c r="F9" s="580"/>
      <c r="G9" s="580"/>
      <c r="H9" s="580"/>
      <c r="I9" s="580"/>
      <c r="J9" s="580"/>
      <c r="K9" s="580"/>
      <c r="L9" s="580"/>
      <c r="M9" s="580"/>
      <c r="N9" s="86"/>
    </row>
    <row r="10" spans="1:16" ht="21">
      <c r="A10" s="580"/>
      <c r="B10" s="580"/>
      <c r="C10" s="581"/>
      <c r="D10" s="581"/>
      <c r="E10" s="582"/>
      <c r="F10" s="580"/>
      <c r="G10" s="580"/>
      <c r="H10" s="580"/>
      <c r="I10" s="580"/>
      <c r="J10" s="580"/>
      <c r="K10" s="580"/>
      <c r="L10" s="580"/>
      <c r="M10" s="580"/>
      <c r="N10" s="86"/>
    </row>
    <row r="11" spans="1:16" ht="21">
      <c r="A11" s="580"/>
      <c r="B11" s="580"/>
      <c r="C11" s="581"/>
      <c r="D11" s="581"/>
      <c r="E11" s="582"/>
      <c r="F11" s="580"/>
      <c r="G11" s="580"/>
      <c r="H11" s="580"/>
      <c r="I11" s="580"/>
      <c r="J11" s="580"/>
      <c r="K11" s="580"/>
      <c r="L11" s="580"/>
      <c r="M11" s="580"/>
      <c r="N11" s="86"/>
    </row>
    <row r="12" spans="1:16" ht="21">
      <c r="A12" s="580"/>
      <c r="B12" s="580"/>
      <c r="C12" s="581"/>
      <c r="D12" s="581"/>
      <c r="E12" s="582"/>
      <c r="F12" s="580"/>
      <c r="G12" s="580"/>
      <c r="H12" s="580"/>
      <c r="I12" s="580"/>
      <c r="J12" s="580"/>
      <c r="K12" s="580"/>
      <c r="L12" s="580"/>
      <c r="M12" s="580"/>
      <c r="N12" s="86"/>
    </row>
    <row r="13" spans="1:16" ht="21">
      <c r="A13" s="576"/>
      <c r="B13" s="576"/>
      <c r="C13" s="577"/>
      <c r="D13" s="577"/>
      <c r="E13" s="578"/>
      <c r="F13" s="576"/>
      <c r="G13" s="576"/>
      <c r="H13" s="576"/>
      <c r="I13" s="576"/>
      <c r="J13" s="576"/>
      <c r="K13" s="576"/>
      <c r="L13" s="580"/>
      <c r="M13" s="576"/>
      <c r="N13" s="86"/>
    </row>
    <row r="14" spans="1:16" ht="21.6" thickBot="1">
      <c r="A14" s="490"/>
      <c r="B14" s="490"/>
      <c r="C14" s="489"/>
      <c r="D14" s="489"/>
      <c r="E14" s="488"/>
      <c r="F14" s="490"/>
      <c r="G14" s="490"/>
      <c r="H14" s="490"/>
      <c r="I14" s="490"/>
      <c r="J14" s="490"/>
      <c r="K14" s="490"/>
      <c r="L14" s="580"/>
    </row>
    <row r="15" spans="1:16" ht="21.6" thickBot="1">
      <c r="A15" s="474"/>
      <c r="B15" s="474"/>
      <c r="C15" s="474"/>
      <c r="D15" s="474"/>
      <c r="E15" s="474"/>
      <c r="F15" s="509"/>
      <c r="G15" s="474"/>
      <c r="H15" s="435"/>
      <c r="I15" s="474"/>
      <c r="J15" s="480" t="s">
        <v>171</v>
      </c>
      <c r="K15" s="481">
        <f>SUM(J4:J12)</f>
        <v>56693905.028898634</v>
      </c>
      <c r="L15" s="580"/>
    </row>
    <row r="16" spans="1:16" ht="21.6" thickBot="1">
      <c r="A16" s="474"/>
      <c r="B16" s="474"/>
      <c r="C16" s="474"/>
      <c r="D16" s="496"/>
      <c r="E16" s="474"/>
      <c r="F16" s="474"/>
      <c r="G16" s="474"/>
      <c r="H16" s="435"/>
      <c r="I16" s="495"/>
      <c r="J16" s="475" t="s">
        <v>159</v>
      </c>
      <c r="K16" s="476"/>
      <c r="L16" s="580"/>
    </row>
    <row r="17" spans="1:17" ht="21.6" thickBot="1">
      <c r="A17" s="474"/>
      <c r="B17" s="474"/>
      <c r="C17" s="474"/>
      <c r="D17" s="474"/>
      <c r="E17" s="495"/>
      <c r="F17" s="435"/>
      <c r="G17" s="474"/>
      <c r="H17" s="435"/>
      <c r="I17" s="474"/>
      <c r="J17" s="475" t="s">
        <v>158</v>
      </c>
      <c r="K17" s="476">
        <f>SUM(K15:K16)</f>
        <v>56693905.028898634</v>
      </c>
      <c r="L17" s="580"/>
    </row>
    <row r="18" spans="1:17" ht="21.6" thickBot="1">
      <c r="A18" s="474"/>
      <c r="B18" s="474"/>
      <c r="C18" s="474"/>
      <c r="D18" s="474"/>
      <c r="E18" s="495"/>
      <c r="F18" s="494"/>
      <c r="G18" s="474"/>
      <c r="H18" s="435"/>
      <c r="I18" s="474"/>
      <c r="J18" s="477" t="s">
        <v>103</v>
      </c>
      <c r="K18" s="478">
        <f>K19+K17</f>
        <v>56693905.028898634</v>
      </c>
      <c r="L18" s="580"/>
    </row>
    <row r="19" spans="1:17" ht="21.6" thickBot="1">
      <c r="A19" s="474"/>
      <c r="B19" s="474"/>
      <c r="C19" s="474"/>
      <c r="D19" s="474"/>
      <c r="E19" s="495"/>
      <c r="F19" s="474"/>
      <c r="G19" s="474"/>
      <c r="H19" s="435"/>
      <c r="I19" s="474"/>
      <c r="J19" s="479" t="s">
        <v>170</v>
      </c>
      <c r="K19" s="476"/>
      <c r="L19" s="580"/>
    </row>
    <row r="20" spans="1:17" ht="21.6" thickBot="1">
      <c r="J20" s="631" t="s">
        <v>157</v>
      </c>
      <c r="K20" s="632"/>
      <c r="L20" s="580"/>
    </row>
    <row r="21" spans="1:17" ht="21">
      <c r="L21" s="580"/>
    </row>
    <row r="26" spans="1:17">
      <c r="E26" s="633" t="s">
        <v>173</v>
      </c>
      <c r="F26" s="633"/>
      <c r="G26" s="633"/>
      <c r="H26" s="633"/>
      <c r="I26" s="633"/>
    </row>
    <row r="27" spans="1:17">
      <c r="E27" s="633"/>
      <c r="F27" s="633"/>
      <c r="G27" s="633"/>
      <c r="H27" s="633"/>
      <c r="I27" s="633"/>
    </row>
    <row r="28" spans="1:17" ht="21">
      <c r="A28" s="472" t="s">
        <v>90</v>
      </c>
      <c r="B28" s="472" t="s">
        <v>4</v>
      </c>
      <c r="C28" s="472" t="s">
        <v>95</v>
      </c>
      <c r="D28" s="472" t="s">
        <v>96</v>
      </c>
      <c r="E28" s="472" t="s">
        <v>97</v>
      </c>
      <c r="F28" s="472" t="s">
        <v>98</v>
      </c>
      <c r="G28" s="472" t="s">
        <v>156</v>
      </c>
      <c r="H28" s="472" t="s">
        <v>100</v>
      </c>
      <c r="I28" s="472" t="s">
        <v>101</v>
      </c>
      <c r="J28" s="472" t="s">
        <v>177</v>
      </c>
      <c r="K28" s="472" t="s">
        <v>176</v>
      </c>
      <c r="L28" s="472" t="s">
        <v>160</v>
      </c>
      <c r="M28" s="472" t="s">
        <v>174</v>
      </c>
      <c r="N28" s="472" t="s">
        <v>175</v>
      </c>
      <c r="O28" s="472" t="s">
        <v>9</v>
      </c>
      <c r="P28" s="472" t="s">
        <v>10</v>
      </c>
      <c r="Q28" s="472" t="s">
        <v>178</v>
      </c>
    </row>
    <row r="29" spans="1:17" ht="21">
      <c r="A29" s="482" t="s">
        <v>23</v>
      </c>
      <c r="B29" s="482" t="s">
        <v>45</v>
      </c>
      <c r="C29" s="473">
        <v>46086</v>
      </c>
      <c r="D29" s="473">
        <v>46268</v>
      </c>
      <c r="E29" s="483">
        <v>0.1065</v>
      </c>
      <c r="F29" s="482" t="s">
        <v>81</v>
      </c>
      <c r="G29" s="482">
        <v>182</v>
      </c>
      <c r="H29" s="482">
        <v>499950711</v>
      </c>
      <c r="I29" s="482">
        <v>526500000</v>
      </c>
      <c r="J29" s="573"/>
      <c r="K29" s="482">
        <f>I29-H29</f>
        <v>26549289</v>
      </c>
      <c r="L29" s="482">
        <v>17213371.466128767</v>
      </c>
      <c r="Q29" s="608"/>
    </row>
    <row r="30" spans="1:17" ht="21">
      <c r="A30" s="482" t="s">
        <v>23</v>
      </c>
      <c r="B30" s="482" t="s">
        <v>45</v>
      </c>
      <c r="C30" s="473">
        <v>46086</v>
      </c>
      <c r="D30" s="473">
        <v>46450</v>
      </c>
      <c r="E30" s="483">
        <v>0.10920000000000001</v>
      </c>
      <c r="F30" s="482" t="s">
        <v>81</v>
      </c>
      <c r="G30" s="482">
        <v>364</v>
      </c>
      <c r="H30" s="482">
        <v>499954594</v>
      </c>
      <c r="I30" s="482">
        <v>554400000</v>
      </c>
      <c r="J30" s="573"/>
      <c r="K30" s="482">
        <f>I30-H30</f>
        <v>54445406</v>
      </c>
      <c r="L30" s="482">
        <v>17649903.88067507</v>
      </c>
      <c r="Q30" s="608"/>
    </row>
    <row r="31" spans="1:17" ht="21">
      <c r="A31" s="573" t="s">
        <v>23</v>
      </c>
      <c r="B31" s="573" t="s">
        <v>45</v>
      </c>
      <c r="C31" s="574">
        <v>46147</v>
      </c>
      <c r="D31" s="574">
        <v>46226</v>
      </c>
      <c r="E31" s="575">
        <v>0.11650000000000001</v>
      </c>
      <c r="F31" s="573" t="s">
        <v>81</v>
      </c>
      <c r="G31" s="573">
        <f>D31-C31</f>
        <v>79</v>
      </c>
      <c r="H31" s="573">
        <v>975405000</v>
      </c>
      <c r="I31" s="573">
        <v>1000000000</v>
      </c>
      <c r="J31" s="573">
        <f>K31-L31</f>
        <v>6849309.8561643846</v>
      </c>
      <c r="K31" s="573">
        <f>I31-H31</f>
        <v>24595000</v>
      </c>
      <c r="L31" s="573">
        <v>17745690.143835615</v>
      </c>
      <c r="Q31" s="608"/>
    </row>
    <row r="32" spans="1:17" ht="21">
      <c r="A32" s="573" t="s">
        <v>23</v>
      </c>
      <c r="B32" s="573" t="s">
        <v>45</v>
      </c>
      <c r="C32" s="574">
        <v>46156</v>
      </c>
      <c r="D32" s="574">
        <v>46240</v>
      </c>
      <c r="E32" s="575">
        <v>0.12008099999999999</v>
      </c>
      <c r="F32" s="573" t="s">
        <v>81</v>
      </c>
      <c r="G32" s="573">
        <f t="shared" ref="G32:G36" si="2">D32-C32</f>
        <v>84</v>
      </c>
      <c r="H32" s="573">
        <v>486554000</v>
      </c>
      <c r="I32" s="573">
        <v>500000000</v>
      </c>
      <c r="J32" s="573">
        <f>K32-L32</f>
        <v>5762595.1727342475</v>
      </c>
      <c r="K32" s="573">
        <f>I32-H32</f>
        <v>13446000</v>
      </c>
      <c r="L32" s="573">
        <v>7683404.8272657525</v>
      </c>
      <c r="Q32" s="608"/>
    </row>
    <row r="33" spans="1:17" ht="21">
      <c r="A33" s="573"/>
      <c r="B33" s="573"/>
      <c r="C33" s="574"/>
      <c r="D33" s="574"/>
      <c r="E33" s="575"/>
      <c r="F33" s="573"/>
      <c r="G33" s="573"/>
      <c r="H33" s="573"/>
      <c r="I33" s="573"/>
      <c r="J33" s="573"/>
      <c r="K33" s="573"/>
      <c r="L33" s="573"/>
      <c r="Q33" s="608"/>
    </row>
    <row r="34" spans="1:17" ht="21">
      <c r="A34" s="573" t="s">
        <v>23</v>
      </c>
      <c r="B34" s="573" t="s">
        <v>45</v>
      </c>
      <c r="C34" s="574">
        <v>46240</v>
      </c>
      <c r="D34" s="574">
        <v>46268</v>
      </c>
      <c r="E34" s="575">
        <v>0.112496</v>
      </c>
      <c r="F34" s="573" t="s">
        <v>81</v>
      </c>
      <c r="G34" s="573">
        <f t="shared" si="2"/>
        <v>28</v>
      </c>
      <c r="H34" s="573">
        <v>495722000</v>
      </c>
      <c r="I34" s="573">
        <v>500000000</v>
      </c>
      <c r="J34" s="573">
        <f t="shared" ref="J34:J36" si="3">I34-H34</f>
        <v>4278000</v>
      </c>
      <c r="K34" s="573"/>
      <c r="M34" s="573"/>
      <c r="N34" s="573">
        <f>J34*26/28</f>
        <v>3972428.5714285714</v>
      </c>
      <c r="O34" s="573">
        <f>J34*2/28</f>
        <v>305571.42857142858</v>
      </c>
      <c r="Q34" s="609">
        <f>SUM(M34:P34)-J34</f>
        <v>0</v>
      </c>
    </row>
    <row r="35" spans="1:17" ht="21">
      <c r="A35" s="573" t="s">
        <v>23</v>
      </c>
      <c r="B35" s="573" t="s">
        <v>45</v>
      </c>
      <c r="C35" s="574">
        <v>46240</v>
      </c>
      <c r="D35" s="574">
        <v>46324</v>
      </c>
      <c r="E35" s="575">
        <v>0.114403</v>
      </c>
      <c r="F35" s="573" t="s">
        <v>81</v>
      </c>
      <c r="G35" s="573">
        <f t="shared" si="2"/>
        <v>84</v>
      </c>
      <c r="H35" s="573">
        <v>487173500</v>
      </c>
      <c r="I35" s="573">
        <v>500000000</v>
      </c>
      <c r="J35" s="573">
        <f t="shared" si="3"/>
        <v>12826500</v>
      </c>
      <c r="K35" s="573"/>
      <c r="L35" s="573"/>
      <c r="M35" s="573"/>
      <c r="N35" s="573">
        <f>J35*26/84</f>
        <v>3970107.1428571427</v>
      </c>
      <c r="O35" s="573">
        <f>J35*30/84</f>
        <v>4580892.8571428573</v>
      </c>
      <c r="P35" s="607">
        <f>J35*28/84</f>
        <v>4275500</v>
      </c>
      <c r="Q35" s="609">
        <f t="shared" ref="Q35:Q36" si="4">SUM(M35:P35)-J35</f>
        <v>0</v>
      </c>
    </row>
    <row r="36" spans="1:17" ht="21">
      <c r="A36" s="573" t="s">
        <v>23</v>
      </c>
      <c r="B36" s="573" t="s">
        <v>45</v>
      </c>
      <c r="C36" s="574">
        <v>46240</v>
      </c>
      <c r="D36" s="574">
        <v>46422</v>
      </c>
      <c r="E36" s="575">
        <v>0.11437799999999999</v>
      </c>
      <c r="F36" s="573" t="s">
        <v>81</v>
      </c>
      <c r="G36" s="573">
        <f t="shared" si="2"/>
        <v>182</v>
      </c>
      <c r="H36" s="573">
        <v>473022500</v>
      </c>
      <c r="I36" s="573">
        <v>500000000</v>
      </c>
      <c r="J36" s="573">
        <f t="shared" si="3"/>
        <v>26977500</v>
      </c>
      <c r="K36" s="573"/>
      <c r="L36" s="573"/>
      <c r="M36" s="573">
        <f>J36*26/30</f>
        <v>23380500</v>
      </c>
      <c r="N36" s="573">
        <f>J36*31/182</f>
        <v>4595068.6813186817</v>
      </c>
      <c r="Q36" s="609">
        <f t="shared" si="4"/>
        <v>998068.68131868169</v>
      </c>
    </row>
    <row r="38" spans="1:17" ht="23.4">
      <c r="M38" s="605">
        <f>SUM(M29:M36)</f>
        <v>23380500</v>
      </c>
      <c r="N38" s="605">
        <f>SUM(N29:N36)</f>
        <v>12537604.395604396</v>
      </c>
      <c r="O38" s="605">
        <f>SUM(O29:O36)</f>
        <v>4886464.2857142854</v>
      </c>
    </row>
  </sheetData>
  <mergeCells count="2">
    <mergeCell ref="J20:K20"/>
    <mergeCell ref="E26:I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066F-248E-40DF-A7F6-B363F46980B1}">
  <dimension ref="A1:L4"/>
  <sheetViews>
    <sheetView workbookViewId="0">
      <selection activeCell="E22" sqref="E22"/>
    </sheetView>
  </sheetViews>
  <sheetFormatPr defaultRowHeight="14.4"/>
  <cols>
    <col min="1" max="1" width="15" bestFit="1" customWidth="1"/>
    <col min="2" max="2" width="20.88671875" bestFit="1" customWidth="1"/>
    <col min="3" max="3" width="15" bestFit="1" customWidth="1"/>
    <col min="4" max="4" width="7.77734375" bestFit="1" customWidth="1"/>
    <col min="5" max="5" width="9.88671875" bestFit="1" customWidth="1"/>
    <col min="6" max="6" width="9.5546875" bestFit="1" customWidth="1"/>
    <col min="7" max="7" width="7.5546875" bestFit="1" customWidth="1"/>
    <col min="8" max="8" width="8.44140625" bestFit="1" customWidth="1"/>
    <col min="9" max="9" width="6.44140625" bestFit="1" customWidth="1"/>
    <col min="10" max="10" width="4.88671875" bestFit="1" customWidth="1"/>
    <col min="11" max="11" width="4.77734375" bestFit="1" customWidth="1"/>
    <col min="12" max="12" width="4.88671875" bestFit="1" customWidth="1"/>
  </cols>
  <sheetData>
    <row r="1" spans="1:12">
      <c r="A1" s="639" t="s">
        <v>179</v>
      </c>
    </row>
    <row r="2" spans="1:12">
      <c r="A2" s="124" t="s">
        <v>180</v>
      </c>
      <c r="B2" s="124" t="s">
        <v>175</v>
      </c>
      <c r="C2" s="124" t="s">
        <v>181</v>
      </c>
      <c r="D2" s="124" t="s">
        <v>10</v>
      </c>
      <c r="E2" s="124" t="s">
        <v>11</v>
      </c>
      <c r="F2" s="124" t="s">
        <v>12</v>
      </c>
      <c r="G2" s="124" t="s">
        <v>182</v>
      </c>
      <c r="H2" s="124" t="s">
        <v>183</v>
      </c>
      <c r="I2" s="124" t="s">
        <v>15</v>
      </c>
      <c r="J2" s="124" t="s">
        <v>16</v>
      </c>
      <c r="K2" s="124" t="s">
        <v>17</v>
      </c>
      <c r="L2" s="124" t="s">
        <v>18</v>
      </c>
    </row>
    <row r="4" spans="1:12" ht="43.2">
      <c r="A4" s="613" t="s">
        <v>184</v>
      </c>
      <c r="B4" s="613" t="s">
        <v>185</v>
      </c>
      <c r="C4" s="613" t="s">
        <v>201</v>
      </c>
    </row>
  </sheetData>
  <phoneticPr fontId="5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9BA-39D2-4A1D-AFBE-577FED694803}">
  <dimension ref="A1:N14"/>
  <sheetViews>
    <sheetView workbookViewId="0">
      <selection activeCell="E18" sqref="E18"/>
    </sheetView>
  </sheetViews>
  <sheetFormatPr defaultRowHeight="14.4"/>
  <cols>
    <col min="1" max="1" width="21.6640625" bestFit="1" customWidth="1"/>
    <col min="2" max="2" width="24.88671875" bestFit="1" customWidth="1"/>
    <col min="3" max="3" width="18.109375" bestFit="1" customWidth="1"/>
    <col min="4" max="4" width="20.44140625" bestFit="1" customWidth="1"/>
    <col min="5" max="5" width="18.109375" bestFit="1" customWidth="1"/>
    <col min="6" max="6" width="9.88671875" bestFit="1" customWidth="1"/>
    <col min="7" max="7" width="12" bestFit="1" customWidth="1"/>
    <col min="8" max="8" width="11.77734375" bestFit="1" customWidth="1"/>
    <col min="9" max="9" width="9.5546875" bestFit="1" customWidth="1"/>
    <col min="10" max="10" width="10.5546875" bestFit="1" customWidth="1"/>
    <col min="11" max="11" width="8.21875" bestFit="1" customWidth="1"/>
    <col min="12" max="12" width="6.77734375" bestFit="1" customWidth="1"/>
    <col min="13" max="13" width="6.33203125" bestFit="1" customWidth="1"/>
    <col min="14" max="14" width="6.6640625" bestFit="1" customWidth="1"/>
  </cols>
  <sheetData>
    <row r="1" spans="1:14" ht="21">
      <c r="A1" s="640" t="s">
        <v>188</v>
      </c>
    </row>
    <row r="3" spans="1:14" ht="15" thickBot="1"/>
    <row r="4" spans="1:14" ht="16.2" thickBot="1">
      <c r="C4" s="643" t="s">
        <v>180</v>
      </c>
      <c r="D4" s="643" t="s">
        <v>175</v>
      </c>
      <c r="E4" s="643" t="s">
        <v>181</v>
      </c>
      <c r="F4" s="643" t="s">
        <v>10</v>
      </c>
      <c r="G4" s="643" t="s">
        <v>11</v>
      </c>
      <c r="H4" s="643" t="s">
        <v>12</v>
      </c>
      <c r="I4" s="643" t="s">
        <v>182</v>
      </c>
      <c r="J4" s="643" t="s">
        <v>183</v>
      </c>
      <c r="K4" s="643" t="s">
        <v>15</v>
      </c>
      <c r="L4" s="643" t="s">
        <v>16</v>
      </c>
      <c r="M4" s="643" t="s">
        <v>17</v>
      </c>
      <c r="N4" s="643" t="s">
        <v>18</v>
      </c>
    </row>
    <row r="5" spans="1:14" ht="16.2" thickBot="1">
      <c r="B5" s="646" t="s">
        <v>189</v>
      </c>
      <c r="C5" s="645">
        <v>5521086012</v>
      </c>
      <c r="D5" s="644">
        <v>5521086012</v>
      </c>
      <c r="E5" s="644">
        <v>5521086011.6856518</v>
      </c>
      <c r="F5" s="411"/>
      <c r="G5" s="411"/>
      <c r="H5" s="411"/>
      <c r="I5" s="411"/>
      <c r="J5" s="411"/>
      <c r="K5" s="411"/>
      <c r="L5" s="411"/>
      <c r="M5" s="411"/>
      <c r="N5" s="411"/>
    </row>
    <row r="6" spans="1:14" ht="16.2" thickBot="1">
      <c r="B6" s="646" t="s">
        <v>82</v>
      </c>
      <c r="C6" s="645">
        <v>9310809452</v>
      </c>
      <c r="D6" s="644">
        <v>9111585024</v>
      </c>
      <c r="E6" s="644">
        <v>9322526943.2043495</v>
      </c>
      <c r="F6" s="411"/>
      <c r="G6" s="411"/>
      <c r="H6" s="411"/>
      <c r="I6" s="411"/>
      <c r="J6" s="411"/>
      <c r="K6" s="411"/>
      <c r="L6" s="411"/>
      <c r="M6" s="411"/>
      <c r="N6" s="411"/>
    </row>
    <row r="7" spans="1:14" ht="16.2" thickBot="1">
      <c r="B7" s="646" t="s">
        <v>190</v>
      </c>
      <c r="C7" s="645">
        <v>98909972</v>
      </c>
      <c r="D7" s="644">
        <v>434418887</v>
      </c>
      <c r="E7" s="644">
        <v>436784765.91999996</v>
      </c>
      <c r="F7" s="411"/>
      <c r="G7" s="411"/>
      <c r="H7" s="411"/>
      <c r="I7" s="411"/>
      <c r="J7" s="411"/>
      <c r="K7" s="411"/>
      <c r="L7" s="411"/>
      <c r="M7" s="411"/>
      <c r="N7" s="411"/>
    </row>
    <row r="8" spans="1:14" ht="16.2" thickBot="1">
      <c r="B8" s="646" t="s">
        <v>191</v>
      </c>
      <c r="C8" s="645">
        <v>250557898</v>
      </c>
      <c r="D8" s="644">
        <v>335984669</v>
      </c>
      <c r="E8" s="644">
        <v>475257139.65999997</v>
      </c>
      <c r="F8" s="411"/>
      <c r="G8" s="411"/>
      <c r="H8" s="411"/>
      <c r="I8" s="411"/>
      <c r="J8" s="411"/>
      <c r="K8" s="411"/>
      <c r="L8" s="411"/>
      <c r="M8" s="411"/>
      <c r="N8" s="411"/>
    </row>
    <row r="9" spans="1:14" ht="16.2" thickBot="1">
      <c r="B9" s="646" t="s">
        <v>192</v>
      </c>
      <c r="C9" s="645">
        <v>337103978</v>
      </c>
      <c r="D9" s="644">
        <v>431711207</v>
      </c>
      <c r="E9" s="644">
        <v>487246809.34000003</v>
      </c>
      <c r="F9" s="411"/>
      <c r="G9" s="411"/>
      <c r="H9" s="411"/>
      <c r="I9" s="411"/>
      <c r="J9" s="411"/>
      <c r="K9" s="411"/>
      <c r="L9" s="411"/>
      <c r="M9" s="411"/>
      <c r="N9" s="411"/>
    </row>
    <row r="10" spans="1:14" ht="16.2" thickBot="1">
      <c r="B10" s="646" t="s">
        <v>193</v>
      </c>
      <c r="C10" s="645">
        <v>68242981</v>
      </c>
      <c r="D10" s="644">
        <v>55919056</v>
      </c>
      <c r="E10" s="644">
        <v>35449760.689999998</v>
      </c>
      <c r="F10" s="411"/>
      <c r="G10" s="411"/>
      <c r="H10" s="411"/>
      <c r="I10" s="411"/>
      <c r="J10" s="411"/>
      <c r="K10" s="411"/>
      <c r="L10" s="411"/>
      <c r="M10" s="411"/>
      <c r="N10" s="411"/>
    </row>
    <row r="12" spans="1:14" ht="16.2" thickBot="1">
      <c r="B12" s="618" t="s">
        <v>194</v>
      </c>
      <c r="C12" s="125">
        <f>SUM(C5:C10)</f>
        <v>15586710293</v>
      </c>
      <c r="D12" s="125">
        <f t="shared" ref="D12:N12" si="0">SUM(D5:D10)</f>
        <v>15890704855</v>
      </c>
      <c r="E12" s="125">
        <f t="shared" si="0"/>
        <v>16278351430.500002</v>
      </c>
      <c r="F12" s="125">
        <f t="shared" si="0"/>
        <v>0</v>
      </c>
      <c r="G12" s="125">
        <f t="shared" si="0"/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>SUM(K5:K10)</f>
        <v>0</v>
      </c>
      <c r="L12" s="125">
        <f t="shared" si="0"/>
        <v>0</v>
      </c>
      <c r="M12" s="125">
        <f t="shared" si="0"/>
        <v>0</v>
      </c>
      <c r="N12" s="125">
        <f t="shared" si="0"/>
        <v>0</v>
      </c>
    </row>
    <row r="13" spans="1:14">
      <c r="D13" s="641" t="s">
        <v>202</v>
      </c>
    </row>
    <row r="14" spans="1:14" ht="15" thickBot="1">
      <c r="D14" s="642">
        <f>AVERAGE(C12:E12)</f>
        <v>15918588859.5</v>
      </c>
    </row>
  </sheetData>
  <phoneticPr fontId="5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8603-42D2-49EA-9589-9AF7560B60CD}">
  <dimension ref="A1:B9"/>
  <sheetViews>
    <sheetView workbookViewId="0">
      <selection activeCell="I22" sqref="I22"/>
    </sheetView>
  </sheetViews>
  <sheetFormatPr defaultRowHeight="14.4"/>
  <cols>
    <col min="1" max="1" width="13.109375" bestFit="1" customWidth="1"/>
    <col min="2" max="2" width="7.21875" bestFit="1" customWidth="1"/>
  </cols>
  <sheetData>
    <row r="1" spans="1:2" ht="27.6">
      <c r="A1" s="614" t="s">
        <v>186</v>
      </c>
      <c r="B1" s="614" t="s">
        <v>187</v>
      </c>
    </row>
    <row r="2" spans="1:2">
      <c r="A2" s="615">
        <v>46230</v>
      </c>
      <c r="B2" s="617">
        <v>0.115</v>
      </c>
    </row>
    <row r="3" spans="1:2">
      <c r="A3" s="615">
        <v>46279</v>
      </c>
    </row>
    <row r="4" spans="1:2">
      <c r="A4" s="615">
        <v>46321</v>
      </c>
    </row>
    <row r="5" spans="1:2">
      <c r="A5" s="615">
        <v>46370</v>
      </c>
    </row>
    <row r="6" spans="1:2">
      <c r="A6" s="615">
        <v>46412</v>
      </c>
    </row>
    <row r="7" spans="1:2">
      <c r="A7" s="615">
        <v>46454</v>
      </c>
    </row>
    <row r="8" spans="1:2">
      <c r="A8" s="615">
        <v>46503</v>
      </c>
    </row>
    <row r="9" spans="1:2" ht="15" thickBot="1">
      <c r="A9" s="616">
        <v>46555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67"/>
  <sheetViews>
    <sheetView topLeftCell="Q1" zoomScale="37" zoomScaleNormal="40" workbookViewId="0">
      <pane ySplit="2" topLeftCell="A3" activePane="bottomLeft" state="frozen"/>
      <selection activeCell="S17" sqref="Q17:S17"/>
      <selection pane="bottomLeft" activeCell="AA30" sqref="AA30"/>
    </sheetView>
  </sheetViews>
  <sheetFormatPr defaultColWidth="19.6640625" defaultRowHeight="25.8"/>
  <cols>
    <col min="1" max="1" width="24.33203125" style="376" bestFit="1" customWidth="1"/>
    <col min="2" max="2" width="109.44140625" style="376" bestFit="1" customWidth="1"/>
    <col min="3" max="3" width="27.33203125" style="376" bestFit="1" customWidth="1"/>
    <col min="4" max="4" width="73.77734375" style="376" bestFit="1" customWidth="1"/>
    <col min="5" max="5" width="21.44140625" style="376" bestFit="1" customWidth="1"/>
    <col min="6" max="6" width="22.33203125" style="376" bestFit="1" customWidth="1"/>
    <col min="7" max="8" width="19.6640625" style="376" bestFit="1" customWidth="1"/>
    <col min="9" max="9" width="18.77734375" style="376" bestFit="1" customWidth="1"/>
    <col min="10" max="10" width="30.21875" style="376" bestFit="1" customWidth="1"/>
    <col min="11" max="11" width="36.109375" style="376" bestFit="1" customWidth="1"/>
    <col min="12" max="13" width="33.44140625" style="376" bestFit="1" customWidth="1"/>
    <col min="14" max="14" width="40.21875" style="376" bestFit="1" customWidth="1"/>
    <col min="15" max="15" width="42.77734375" style="376" bestFit="1" customWidth="1"/>
    <col min="16" max="16" width="51.88671875" style="376" bestFit="1" customWidth="1"/>
    <col min="17" max="17" width="43.109375" style="376" bestFit="1" customWidth="1"/>
    <col min="18" max="18" width="49.21875" style="376" bestFit="1" customWidth="1"/>
    <col min="19" max="19" width="56.5546875" style="376" bestFit="1" customWidth="1"/>
    <col min="20" max="20" width="46.5546875" style="376" bestFit="1" customWidth="1"/>
    <col min="21" max="21" width="48.88671875" style="376" bestFit="1" customWidth="1"/>
    <col min="22" max="22" width="43.109375" style="376" bestFit="1" customWidth="1"/>
    <col min="23" max="23" width="42.21875" style="376" bestFit="1" customWidth="1"/>
    <col min="24" max="24" width="38.109375" style="376" bestFit="1" customWidth="1"/>
    <col min="25" max="25" width="40.21875" style="376" bestFit="1" customWidth="1"/>
    <col min="26" max="26" width="37.21875" style="376" bestFit="1" customWidth="1"/>
    <col min="27" max="27" width="50.44140625" style="376" bestFit="1" customWidth="1"/>
    <col min="28" max="34" width="50.44140625" style="376" customWidth="1"/>
    <col min="35" max="35" width="33.44140625" style="376" bestFit="1" customWidth="1"/>
    <col min="36" max="37" width="28.21875" style="376" bestFit="1" customWidth="1"/>
    <col min="38" max="38" width="21.77734375" style="376" bestFit="1" customWidth="1"/>
    <col min="39" max="39" width="43.6640625" style="376" bestFit="1" customWidth="1"/>
    <col min="40" max="40" width="27.5546875" style="376" bestFit="1" customWidth="1"/>
    <col min="41" max="42" width="26.109375" style="376" bestFit="1" customWidth="1"/>
    <col min="43" max="43" width="22.88671875" style="376" bestFit="1" customWidth="1"/>
    <col min="44" max="44" width="24.109375" style="376" bestFit="1" customWidth="1"/>
    <col min="45" max="45" width="13.21875" style="376" bestFit="1" customWidth="1"/>
    <col min="46" max="46" width="21.77734375" style="376" bestFit="1" customWidth="1"/>
    <col min="47" max="47" width="30.21875" style="376" bestFit="1" customWidth="1"/>
    <col min="48" max="48" width="28.21875" style="376" bestFit="1" customWidth="1"/>
    <col min="49" max="49" width="22.6640625" style="376" bestFit="1" customWidth="1"/>
    <col min="50" max="50" width="22.33203125" style="376" bestFit="1" customWidth="1"/>
    <col min="51" max="51" width="43.6640625" style="376" bestFit="1" customWidth="1"/>
    <col min="52" max="16384" width="19.6640625" style="376"/>
  </cols>
  <sheetData>
    <row r="1" spans="1:50" ht="26.4" thickBot="1">
      <c r="A1" s="375" t="s">
        <v>128</v>
      </c>
    </row>
    <row r="2" spans="1:50" ht="77.400000000000006">
      <c r="A2" s="377" t="s">
        <v>89</v>
      </c>
      <c r="B2" s="377" t="s">
        <v>90</v>
      </c>
      <c r="C2" s="377" t="s">
        <v>91</v>
      </c>
      <c r="D2" s="377" t="s">
        <v>4</v>
      </c>
      <c r="E2" s="377" t="s">
        <v>92</v>
      </c>
      <c r="F2" s="377" t="s">
        <v>93</v>
      </c>
      <c r="G2" s="377" t="s">
        <v>94</v>
      </c>
      <c r="H2" s="377" t="s">
        <v>95</v>
      </c>
      <c r="I2" s="377" t="s">
        <v>96</v>
      </c>
      <c r="J2" s="377" t="s">
        <v>97</v>
      </c>
      <c r="K2" s="377" t="s">
        <v>98</v>
      </c>
      <c r="L2" s="377" t="s">
        <v>99</v>
      </c>
      <c r="M2" s="377" t="s">
        <v>100</v>
      </c>
      <c r="N2" s="378">
        <v>45869</v>
      </c>
      <c r="O2" s="378">
        <v>45900</v>
      </c>
      <c r="P2" s="378">
        <v>45930</v>
      </c>
      <c r="Q2" s="378">
        <v>45961</v>
      </c>
      <c r="R2" s="378">
        <v>45991</v>
      </c>
      <c r="S2" s="378">
        <v>46022</v>
      </c>
      <c r="T2" s="378">
        <v>46053</v>
      </c>
      <c r="U2" s="378">
        <v>46081</v>
      </c>
      <c r="V2" s="378">
        <v>46112</v>
      </c>
      <c r="W2" s="378">
        <v>46142</v>
      </c>
      <c r="X2" s="378">
        <v>46173</v>
      </c>
      <c r="Y2" s="378">
        <v>46203</v>
      </c>
      <c r="Z2" s="378">
        <v>46229</v>
      </c>
      <c r="AA2" s="378">
        <v>46260</v>
      </c>
      <c r="AB2" s="378">
        <v>46291</v>
      </c>
      <c r="AC2" s="378">
        <v>46321</v>
      </c>
      <c r="AD2" s="378">
        <v>46352</v>
      </c>
      <c r="AE2" s="378">
        <v>46382</v>
      </c>
      <c r="AF2" s="378">
        <v>46414</v>
      </c>
      <c r="AG2" s="378">
        <v>46445</v>
      </c>
      <c r="AH2" s="378">
        <v>46473</v>
      </c>
      <c r="AI2" s="377" t="s">
        <v>101</v>
      </c>
      <c r="AJ2" s="377" t="s">
        <v>102</v>
      </c>
      <c r="AK2" s="377" t="s">
        <v>103</v>
      </c>
      <c r="AL2" s="377" t="s">
        <v>104</v>
      </c>
      <c r="AM2" s="377" t="s">
        <v>105</v>
      </c>
      <c r="AN2" s="379" t="s">
        <v>116</v>
      </c>
      <c r="AO2" s="379" t="s">
        <v>117</v>
      </c>
      <c r="AP2" s="379" t="s">
        <v>99</v>
      </c>
      <c r="AQ2" s="379" t="s">
        <v>118</v>
      </c>
      <c r="AR2" s="379" t="s">
        <v>119</v>
      </c>
      <c r="AS2" s="379" t="s">
        <v>120</v>
      </c>
      <c r="AT2" s="379" t="s">
        <v>101</v>
      </c>
      <c r="AU2" s="380" t="s">
        <v>121</v>
      </c>
      <c r="AV2" s="380" t="s">
        <v>122</v>
      </c>
      <c r="AW2" s="380" t="s">
        <v>123</v>
      </c>
      <c r="AX2" s="380" t="s">
        <v>105</v>
      </c>
    </row>
    <row r="3" spans="1:50">
      <c r="A3" s="381">
        <v>1</v>
      </c>
      <c r="B3" s="382" t="s">
        <v>27</v>
      </c>
      <c r="C3" s="381" t="s">
        <v>79</v>
      </c>
      <c r="D3" s="381" t="s">
        <v>45</v>
      </c>
      <c r="E3" s="381" t="s">
        <v>124</v>
      </c>
      <c r="F3" s="381" t="s">
        <v>80</v>
      </c>
      <c r="G3" s="383">
        <v>45512</v>
      </c>
      <c r="H3" s="383">
        <v>45845</v>
      </c>
      <c r="I3" s="383">
        <v>45876</v>
      </c>
      <c r="J3" s="384">
        <v>0.109</v>
      </c>
      <c r="K3" s="381" t="s">
        <v>81</v>
      </c>
      <c r="L3" s="381">
        <v>31</v>
      </c>
      <c r="M3" s="381">
        <v>999997104</v>
      </c>
      <c r="N3" s="385">
        <v>7167102.5316821914</v>
      </c>
      <c r="O3" s="385">
        <v>2090404.9050739724</v>
      </c>
      <c r="P3" s="385">
        <v>0</v>
      </c>
      <c r="Q3" s="385">
        <v>0</v>
      </c>
      <c r="R3" s="385">
        <v>0</v>
      </c>
      <c r="S3" s="385">
        <v>0</v>
      </c>
      <c r="T3" s="385">
        <v>0</v>
      </c>
      <c r="U3" s="385">
        <v>0</v>
      </c>
      <c r="V3" s="381">
        <v>0</v>
      </c>
      <c r="W3" s="381">
        <v>0</v>
      </c>
      <c r="X3" s="381">
        <v>0</v>
      </c>
      <c r="Y3" s="381">
        <v>0</v>
      </c>
      <c r="Z3" s="381"/>
      <c r="AA3" s="381"/>
      <c r="AB3" s="381"/>
      <c r="AC3" s="381"/>
      <c r="AD3" s="381"/>
      <c r="AE3" s="381"/>
      <c r="AF3" s="381"/>
      <c r="AG3" s="381"/>
      <c r="AH3" s="381"/>
      <c r="AI3" s="381">
        <v>1009255000</v>
      </c>
      <c r="AJ3" s="381">
        <v>9257896</v>
      </c>
      <c r="AK3" s="381">
        <v>-388.56324383616447</v>
      </c>
      <c r="AL3" s="386">
        <v>45845</v>
      </c>
      <c r="AM3" s="381" t="s">
        <v>82</v>
      </c>
    </row>
    <row r="4" spans="1:50">
      <c r="A4" s="381">
        <v>2</v>
      </c>
      <c r="B4" s="382" t="s">
        <v>27</v>
      </c>
      <c r="C4" s="381" t="s">
        <v>79</v>
      </c>
      <c r="D4" s="381" t="s">
        <v>45</v>
      </c>
      <c r="E4" s="381" t="s">
        <v>124</v>
      </c>
      <c r="F4" s="381" t="s">
        <v>80</v>
      </c>
      <c r="G4" s="383">
        <v>45848</v>
      </c>
      <c r="H4" s="383">
        <v>45849</v>
      </c>
      <c r="I4" s="383">
        <v>45876</v>
      </c>
      <c r="J4" s="384">
        <v>0.1105</v>
      </c>
      <c r="K4" s="381" t="s">
        <v>81</v>
      </c>
      <c r="L4" s="381">
        <v>27</v>
      </c>
      <c r="M4" s="381">
        <v>1983784000</v>
      </c>
      <c r="N4" s="385">
        <v>12011404.493150685</v>
      </c>
      <c r="O4" s="385">
        <v>4203991.5726027396</v>
      </c>
      <c r="P4" s="385">
        <v>0</v>
      </c>
      <c r="Q4" s="385">
        <v>0</v>
      </c>
      <c r="R4" s="385">
        <v>0</v>
      </c>
      <c r="S4" s="385">
        <v>0</v>
      </c>
      <c r="T4" s="385">
        <v>0</v>
      </c>
      <c r="U4" s="385">
        <v>0</v>
      </c>
      <c r="V4" s="381">
        <v>0</v>
      </c>
      <c r="W4" s="381">
        <v>0</v>
      </c>
      <c r="X4" s="381">
        <v>0</v>
      </c>
      <c r="Y4" s="381">
        <v>0</v>
      </c>
      <c r="Z4" s="381"/>
      <c r="AA4" s="381"/>
      <c r="AB4" s="381"/>
      <c r="AC4" s="381"/>
      <c r="AD4" s="381"/>
      <c r="AE4" s="381"/>
      <c r="AF4" s="381"/>
      <c r="AG4" s="381"/>
      <c r="AH4" s="381"/>
      <c r="AI4" s="381">
        <v>2000000000</v>
      </c>
      <c r="AJ4" s="381">
        <v>16216000</v>
      </c>
      <c r="AK4" s="381">
        <v>-603.93424657545984</v>
      </c>
      <c r="AL4" s="386">
        <v>45849</v>
      </c>
      <c r="AM4" s="381" t="s">
        <v>82</v>
      </c>
    </row>
    <row r="5" spans="1:50">
      <c r="A5" s="381">
        <v>3</v>
      </c>
      <c r="B5" s="404" t="s">
        <v>83</v>
      </c>
      <c r="C5" s="381" t="s">
        <v>79</v>
      </c>
      <c r="D5" s="381" t="s">
        <v>45</v>
      </c>
      <c r="E5" s="381" t="s">
        <v>84</v>
      </c>
      <c r="F5" s="381" t="s">
        <v>80</v>
      </c>
      <c r="G5" s="383">
        <v>45848</v>
      </c>
      <c r="H5" s="383">
        <v>45848</v>
      </c>
      <c r="I5" s="383">
        <v>45876</v>
      </c>
      <c r="J5" s="384">
        <v>0.110804</v>
      </c>
      <c r="K5" s="381" t="s">
        <v>81</v>
      </c>
      <c r="L5" s="381">
        <v>28</v>
      </c>
      <c r="M5" s="381">
        <v>495786000</v>
      </c>
      <c r="N5" s="385">
        <v>3160647.9748602738</v>
      </c>
      <c r="O5" s="385">
        <v>1053549.3249534245</v>
      </c>
      <c r="P5" s="385">
        <v>0</v>
      </c>
      <c r="Q5" s="385">
        <v>0</v>
      </c>
      <c r="R5" s="385">
        <v>0</v>
      </c>
      <c r="S5" s="385">
        <v>0</v>
      </c>
      <c r="T5" s="385">
        <v>0</v>
      </c>
      <c r="U5" s="385">
        <v>0</v>
      </c>
      <c r="V5" s="381">
        <v>0</v>
      </c>
      <c r="W5" s="381">
        <v>0</v>
      </c>
      <c r="X5" s="381">
        <v>0</v>
      </c>
      <c r="Y5" s="381">
        <v>0</v>
      </c>
      <c r="Z5" s="381"/>
      <c r="AA5" s="381"/>
      <c r="AB5" s="381"/>
      <c r="AC5" s="381"/>
      <c r="AD5" s="381"/>
      <c r="AE5" s="381"/>
      <c r="AF5" s="381"/>
      <c r="AG5" s="381"/>
      <c r="AH5" s="381"/>
      <c r="AI5" s="381">
        <v>500000000</v>
      </c>
      <c r="AJ5" s="381">
        <v>4214000</v>
      </c>
      <c r="AK5" s="381">
        <v>197.29981369804591</v>
      </c>
      <c r="AL5" s="386">
        <v>45848</v>
      </c>
      <c r="AM5" s="381" t="s">
        <v>82</v>
      </c>
    </row>
    <row r="6" spans="1:50">
      <c r="A6" s="381">
        <v>4</v>
      </c>
      <c r="B6" s="404" t="s">
        <v>83</v>
      </c>
      <c r="C6" s="381" t="s">
        <v>79</v>
      </c>
      <c r="D6" s="381" t="s">
        <v>45</v>
      </c>
      <c r="E6" s="381" t="s">
        <v>84</v>
      </c>
      <c r="F6" s="381" t="s">
        <v>85</v>
      </c>
      <c r="G6" s="383">
        <v>45848</v>
      </c>
      <c r="H6" s="383">
        <v>45848</v>
      </c>
      <c r="I6" s="383">
        <v>45932</v>
      </c>
      <c r="J6" s="384">
        <v>0.108626</v>
      </c>
      <c r="K6" s="381" t="s">
        <v>81</v>
      </c>
      <c r="L6" s="381">
        <v>84</v>
      </c>
      <c r="M6" s="385">
        <v>487805500</v>
      </c>
      <c r="N6" s="385">
        <v>3048645.3838438354</v>
      </c>
      <c r="O6" s="385">
        <v>4500381.2809123285</v>
      </c>
      <c r="P6" s="385">
        <v>4355207.6912054792</v>
      </c>
      <c r="Q6" s="385">
        <v>290347.17941369861</v>
      </c>
      <c r="R6" s="385">
        <v>0</v>
      </c>
      <c r="S6" s="385">
        <v>0</v>
      </c>
      <c r="T6" s="385">
        <v>0</v>
      </c>
      <c r="U6" s="385">
        <v>0</v>
      </c>
      <c r="V6" s="381">
        <v>0</v>
      </c>
      <c r="W6" s="381">
        <v>0</v>
      </c>
      <c r="X6" s="381">
        <v>0</v>
      </c>
      <c r="Y6" s="381">
        <v>0</v>
      </c>
      <c r="Z6" s="381"/>
      <c r="AA6" s="381"/>
      <c r="AB6" s="381"/>
      <c r="AC6" s="381"/>
      <c r="AD6" s="381"/>
      <c r="AE6" s="381"/>
      <c r="AF6" s="381"/>
      <c r="AG6" s="381"/>
      <c r="AH6" s="381"/>
      <c r="AI6" s="381">
        <v>500000000</v>
      </c>
      <c r="AJ6" s="381">
        <v>12194500</v>
      </c>
      <c r="AK6" s="381">
        <v>81.535375341773033</v>
      </c>
      <c r="AL6" s="386">
        <v>45848</v>
      </c>
      <c r="AM6" s="381" t="s">
        <v>82</v>
      </c>
    </row>
    <row r="7" spans="1:50">
      <c r="A7" s="381">
        <v>5</v>
      </c>
      <c r="B7" s="382" t="s">
        <v>27</v>
      </c>
      <c r="C7" s="381" t="s">
        <v>79</v>
      </c>
      <c r="D7" s="381" t="s">
        <v>45</v>
      </c>
      <c r="E7" s="381" t="s">
        <v>84</v>
      </c>
      <c r="F7" s="381" t="s">
        <v>80</v>
      </c>
      <c r="G7" s="383">
        <v>45861</v>
      </c>
      <c r="H7" s="383">
        <v>45862</v>
      </c>
      <c r="I7" s="383">
        <v>45890</v>
      </c>
      <c r="J7" s="384">
        <v>0.10850600000000001</v>
      </c>
      <c r="K7" s="381" t="s">
        <v>81</v>
      </c>
      <c r="L7" s="381">
        <v>28</v>
      </c>
      <c r="M7" s="385">
        <v>123968125</v>
      </c>
      <c r="N7" s="385">
        <v>257969.85643493151</v>
      </c>
      <c r="O7" s="385">
        <v>773909.56930479454</v>
      </c>
      <c r="P7" s="385">
        <v>0</v>
      </c>
      <c r="Q7" s="385">
        <v>0</v>
      </c>
      <c r="R7" s="385">
        <v>0</v>
      </c>
      <c r="S7" s="385">
        <v>0</v>
      </c>
      <c r="T7" s="385">
        <v>0</v>
      </c>
      <c r="U7" s="385">
        <v>0</v>
      </c>
      <c r="V7" s="381">
        <v>0</v>
      </c>
      <c r="W7" s="381">
        <v>0</v>
      </c>
      <c r="X7" s="381">
        <v>0</v>
      </c>
      <c r="Y7" s="381">
        <v>0</v>
      </c>
      <c r="Z7" s="381"/>
      <c r="AA7" s="381"/>
      <c r="AB7" s="381"/>
      <c r="AC7" s="381"/>
      <c r="AD7" s="381"/>
      <c r="AE7" s="381"/>
      <c r="AF7" s="381"/>
      <c r="AG7" s="381"/>
      <c r="AH7" s="381"/>
      <c r="AI7" s="381">
        <v>125000000</v>
      </c>
      <c r="AJ7" s="381">
        <v>1031875</v>
      </c>
      <c r="AK7" s="381">
        <v>4.4257397260516882</v>
      </c>
      <c r="AL7" s="386">
        <v>45862</v>
      </c>
      <c r="AM7" s="381" t="s">
        <v>82</v>
      </c>
    </row>
    <row r="8" spans="1:50">
      <c r="A8" s="381">
        <v>6</v>
      </c>
      <c r="B8" s="382" t="s">
        <v>27</v>
      </c>
      <c r="C8" s="381" t="s">
        <v>79</v>
      </c>
      <c r="D8" s="381" t="s">
        <v>45</v>
      </c>
      <c r="E8" s="381" t="s">
        <v>84</v>
      </c>
      <c r="F8" s="381" t="s">
        <v>85</v>
      </c>
      <c r="G8" s="383">
        <v>45861</v>
      </c>
      <c r="H8" s="383">
        <v>45862</v>
      </c>
      <c r="I8" s="383">
        <v>45946</v>
      </c>
      <c r="J8" s="384">
        <v>0.10675</v>
      </c>
      <c r="K8" s="381" t="s">
        <v>81</v>
      </c>
      <c r="L8" s="381">
        <v>84</v>
      </c>
      <c r="M8" s="385">
        <v>244005500</v>
      </c>
      <c r="N8" s="385">
        <v>499542.76678082196</v>
      </c>
      <c r="O8" s="385">
        <v>2212260.8243150688</v>
      </c>
      <c r="P8" s="385">
        <v>2140897.5719178086</v>
      </c>
      <c r="Q8" s="385">
        <v>1141812.0383561645</v>
      </c>
      <c r="R8" s="385">
        <v>0</v>
      </c>
      <c r="S8" s="385">
        <v>0</v>
      </c>
      <c r="T8" s="385">
        <v>0</v>
      </c>
      <c r="U8" s="385">
        <v>0</v>
      </c>
      <c r="V8" s="381">
        <v>0</v>
      </c>
      <c r="W8" s="381">
        <v>0</v>
      </c>
      <c r="X8" s="381">
        <v>0</v>
      </c>
      <c r="Y8" s="381">
        <v>0</v>
      </c>
      <c r="Z8" s="381"/>
      <c r="AA8" s="381"/>
      <c r="AB8" s="381"/>
      <c r="AC8" s="381"/>
      <c r="AD8" s="381"/>
      <c r="AE8" s="381"/>
      <c r="AF8" s="381"/>
      <c r="AG8" s="381"/>
      <c r="AH8" s="381"/>
      <c r="AI8" s="381">
        <v>250000000</v>
      </c>
      <c r="AJ8" s="381">
        <v>5994500</v>
      </c>
      <c r="AK8" s="381">
        <v>13.201369863934815</v>
      </c>
      <c r="AL8" s="386">
        <v>45862</v>
      </c>
      <c r="AM8" s="381" t="s">
        <v>82</v>
      </c>
    </row>
    <row r="9" spans="1:50">
      <c r="A9" s="381">
        <v>7</v>
      </c>
      <c r="B9" s="382" t="s">
        <v>27</v>
      </c>
      <c r="C9" s="381" t="s">
        <v>79</v>
      </c>
      <c r="D9" s="381" t="s">
        <v>45</v>
      </c>
      <c r="E9" s="381" t="s">
        <v>84</v>
      </c>
      <c r="F9" s="381" t="s">
        <v>80</v>
      </c>
      <c r="G9" s="383">
        <v>45890</v>
      </c>
      <c r="H9" s="383">
        <v>45890</v>
      </c>
      <c r="I9" s="383">
        <v>45918</v>
      </c>
      <c r="J9" s="384">
        <v>0.10871500000000001</v>
      </c>
      <c r="K9" s="381" t="s">
        <v>81</v>
      </c>
      <c r="L9" s="381">
        <v>28</v>
      </c>
      <c r="M9" s="385">
        <v>123966125</v>
      </c>
      <c r="N9" s="385"/>
      <c r="O9" s="385">
        <v>369232.25422945211</v>
      </c>
      <c r="P9" s="385">
        <v>664618.05761301378</v>
      </c>
      <c r="Q9" s="385">
        <v>0</v>
      </c>
      <c r="R9" s="385">
        <v>0</v>
      </c>
      <c r="S9" s="385">
        <v>0</v>
      </c>
      <c r="T9" s="385">
        <v>0</v>
      </c>
      <c r="U9" s="385">
        <v>0</v>
      </c>
      <c r="V9" s="381">
        <v>0</v>
      </c>
      <c r="W9" s="381">
        <v>0</v>
      </c>
      <c r="X9" s="381">
        <v>0</v>
      </c>
      <c r="Y9" s="381">
        <v>0</v>
      </c>
      <c r="Z9" s="381"/>
      <c r="AA9" s="381"/>
      <c r="AB9" s="381"/>
      <c r="AC9" s="381"/>
      <c r="AD9" s="381"/>
      <c r="AE9" s="381"/>
      <c r="AF9" s="381"/>
      <c r="AG9" s="381"/>
      <c r="AH9" s="381"/>
      <c r="AI9" s="381">
        <v>125000000</v>
      </c>
      <c r="AJ9" s="381">
        <v>1033875</v>
      </c>
      <c r="AK9" s="381">
        <v>-24.68815753411036</v>
      </c>
      <c r="AL9" s="386">
        <v>45890</v>
      </c>
      <c r="AM9" s="381" t="s">
        <v>82</v>
      </c>
    </row>
    <row r="10" spans="1:50">
      <c r="A10" s="381">
        <v>8</v>
      </c>
      <c r="B10" s="382" t="s">
        <v>27</v>
      </c>
      <c r="C10" s="381" t="s">
        <v>79</v>
      </c>
      <c r="D10" s="381" t="s">
        <v>45</v>
      </c>
      <c r="E10" s="381" t="s">
        <v>84</v>
      </c>
      <c r="F10" s="381" t="s">
        <v>85</v>
      </c>
      <c r="G10" s="383">
        <v>45890</v>
      </c>
      <c r="H10" s="383">
        <v>45890</v>
      </c>
      <c r="I10" s="383">
        <v>45974</v>
      </c>
      <c r="J10" s="384">
        <v>0.10820399999999999</v>
      </c>
      <c r="K10" s="381" t="s">
        <v>81</v>
      </c>
      <c r="L10" s="381">
        <v>84</v>
      </c>
      <c r="M10" s="385">
        <v>365888625</v>
      </c>
      <c r="N10" s="385"/>
      <c r="O10" s="385">
        <v>1084674.3227260276</v>
      </c>
      <c r="P10" s="385">
        <v>3254022.9681780823</v>
      </c>
      <c r="Q10" s="385">
        <v>3362490.4004506851</v>
      </c>
      <c r="R10" s="385">
        <v>1410076.6195438358</v>
      </c>
      <c r="S10" s="385">
        <v>0</v>
      </c>
      <c r="T10" s="385">
        <v>0</v>
      </c>
      <c r="U10" s="385">
        <v>0</v>
      </c>
      <c r="V10" s="381">
        <v>0</v>
      </c>
      <c r="W10" s="381">
        <v>0</v>
      </c>
      <c r="X10" s="381">
        <v>0</v>
      </c>
      <c r="Y10" s="381">
        <v>0</v>
      </c>
      <c r="Z10" s="381"/>
      <c r="AA10" s="381"/>
      <c r="AB10" s="381"/>
      <c r="AC10" s="381"/>
      <c r="AD10" s="381"/>
      <c r="AE10" s="381"/>
      <c r="AF10" s="381"/>
      <c r="AG10" s="381"/>
      <c r="AH10" s="381"/>
      <c r="AI10" s="381">
        <v>375000000</v>
      </c>
      <c r="AJ10" s="381">
        <v>9111375</v>
      </c>
      <c r="AK10" s="381">
        <v>-110.68910136818886</v>
      </c>
      <c r="AL10" s="386">
        <v>45890</v>
      </c>
      <c r="AM10" s="381" t="s">
        <v>82</v>
      </c>
    </row>
    <row r="11" spans="1:50">
      <c r="A11" s="381">
        <v>9</v>
      </c>
      <c r="B11" s="387" t="s">
        <v>23</v>
      </c>
      <c r="C11" s="381" t="s">
        <v>86</v>
      </c>
      <c r="D11" s="381" t="s">
        <v>45</v>
      </c>
      <c r="E11" s="381" t="s">
        <v>84</v>
      </c>
      <c r="F11" s="381" t="s">
        <v>87</v>
      </c>
      <c r="G11" s="383">
        <v>45890</v>
      </c>
      <c r="H11" s="383">
        <v>45890</v>
      </c>
      <c r="I11" s="383">
        <v>46072</v>
      </c>
      <c r="J11" s="384">
        <v>0.108296</v>
      </c>
      <c r="K11" s="381" t="s">
        <v>81</v>
      </c>
      <c r="L11" s="381">
        <v>182</v>
      </c>
      <c r="M11" s="385">
        <v>237191750</v>
      </c>
      <c r="N11" s="385"/>
      <c r="O11" s="385">
        <v>703751.17145205487</v>
      </c>
      <c r="P11" s="385">
        <v>2111253.5143561647</v>
      </c>
      <c r="Q11" s="385">
        <v>2181628.6315013701</v>
      </c>
      <c r="R11" s="385">
        <v>2111253.5143561647</v>
      </c>
      <c r="S11" s="385">
        <v>2181628.6315013701</v>
      </c>
      <c r="T11" s="385">
        <v>2181628.6315013701</v>
      </c>
      <c r="U11" s="385">
        <v>1337127.2257589041</v>
      </c>
      <c r="V11" s="381">
        <v>0</v>
      </c>
      <c r="W11" s="381">
        <v>0</v>
      </c>
      <c r="X11" s="381">
        <v>0</v>
      </c>
      <c r="Y11" s="381">
        <v>0</v>
      </c>
      <c r="Z11" s="381"/>
      <c r="AA11" s="381"/>
      <c r="AB11" s="381"/>
      <c r="AC11" s="381"/>
      <c r="AD11" s="381"/>
      <c r="AE11" s="381"/>
      <c r="AF11" s="381"/>
      <c r="AG11" s="381"/>
      <c r="AH11" s="381"/>
      <c r="AI11" s="381">
        <v>250000000</v>
      </c>
      <c r="AJ11" s="381">
        <v>12808250</v>
      </c>
      <c r="AK11" s="381">
        <v>21.32042739726603</v>
      </c>
      <c r="AL11" s="386">
        <v>45890</v>
      </c>
      <c r="AM11" s="381" t="s">
        <v>88</v>
      </c>
    </row>
    <row r="12" spans="1:50">
      <c r="A12" s="381">
        <v>10</v>
      </c>
      <c r="B12" s="382" t="s">
        <v>27</v>
      </c>
      <c r="C12" s="381" t="s">
        <v>79</v>
      </c>
      <c r="D12" s="381" t="s">
        <v>45</v>
      </c>
      <c r="E12" s="381" t="s">
        <v>84</v>
      </c>
      <c r="F12" s="381" t="s">
        <v>80</v>
      </c>
      <c r="G12" s="383">
        <v>45904</v>
      </c>
      <c r="H12" s="383">
        <v>45904</v>
      </c>
      <c r="I12" s="383">
        <v>45932</v>
      </c>
      <c r="J12" s="384">
        <v>0.10727299999999999</v>
      </c>
      <c r="K12" s="381" t="s">
        <v>81</v>
      </c>
      <c r="L12" s="381">
        <v>28</v>
      </c>
      <c r="M12" s="385">
        <v>247959500</v>
      </c>
      <c r="N12" s="385"/>
      <c r="O12" s="385"/>
      <c r="P12" s="385">
        <v>1894748.8918657531</v>
      </c>
      <c r="Q12" s="385">
        <v>145749.91475890408</v>
      </c>
      <c r="R12" s="385">
        <v>0</v>
      </c>
      <c r="S12" s="385">
        <v>0</v>
      </c>
      <c r="T12" s="385">
        <v>0</v>
      </c>
      <c r="U12" s="385">
        <v>0</v>
      </c>
      <c r="V12" s="381">
        <v>0</v>
      </c>
      <c r="W12" s="381">
        <v>0</v>
      </c>
      <c r="X12" s="381">
        <v>0</v>
      </c>
      <c r="Y12" s="381">
        <v>0</v>
      </c>
      <c r="Z12" s="381"/>
      <c r="AA12" s="381"/>
      <c r="AB12" s="381"/>
      <c r="AC12" s="381"/>
      <c r="AD12" s="381"/>
      <c r="AE12" s="381"/>
      <c r="AF12" s="381"/>
      <c r="AG12" s="381"/>
      <c r="AH12" s="381"/>
      <c r="AI12" s="381">
        <v>250000000</v>
      </c>
      <c r="AJ12" s="381">
        <v>2040500</v>
      </c>
      <c r="AK12" s="381">
        <v>-1.1933753427583724</v>
      </c>
      <c r="AL12" s="386">
        <v>45904</v>
      </c>
      <c r="AM12" s="381" t="s">
        <v>82</v>
      </c>
    </row>
    <row r="13" spans="1:50">
      <c r="A13" s="381">
        <v>11</v>
      </c>
      <c r="B13" s="382" t="s">
        <v>27</v>
      </c>
      <c r="C13" s="381" t="s">
        <v>79</v>
      </c>
      <c r="D13" s="381" t="s">
        <v>45</v>
      </c>
      <c r="E13" s="381" t="s">
        <v>84</v>
      </c>
      <c r="F13" s="381" t="s">
        <v>85</v>
      </c>
      <c r="G13" s="383">
        <v>45904</v>
      </c>
      <c r="H13" s="383">
        <v>45904</v>
      </c>
      <c r="I13" s="383">
        <v>45988</v>
      </c>
      <c r="J13" s="384">
        <v>0.108297</v>
      </c>
      <c r="K13" s="381" t="s">
        <v>81</v>
      </c>
      <c r="L13" s="381">
        <v>84</v>
      </c>
      <c r="M13" s="385">
        <v>487841500</v>
      </c>
      <c r="N13" s="385"/>
      <c r="O13" s="385"/>
      <c r="P13" s="385">
        <v>3763359.0248301374</v>
      </c>
      <c r="Q13" s="385">
        <v>4487081.9142205482</v>
      </c>
      <c r="R13" s="385">
        <v>3908103.6027082196</v>
      </c>
      <c r="S13" s="385">
        <v>0</v>
      </c>
      <c r="T13" s="385">
        <v>0</v>
      </c>
      <c r="U13" s="385">
        <v>0</v>
      </c>
      <c r="V13" s="381">
        <v>0</v>
      </c>
      <c r="W13" s="381">
        <v>0</v>
      </c>
      <c r="X13" s="381">
        <v>0</v>
      </c>
      <c r="Y13" s="381">
        <v>0</v>
      </c>
      <c r="Z13" s="381"/>
      <c r="AA13" s="381"/>
      <c r="AB13" s="381"/>
      <c r="AC13" s="381"/>
      <c r="AD13" s="381"/>
      <c r="AE13" s="381"/>
      <c r="AF13" s="381"/>
      <c r="AG13" s="381"/>
      <c r="AH13" s="381"/>
      <c r="AI13" s="381">
        <v>500000000</v>
      </c>
      <c r="AJ13" s="381">
        <v>12158500</v>
      </c>
      <c r="AK13" s="381">
        <v>44.54175890609622</v>
      </c>
      <c r="AL13" s="386">
        <v>45904</v>
      </c>
      <c r="AM13" s="381" t="s">
        <v>82</v>
      </c>
    </row>
    <row r="14" spans="1:50">
      <c r="A14" s="381">
        <v>12</v>
      </c>
      <c r="B14" s="387" t="s">
        <v>23</v>
      </c>
      <c r="C14" s="381" t="s">
        <v>125</v>
      </c>
      <c r="D14" s="381" t="s">
        <v>45</v>
      </c>
      <c r="E14" s="381" t="s">
        <v>124</v>
      </c>
      <c r="F14" s="381" t="s">
        <v>80</v>
      </c>
      <c r="G14" s="383">
        <v>45932</v>
      </c>
      <c r="H14" s="383">
        <v>45933</v>
      </c>
      <c r="I14" s="383">
        <v>45960</v>
      </c>
      <c r="J14" s="384">
        <v>0.11070000000000001</v>
      </c>
      <c r="K14" s="381" t="s">
        <v>81</v>
      </c>
      <c r="L14" s="381">
        <v>27</v>
      </c>
      <c r="M14" s="385">
        <v>2000022799</v>
      </c>
      <c r="N14" s="385"/>
      <c r="O14" s="385"/>
      <c r="P14" s="385"/>
      <c r="Q14" s="385">
        <v>16377720.942276988</v>
      </c>
      <c r="R14" s="385">
        <v>0</v>
      </c>
      <c r="S14" s="385">
        <v>0</v>
      </c>
      <c r="T14" s="385">
        <v>0</v>
      </c>
      <c r="U14" s="385">
        <v>0</v>
      </c>
      <c r="V14" s="381">
        <v>0</v>
      </c>
      <c r="W14" s="381">
        <v>0</v>
      </c>
      <c r="X14" s="381">
        <v>0</v>
      </c>
      <c r="Y14" s="381">
        <v>0</v>
      </c>
      <c r="Z14" s="381"/>
      <c r="AA14" s="381"/>
      <c r="AB14" s="381"/>
      <c r="AC14" s="381"/>
      <c r="AD14" s="381"/>
      <c r="AE14" s="381"/>
      <c r="AF14" s="381"/>
      <c r="AG14" s="381"/>
      <c r="AH14" s="381"/>
      <c r="AI14" s="381">
        <v>2016400000</v>
      </c>
      <c r="AJ14" s="381">
        <v>16377201</v>
      </c>
      <c r="AK14" s="381">
        <v>519.94227698817849</v>
      </c>
      <c r="AL14" s="386">
        <v>45933</v>
      </c>
      <c r="AM14" s="381" t="s">
        <v>82</v>
      </c>
    </row>
    <row r="15" spans="1:50">
      <c r="A15" s="381">
        <v>13</v>
      </c>
      <c r="B15" s="387" t="s">
        <v>23</v>
      </c>
      <c r="C15" s="381" t="s">
        <v>86</v>
      </c>
      <c r="D15" s="381" t="s">
        <v>45</v>
      </c>
      <c r="E15" s="381" t="s">
        <v>84</v>
      </c>
      <c r="F15" s="381" t="s">
        <v>80</v>
      </c>
      <c r="G15" s="383">
        <v>45960</v>
      </c>
      <c r="H15" s="383">
        <v>45960</v>
      </c>
      <c r="I15" s="383">
        <v>45988</v>
      </c>
      <c r="J15" s="384">
        <v>0.109858</v>
      </c>
      <c r="K15" s="381" t="s">
        <v>81</v>
      </c>
      <c r="L15" s="381">
        <v>28</v>
      </c>
      <c r="M15" s="385">
        <v>495821500</v>
      </c>
      <c r="N15" s="385"/>
      <c r="O15" s="385"/>
      <c r="P15" s="385"/>
      <c r="Q15" s="385">
        <v>149232.76259452052</v>
      </c>
      <c r="R15" s="385">
        <v>4029284.5900520543</v>
      </c>
      <c r="S15" s="385">
        <v>0</v>
      </c>
      <c r="T15" s="385">
        <v>0</v>
      </c>
      <c r="U15" s="385">
        <v>0</v>
      </c>
      <c r="V15" s="381">
        <v>0</v>
      </c>
      <c r="W15" s="381">
        <v>0</v>
      </c>
      <c r="X15" s="381">
        <v>0</v>
      </c>
      <c r="Y15" s="381">
        <v>0</v>
      </c>
      <c r="Z15" s="381"/>
      <c r="AA15" s="381"/>
      <c r="AB15" s="381"/>
      <c r="AC15" s="381"/>
      <c r="AD15" s="381"/>
      <c r="AE15" s="381"/>
      <c r="AF15" s="381"/>
      <c r="AG15" s="381"/>
      <c r="AH15" s="381"/>
      <c r="AI15" s="381">
        <v>500000000</v>
      </c>
      <c r="AJ15" s="381">
        <v>4178500</v>
      </c>
      <c r="AK15" s="381">
        <v>17.352646574843675</v>
      </c>
      <c r="AL15" s="386">
        <v>45960</v>
      </c>
      <c r="AM15" s="381" t="s">
        <v>88</v>
      </c>
    </row>
    <row r="16" spans="1:50">
      <c r="A16" s="381">
        <v>14</v>
      </c>
      <c r="B16" s="387" t="s">
        <v>23</v>
      </c>
      <c r="C16" s="381" t="s">
        <v>86</v>
      </c>
      <c r="D16" s="381" t="s">
        <v>45</v>
      </c>
      <c r="E16" s="381" t="s">
        <v>84</v>
      </c>
      <c r="F16" s="381" t="s">
        <v>85</v>
      </c>
      <c r="G16" s="383">
        <v>45960</v>
      </c>
      <c r="H16" s="383">
        <v>45960</v>
      </c>
      <c r="I16" s="383">
        <v>46044</v>
      </c>
      <c r="J16" s="384">
        <v>0.110155</v>
      </c>
      <c r="K16" s="381" t="s">
        <v>81</v>
      </c>
      <c r="L16" s="381">
        <v>84</v>
      </c>
      <c r="M16" s="385">
        <v>487638000</v>
      </c>
      <c r="N16" s="385"/>
      <c r="O16" s="385"/>
      <c r="P16" s="385"/>
      <c r="Q16" s="385">
        <v>147166.47641095892</v>
      </c>
      <c r="R16" s="385">
        <v>4414994.2923287675</v>
      </c>
      <c r="S16" s="385">
        <v>4562160.7687397264</v>
      </c>
      <c r="T16" s="385">
        <v>3237662.4810410962</v>
      </c>
      <c r="U16" s="385">
        <v>0</v>
      </c>
      <c r="V16" s="381">
        <v>0</v>
      </c>
      <c r="W16" s="381">
        <v>0</v>
      </c>
      <c r="X16" s="381">
        <v>0</v>
      </c>
      <c r="Y16" s="381">
        <v>0</v>
      </c>
      <c r="Z16" s="381"/>
      <c r="AA16" s="381"/>
      <c r="AB16" s="381"/>
      <c r="AC16" s="381"/>
      <c r="AD16" s="381"/>
      <c r="AE16" s="381"/>
      <c r="AF16" s="381"/>
      <c r="AG16" s="381"/>
      <c r="AH16" s="381"/>
      <c r="AI16" s="381">
        <v>500000000</v>
      </c>
      <c r="AJ16" s="381">
        <v>12362000</v>
      </c>
      <c r="AK16" s="381">
        <v>-15.981479451060295</v>
      </c>
      <c r="AL16" s="386">
        <v>45960</v>
      </c>
      <c r="AM16" s="381" t="s">
        <v>88</v>
      </c>
    </row>
    <row r="17" spans="1:51" s="419" customFormat="1">
      <c r="A17" s="385">
        <v>15</v>
      </c>
      <c r="B17" s="385" t="s">
        <v>23</v>
      </c>
      <c r="C17" s="385" t="s">
        <v>86</v>
      </c>
      <c r="D17" s="385" t="s">
        <v>45</v>
      </c>
      <c r="E17" s="385" t="s">
        <v>124</v>
      </c>
      <c r="F17" s="385" t="s">
        <v>87</v>
      </c>
      <c r="G17" s="406">
        <v>46086</v>
      </c>
      <c r="H17" s="406">
        <v>46086</v>
      </c>
      <c r="I17" s="406">
        <v>46268</v>
      </c>
      <c r="J17" s="388">
        <v>0.1065</v>
      </c>
      <c r="K17" s="385" t="s">
        <v>81</v>
      </c>
      <c r="L17" s="385">
        <v>182</v>
      </c>
      <c r="M17" s="385">
        <v>499950711</v>
      </c>
      <c r="N17" s="385"/>
      <c r="O17" s="385"/>
      <c r="P17" s="385"/>
      <c r="Q17" s="385"/>
      <c r="R17" s="385"/>
      <c r="S17" s="385"/>
      <c r="T17" s="385"/>
      <c r="U17" s="385"/>
      <c r="V17" s="503">
        <v>3938652.7930972599</v>
      </c>
      <c r="W17" s="503">
        <v>4376280.8812191784</v>
      </c>
      <c r="X17" s="505">
        <v>4522156.9105931511</v>
      </c>
      <c r="Y17" s="503">
        <v>4376280.8812191784</v>
      </c>
      <c r="Z17" s="503">
        <v>4522156.9105931511</v>
      </c>
      <c r="AA17" s="503">
        <v>4522156.9105931511</v>
      </c>
      <c r="AB17" s="503">
        <v>291752.05874794524</v>
      </c>
      <c r="AC17" s="421"/>
      <c r="AD17" s="421"/>
      <c r="AE17" s="421"/>
      <c r="AF17" s="421"/>
      <c r="AG17" s="421"/>
      <c r="AH17" s="421"/>
      <c r="AI17" s="415">
        <v>526500000</v>
      </c>
      <c r="AJ17" s="381">
        <f t="shared" ref="AJ17:AJ22" si="0">AI17-M17</f>
        <v>26549289</v>
      </c>
      <c r="AK17" s="415">
        <f>AJ17-SUM(V17:AB17)</f>
        <v>-148.34606301411986</v>
      </c>
      <c r="AL17" s="418"/>
      <c r="AM17" s="415">
        <v>0</v>
      </c>
      <c r="AN17" s="419">
        <v>0</v>
      </c>
      <c r="AO17" s="419">
        <v>0</v>
      </c>
      <c r="AP17" s="419">
        <v>0</v>
      </c>
      <c r="AQ17" s="419">
        <v>0</v>
      </c>
      <c r="AR17" s="419">
        <v>0</v>
      </c>
      <c r="AS17" s="419">
        <v>0</v>
      </c>
      <c r="AT17" s="419">
        <v>0</v>
      </c>
      <c r="AU17" s="419">
        <v>526500000</v>
      </c>
      <c r="AV17" s="419">
        <v>26549289</v>
      </c>
      <c r="AW17" s="419">
        <v>148.34606301784515</v>
      </c>
      <c r="AX17" s="419">
        <v>46086</v>
      </c>
      <c r="AY17" s="419" t="s">
        <v>88</v>
      </c>
    </row>
    <row r="18" spans="1:51" s="426" customFormat="1">
      <c r="A18" s="422">
        <v>16</v>
      </c>
      <c r="B18" s="422" t="s">
        <v>23</v>
      </c>
      <c r="C18" s="422" t="s">
        <v>86</v>
      </c>
      <c r="D18" s="422" t="s">
        <v>45</v>
      </c>
      <c r="E18" s="422" t="s">
        <v>124</v>
      </c>
      <c r="F18" s="422" t="s">
        <v>136</v>
      </c>
      <c r="G18" s="423">
        <v>46086</v>
      </c>
      <c r="H18" s="423">
        <v>46086</v>
      </c>
      <c r="I18" s="423">
        <v>46450</v>
      </c>
      <c r="J18" s="424">
        <v>0.10920000000000001</v>
      </c>
      <c r="K18" s="422" t="s">
        <v>81</v>
      </c>
      <c r="L18" s="422">
        <v>364</v>
      </c>
      <c r="M18" s="422">
        <v>499954594</v>
      </c>
      <c r="N18" s="422"/>
      <c r="O18" s="422"/>
      <c r="P18" s="422"/>
      <c r="Q18" s="422"/>
      <c r="R18" s="422"/>
      <c r="S18" s="422"/>
      <c r="T18" s="422"/>
      <c r="U18" s="422"/>
      <c r="V18" s="502">
        <v>4038537.3286290411</v>
      </c>
      <c r="W18" s="504">
        <v>4487263.6984767122</v>
      </c>
      <c r="X18" s="502">
        <v>4636839.1550926035</v>
      </c>
      <c r="Y18" s="504">
        <v>4487263.6984767122</v>
      </c>
      <c r="Z18" s="502">
        <v>4636839.1550926035</v>
      </c>
      <c r="AA18" s="502">
        <v>4636839.1550926035</v>
      </c>
      <c r="AB18" s="504">
        <v>4487263.6984767122</v>
      </c>
      <c r="AC18" s="502">
        <v>4636839.1550926035</v>
      </c>
      <c r="AD18" s="504">
        <v>4487263.6984767122</v>
      </c>
      <c r="AE18" s="502">
        <v>4636839.1550926035</v>
      </c>
      <c r="AF18" s="502">
        <v>4636839.1550926035</v>
      </c>
      <c r="AG18" s="504">
        <v>4188112.7852449319</v>
      </c>
      <c r="AH18" s="502">
        <v>447420.15</v>
      </c>
      <c r="AI18" s="422">
        <v>554400000</v>
      </c>
      <c r="AJ18" s="422">
        <f t="shared" si="0"/>
        <v>54445406</v>
      </c>
      <c r="AK18" s="422">
        <f>SUM(V18:AH18)-AJ18</f>
        <v>-1246.0116635560989</v>
      </c>
      <c r="AL18" s="425"/>
      <c r="AM18" s="422">
        <v>4487263.6984767122</v>
      </c>
      <c r="AN18" s="426">
        <v>4636839.1550926026</v>
      </c>
      <c r="AO18" s="426">
        <v>4636839.1550926026</v>
      </c>
      <c r="AP18" s="426">
        <v>4188112.7852449315</v>
      </c>
      <c r="AQ18" s="426">
        <v>598301.82646356162</v>
      </c>
      <c r="AR18" s="426">
        <v>0</v>
      </c>
      <c r="AS18" s="426">
        <v>0</v>
      </c>
      <c r="AT18" s="426">
        <v>0</v>
      </c>
      <c r="AU18" s="426">
        <v>554400000</v>
      </c>
      <c r="AV18" s="426">
        <v>54445406</v>
      </c>
      <c r="AW18" s="426">
        <v>60.208184115588665</v>
      </c>
      <c r="AX18" s="426">
        <v>46086</v>
      </c>
      <c r="AY18" s="426" t="s">
        <v>88</v>
      </c>
    </row>
    <row r="19" spans="1:51" s="501" customFormat="1">
      <c r="A19" s="507">
        <v>17</v>
      </c>
      <c r="B19" s="507" t="s">
        <v>23</v>
      </c>
      <c r="C19" s="507" t="s">
        <v>86</v>
      </c>
      <c r="D19" s="507" t="s">
        <v>45</v>
      </c>
      <c r="E19" s="507" t="s">
        <v>124</v>
      </c>
      <c r="F19" s="507" t="s">
        <v>85</v>
      </c>
      <c r="G19" s="487">
        <v>46147</v>
      </c>
      <c r="H19" s="487">
        <v>46147</v>
      </c>
      <c r="I19" s="487">
        <v>46226</v>
      </c>
      <c r="J19" s="506">
        <v>0.11650000000000001</v>
      </c>
      <c r="K19" s="507" t="s">
        <v>81</v>
      </c>
      <c r="L19" s="507">
        <f>I19-H19</f>
        <v>79</v>
      </c>
      <c r="M19" s="507">
        <v>975405000</v>
      </c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>
        <v>8405853.2260273974</v>
      </c>
      <c r="Y19" s="507">
        <v>9339836.9178082198</v>
      </c>
      <c r="Z19" s="507">
        <v>6849213.7397260275</v>
      </c>
      <c r="AA19" s="507"/>
      <c r="AB19" s="507"/>
      <c r="AC19" s="507"/>
      <c r="AD19" s="507"/>
      <c r="AE19" s="507"/>
      <c r="AF19" s="507"/>
      <c r="AG19" s="507"/>
      <c r="AH19" s="507"/>
      <c r="AI19" s="507">
        <v>1000000000</v>
      </c>
      <c r="AJ19" s="507">
        <f t="shared" si="0"/>
        <v>24595000</v>
      </c>
      <c r="AK19" s="507">
        <f>AJ19-SUM(W19:Z19)</f>
        <v>96.11643835157156</v>
      </c>
      <c r="AL19" s="507"/>
      <c r="AM19" s="507"/>
    </row>
    <row r="20" spans="1:51" s="389" customFormat="1">
      <c r="A20" s="385">
        <v>18</v>
      </c>
      <c r="B20" s="385" t="s">
        <v>23</v>
      </c>
      <c r="C20" s="385" t="s">
        <v>86</v>
      </c>
      <c r="D20" s="385" t="s">
        <v>45</v>
      </c>
      <c r="E20" s="385"/>
      <c r="F20" s="385" t="s">
        <v>80</v>
      </c>
      <c r="G20" s="407">
        <v>46156</v>
      </c>
      <c r="H20" s="407">
        <v>46156</v>
      </c>
      <c r="I20" s="407">
        <v>46184</v>
      </c>
      <c r="J20" s="408">
        <v>0.11323900000000001</v>
      </c>
      <c r="K20" s="385" t="s">
        <v>81</v>
      </c>
      <c r="L20" s="385">
        <f t="shared" ref="L20:L22" si="1">I20-H20</f>
        <v>28</v>
      </c>
      <c r="M20" s="385">
        <v>495694000</v>
      </c>
      <c r="N20" s="385"/>
      <c r="O20" s="385"/>
      <c r="P20" s="385"/>
      <c r="Q20" s="385"/>
      <c r="R20" s="385"/>
      <c r="S20" s="385"/>
      <c r="T20" s="385"/>
      <c r="U20" s="385"/>
      <c r="V20" s="385"/>
      <c r="W20" s="385"/>
      <c r="X20" s="385">
        <v>2768148.1413369863</v>
      </c>
      <c r="Y20" s="385">
        <v>1537860.0785205481</v>
      </c>
      <c r="Z20" s="385"/>
      <c r="AA20" s="385"/>
      <c r="AB20" s="385"/>
      <c r="AC20" s="385"/>
      <c r="AD20" s="385"/>
      <c r="AE20" s="385"/>
      <c r="AF20" s="385"/>
      <c r="AG20" s="385"/>
      <c r="AH20" s="385"/>
      <c r="AI20" s="385">
        <v>500000000</v>
      </c>
      <c r="AJ20" s="385">
        <f t="shared" si="0"/>
        <v>4306000</v>
      </c>
      <c r="AK20" s="385">
        <f>AJ20-SUM(W20:Z20)</f>
        <v>-8.2198575343936682</v>
      </c>
      <c r="AL20" s="385"/>
      <c r="AM20" s="385"/>
    </row>
    <row r="21" spans="1:51" s="501" customFormat="1">
      <c r="A21" s="507">
        <v>19</v>
      </c>
      <c r="B21" s="507" t="s">
        <v>23</v>
      </c>
      <c r="C21" s="507" t="s">
        <v>86</v>
      </c>
      <c r="D21" s="507" t="s">
        <v>45</v>
      </c>
      <c r="E21" s="507"/>
      <c r="F21" s="507"/>
      <c r="G21" s="487">
        <v>46156</v>
      </c>
      <c r="H21" s="487">
        <v>46156</v>
      </c>
      <c r="I21" s="487">
        <v>46240</v>
      </c>
      <c r="J21" s="506">
        <v>0.12008099999999999</v>
      </c>
      <c r="K21" s="507" t="s">
        <v>81</v>
      </c>
      <c r="L21" s="507">
        <f t="shared" si="1"/>
        <v>84</v>
      </c>
      <c r="M21" s="507">
        <v>486554000</v>
      </c>
      <c r="N21" s="499"/>
      <c r="O21" s="499"/>
      <c r="P21" s="499"/>
      <c r="Q21" s="499"/>
      <c r="R21" s="499"/>
      <c r="S21" s="499"/>
      <c r="T21" s="499"/>
      <c r="U21" s="499"/>
      <c r="V21" s="499"/>
      <c r="W21" s="499"/>
      <c r="X21" s="499">
        <v>2881276.8102246574</v>
      </c>
      <c r="Y21" s="499">
        <v>4802128.0170410955</v>
      </c>
      <c r="Z21" s="499">
        <v>4802128.0170410955</v>
      </c>
      <c r="AA21" s="499">
        <v>960425.60340821906</v>
      </c>
      <c r="AB21" s="499"/>
      <c r="AC21" s="499"/>
      <c r="AD21" s="499"/>
      <c r="AE21" s="499"/>
      <c r="AF21" s="499"/>
      <c r="AG21" s="499"/>
      <c r="AH21" s="499"/>
      <c r="AI21" s="507">
        <v>500000000</v>
      </c>
      <c r="AJ21" s="507">
        <f t="shared" si="0"/>
        <v>13446000</v>
      </c>
      <c r="AK21" s="507">
        <f>AJ21-SUM(W21:AA21)</f>
        <v>41.552284931764007</v>
      </c>
      <c r="AL21" s="498"/>
      <c r="AM21" s="498"/>
      <c r="AQ21" s="497"/>
      <c r="AR21" s="497"/>
      <c r="AS21" s="497"/>
      <c r="AT21" s="497"/>
    </row>
    <row r="22" spans="1:51" s="389" customFormat="1">
      <c r="A22" s="385">
        <v>20</v>
      </c>
      <c r="B22" s="385" t="s">
        <v>23</v>
      </c>
      <c r="C22" s="385" t="s">
        <v>86</v>
      </c>
      <c r="D22" s="385" t="s">
        <v>45</v>
      </c>
      <c r="E22" s="385"/>
      <c r="F22" s="385"/>
      <c r="G22" s="407">
        <v>46164</v>
      </c>
      <c r="H22" s="407">
        <v>46164</v>
      </c>
      <c r="I22" s="407">
        <v>46197</v>
      </c>
      <c r="J22" s="408">
        <v>0.11899999999999999</v>
      </c>
      <c r="K22" s="385" t="s">
        <v>81</v>
      </c>
      <c r="L22" s="385">
        <f t="shared" si="1"/>
        <v>33</v>
      </c>
      <c r="M22" s="385">
        <v>494678000</v>
      </c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>
        <v>1612785.8082191781</v>
      </c>
      <c r="Y22" s="392">
        <v>3709407.3589041098</v>
      </c>
      <c r="Z22" s="392"/>
      <c r="AA22" s="392"/>
      <c r="AB22" s="392"/>
      <c r="AC22" s="392"/>
      <c r="AD22" s="392"/>
      <c r="AE22" s="392"/>
      <c r="AF22" s="392"/>
      <c r="AG22" s="392"/>
      <c r="AH22" s="392"/>
      <c r="AI22" s="385">
        <v>500000000</v>
      </c>
      <c r="AJ22" s="385">
        <f t="shared" si="0"/>
        <v>5322000</v>
      </c>
      <c r="AK22" s="385">
        <f>AJ22-SUM(W22:AA22)</f>
        <v>-193.16712328791618</v>
      </c>
      <c r="AL22" s="409"/>
      <c r="AM22" s="409"/>
      <c r="AQ22" s="403"/>
      <c r="AR22" s="403"/>
      <c r="AS22" s="403"/>
      <c r="AT22" s="403"/>
    </row>
    <row r="23" spans="1:51">
      <c r="A23" s="381"/>
      <c r="D23" s="381"/>
      <c r="E23" s="381"/>
      <c r="F23" s="381"/>
      <c r="G23" s="390"/>
      <c r="H23" s="390"/>
      <c r="I23" s="390"/>
      <c r="J23" s="391"/>
      <c r="K23" s="381"/>
      <c r="L23" s="381"/>
      <c r="M23" s="385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Z23" s="394"/>
      <c r="AA23" s="394"/>
      <c r="AB23" s="394"/>
      <c r="AC23" s="394"/>
      <c r="AD23" s="394"/>
      <c r="AE23" s="394"/>
      <c r="AF23" s="394"/>
      <c r="AG23" s="394"/>
      <c r="AH23" s="394"/>
      <c r="AQ23" s="393"/>
      <c r="AR23" s="393"/>
      <c r="AS23" s="393"/>
      <c r="AT23" s="393"/>
    </row>
    <row r="24" spans="1:51">
      <c r="A24" s="381"/>
      <c r="H24" s="405"/>
      <c r="I24" s="405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Z24" s="394"/>
      <c r="AA24" s="394"/>
      <c r="AB24" s="394"/>
      <c r="AC24" s="394"/>
      <c r="AD24" s="394"/>
      <c r="AE24" s="394"/>
      <c r="AF24" s="394"/>
      <c r="AG24" s="394"/>
      <c r="AH24" s="394"/>
      <c r="AQ24" s="393"/>
      <c r="AR24" s="393"/>
      <c r="AS24" s="393"/>
      <c r="AT24" s="393"/>
    </row>
    <row r="25" spans="1:51">
      <c r="A25" s="381"/>
      <c r="H25" s="405"/>
      <c r="I25" s="405"/>
      <c r="J25" s="500"/>
      <c r="K25" s="420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  <c r="AA25" s="394"/>
      <c r="AB25" s="394"/>
      <c r="AC25" s="394"/>
      <c r="AD25" s="394"/>
      <c r="AE25" s="394"/>
      <c r="AF25" s="394"/>
      <c r="AG25" s="394"/>
      <c r="AH25" s="394"/>
      <c r="AQ25" s="393"/>
      <c r="AR25" s="393"/>
      <c r="AS25" s="393"/>
      <c r="AT25" s="393"/>
    </row>
    <row r="26" spans="1:51" ht="26.4" thickBot="1">
      <c r="A26" s="450"/>
      <c r="H26" s="405"/>
      <c r="I26" s="405"/>
      <c r="J26" s="500"/>
      <c r="K26" s="420"/>
      <c r="N26" s="376">
        <f t="shared" ref="N26:V26" si="2">SUM(N3:N18)</f>
        <v>26145313.006752737</v>
      </c>
      <c r="O26" s="376">
        <f t="shared" si="2"/>
        <v>16992155.225569867</v>
      </c>
      <c r="P26" s="376">
        <f t="shared" si="2"/>
        <v>18184107.719966438</v>
      </c>
      <c r="Q26" s="376">
        <f t="shared" si="2"/>
        <v>28283230.259983838</v>
      </c>
      <c r="R26" s="376">
        <f t="shared" si="2"/>
        <v>15873712.618989043</v>
      </c>
      <c r="S26" s="376">
        <f t="shared" si="2"/>
        <v>6743789.4002410965</v>
      </c>
      <c r="T26" s="376">
        <f t="shared" si="2"/>
        <v>5419291.1125424663</v>
      </c>
      <c r="U26" s="376">
        <f t="shared" si="2"/>
        <v>1337127.2257589041</v>
      </c>
      <c r="V26" s="376">
        <f t="shared" si="2"/>
        <v>7977190.1217263006</v>
      </c>
      <c r="W26" s="376">
        <f>SUM(W3:W21)</f>
        <v>8863544.5796958916</v>
      </c>
      <c r="X26" s="376">
        <f>SUM(X3:X22)</f>
        <v>24827060.051493973</v>
      </c>
      <c r="Y26" s="376">
        <f>SUM(Y3:Y22)</f>
        <v>28252776.951969862</v>
      </c>
      <c r="Z26" s="376">
        <f>SUM(N26:Y26)</f>
        <v>188899298.27469042</v>
      </c>
    </row>
    <row r="27" spans="1:51" ht="26.4" thickBot="1">
      <c r="A27" s="449"/>
      <c r="B27" s="403"/>
      <c r="C27" s="403"/>
      <c r="D27" s="403"/>
      <c r="E27" s="403"/>
      <c r="F27" s="403"/>
      <c r="G27" s="403"/>
      <c r="H27" s="405"/>
      <c r="I27" s="405"/>
      <c r="J27" s="500"/>
      <c r="K27" s="420"/>
      <c r="L27" s="403"/>
      <c r="M27" s="403"/>
      <c r="N27" s="634">
        <f>SUM(N26:P26)</f>
        <v>61321575.952289045</v>
      </c>
      <c r="O27" s="634"/>
      <c r="P27" s="635"/>
      <c r="Q27" s="636">
        <f>SUM(Q26:S26)</f>
        <v>50900732.27921398</v>
      </c>
      <c r="R27" s="634"/>
      <c r="S27" s="635"/>
      <c r="T27" s="636">
        <f>SUM(T26:V26)</f>
        <v>14733608.46002767</v>
      </c>
      <c r="U27" s="634"/>
      <c r="V27" s="635"/>
      <c r="W27" s="636">
        <f>SUM(W26:Y26)</f>
        <v>61943381.58315973</v>
      </c>
      <c r="X27" s="634"/>
      <c r="Y27" s="635"/>
    </row>
    <row r="28" spans="1:51" ht="26.4" thickBot="1">
      <c r="A28" s="449"/>
      <c r="B28" s="403"/>
      <c r="C28" s="403"/>
      <c r="D28" s="403"/>
      <c r="E28" s="403"/>
      <c r="F28" s="403"/>
      <c r="G28" s="403"/>
      <c r="H28" s="405"/>
      <c r="I28" s="405"/>
      <c r="J28" s="500"/>
      <c r="K28" s="420"/>
      <c r="L28" s="403"/>
      <c r="M28" s="403"/>
      <c r="N28" s="396"/>
      <c r="O28" s="396" t="s">
        <v>113</v>
      </c>
      <c r="P28" s="397"/>
      <c r="Q28" s="395"/>
      <c r="R28" s="396" t="s">
        <v>115</v>
      </c>
      <c r="S28" s="397"/>
      <c r="T28" s="395"/>
      <c r="U28" s="398" t="s">
        <v>138</v>
      </c>
      <c r="V28" s="399"/>
      <c r="W28" s="431"/>
      <c r="X28" s="432" t="s">
        <v>146</v>
      </c>
      <c r="Y28" s="433"/>
    </row>
    <row r="29" spans="1:51" ht="26.4" thickBot="1">
      <c r="A29" s="451"/>
      <c r="B29" s="451"/>
      <c r="C29" s="451"/>
      <c r="D29" s="451"/>
      <c r="E29" s="451"/>
      <c r="F29" s="451"/>
      <c r="G29" s="451"/>
      <c r="H29" s="405"/>
      <c r="I29" s="405"/>
      <c r="J29" s="500"/>
      <c r="K29" s="420"/>
      <c r="L29" s="451"/>
      <c r="M29" s="451"/>
      <c r="Y29" s="430" t="s">
        <v>150</v>
      </c>
      <c r="Z29" s="429">
        <f>SUM(N3:U17)+SUM(X20:Y20,X22:Y22)</f>
        <v>128606927.95678522</v>
      </c>
    </row>
    <row r="30" spans="1:51">
      <c r="A30" s="451"/>
      <c r="B30" s="451"/>
      <c r="C30" s="451"/>
      <c r="D30" s="451"/>
      <c r="E30" s="451"/>
      <c r="F30" s="451"/>
      <c r="G30" s="451"/>
      <c r="H30" s="405"/>
      <c r="I30" s="405"/>
      <c r="J30" s="500"/>
      <c r="K30" s="420"/>
      <c r="L30" s="451"/>
      <c r="M30" s="451"/>
      <c r="T30" s="436"/>
      <c r="U30" s="436" t="s">
        <v>149</v>
      </c>
      <c r="V30" s="436">
        <f>Z29+'New Buy Sell Mapped'!J10</f>
        <v>148205585.9567852</v>
      </c>
      <c r="AQ30" s="389"/>
      <c r="AR30" s="389"/>
      <c r="AS30" s="389"/>
      <c r="AT30" s="389"/>
    </row>
    <row r="31" spans="1:51">
      <c r="A31" s="400"/>
      <c r="B31" s="400"/>
      <c r="C31" s="400"/>
      <c r="D31" s="452"/>
      <c r="E31" s="400"/>
      <c r="F31" s="400"/>
      <c r="G31" s="453"/>
      <c r="H31" s="453"/>
      <c r="I31" s="454"/>
      <c r="J31" s="400"/>
      <c r="K31" s="400"/>
      <c r="L31" s="400"/>
      <c r="M31" s="400"/>
      <c r="T31" s="436" t="s">
        <v>151</v>
      </c>
      <c r="U31" s="436" t="s">
        <v>148</v>
      </c>
      <c r="V31" s="437">
        <v>-177074074.97</v>
      </c>
    </row>
    <row r="32" spans="1:51">
      <c r="A32" s="400"/>
      <c r="B32" s="400"/>
      <c r="C32" s="400"/>
      <c r="D32" s="452"/>
      <c r="E32" s="400"/>
      <c r="F32" s="400"/>
      <c r="G32" s="453"/>
      <c r="H32" s="453"/>
      <c r="I32" s="454"/>
      <c r="J32" s="400"/>
      <c r="K32" s="400"/>
      <c r="L32" s="400"/>
      <c r="M32" s="400"/>
      <c r="T32" s="436"/>
      <c r="U32" s="9" t="s">
        <v>155</v>
      </c>
      <c r="V32" s="436">
        <f>V31+V30</f>
        <v>-28868489.013214797</v>
      </c>
    </row>
    <row r="33" spans="1:22">
      <c r="A33" s="400"/>
      <c r="B33" s="400"/>
      <c r="C33" s="400"/>
      <c r="D33" s="452"/>
      <c r="E33" s="400"/>
      <c r="F33" s="400"/>
      <c r="G33" s="453"/>
      <c r="H33" s="453"/>
      <c r="I33" s="454"/>
      <c r="J33" s="400"/>
      <c r="K33" s="400"/>
      <c r="L33" s="400"/>
      <c r="M33" s="400"/>
    </row>
    <row r="34" spans="1:22" ht="26.4" thickBot="1">
      <c r="A34" s="400"/>
      <c r="B34" s="400"/>
      <c r="C34" s="400"/>
      <c r="D34" s="452"/>
      <c r="E34" s="400"/>
      <c r="F34" s="400"/>
      <c r="G34" s="453"/>
      <c r="H34" s="453"/>
      <c r="I34" s="454"/>
      <c r="J34" s="400"/>
      <c r="K34" s="400"/>
      <c r="L34" s="400"/>
      <c r="M34" s="400"/>
    </row>
    <row r="35" spans="1:22" ht="26.4" thickBot="1">
      <c r="A35" s="400"/>
      <c r="B35" s="400"/>
      <c r="C35" s="400"/>
      <c r="D35" s="452"/>
      <c r="E35" s="400"/>
      <c r="F35" s="400"/>
      <c r="G35" s="453"/>
      <c r="H35" s="453"/>
      <c r="I35" s="454"/>
      <c r="J35" s="400"/>
      <c r="K35" s="400"/>
      <c r="L35" s="400"/>
      <c r="M35" s="400"/>
      <c r="U35" s="401" t="s">
        <v>137</v>
      </c>
      <c r="V35" s="402">
        <f>'New Buy Sell Mapped'!J10</f>
        <v>19598658</v>
      </c>
    </row>
    <row r="36" spans="1:22">
      <c r="A36" s="400"/>
      <c r="B36" s="400"/>
      <c r="C36" s="400"/>
      <c r="D36" s="452"/>
      <c r="E36" s="400"/>
      <c r="F36" s="400"/>
      <c r="G36" s="453"/>
      <c r="H36" s="453"/>
      <c r="I36" s="454"/>
      <c r="J36" s="400"/>
      <c r="K36" s="400"/>
      <c r="L36" s="400"/>
      <c r="M36" s="400"/>
    </row>
    <row r="37" spans="1:22">
      <c r="A37" s="400"/>
      <c r="B37" s="400"/>
      <c r="C37" s="400"/>
      <c r="D37" s="455"/>
      <c r="E37" s="456"/>
      <c r="F37" s="457"/>
      <c r="G37" s="458"/>
      <c r="H37" s="458"/>
      <c r="I37" s="459"/>
      <c r="J37" s="456"/>
      <c r="K37" s="460"/>
      <c r="L37" s="460"/>
      <c r="M37" s="400"/>
    </row>
    <row r="38" spans="1:22">
      <c r="A38" s="400"/>
      <c r="B38" s="400"/>
      <c r="C38" s="400"/>
      <c r="D38" s="455"/>
      <c r="E38" s="456"/>
      <c r="F38" s="457"/>
      <c r="G38" s="458"/>
      <c r="H38" s="458"/>
      <c r="I38" s="459"/>
      <c r="J38" s="456"/>
      <c r="K38" s="460"/>
      <c r="L38" s="460"/>
      <c r="M38" s="400"/>
    </row>
    <row r="39" spans="1:22">
      <c r="A39" s="400"/>
      <c r="B39" s="400"/>
      <c r="C39" s="400"/>
      <c r="D39" s="452"/>
      <c r="E39" s="400"/>
      <c r="F39" s="400"/>
      <c r="G39" s="400"/>
      <c r="H39" s="400"/>
      <c r="I39" s="400"/>
      <c r="J39" s="400"/>
      <c r="K39" s="400"/>
      <c r="L39" s="400"/>
      <c r="M39" s="400"/>
    </row>
    <row r="40" spans="1:22">
      <c r="A40" s="403"/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49"/>
      <c r="M40" s="449"/>
    </row>
    <row r="41" spans="1:22">
      <c r="A41" s="403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49"/>
      <c r="M41" s="449"/>
    </row>
    <row r="42" spans="1:22" s="393" customFormat="1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61"/>
      <c r="M42" s="461"/>
      <c r="N42" s="376"/>
      <c r="O42" s="376"/>
      <c r="P42" s="376"/>
    </row>
    <row r="43" spans="1:22" s="403" customFormat="1" ht="33.6">
      <c r="A43" s="449"/>
      <c r="B43" s="462"/>
      <c r="C43" s="462"/>
      <c r="D43" s="462"/>
      <c r="E43" s="462"/>
      <c r="F43" s="458"/>
      <c r="G43" s="458"/>
      <c r="H43" s="463"/>
      <c r="I43" s="462"/>
      <c r="J43" s="460"/>
      <c r="K43" s="464"/>
      <c r="L43" s="465"/>
      <c r="M43" s="465"/>
    </row>
    <row r="44" spans="1:22" ht="32.4">
      <c r="A44" s="403"/>
      <c r="B44" s="449"/>
      <c r="C44" s="403"/>
      <c r="D44" s="462"/>
      <c r="E44" s="403"/>
      <c r="F44" s="403"/>
      <c r="G44" s="403"/>
      <c r="H44" s="403"/>
      <c r="I44" s="403"/>
      <c r="J44" s="403"/>
      <c r="K44" s="466"/>
      <c r="L44" s="403"/>
      <c r="M44" s="403"/>
      <c r="N44" s="389"/>
    </row>
    <row r="45" spans="1:22" ht="32.4">
      <c r="A45" s="403"/>
      <c r="B45" s="403"/>
      <c r="C45" s="403"/>
      <c r="D45" s="403"/>
      <c r="E45" s="403"/>
      <c r="F45" s="403"/>
      <c r="G45" s="403"/>
      <c r="H45" s="403"/>
      <c r="I45" s="403"/>
      <c r="J45" s="403"/>
      <c r="K45" s="467"/>
      <c r="L45" s="403"/>
      <c r="M45" s="403"/>
      <c r="N45" s="389"/>
    </row>
    <row r="46" spans="1:22" ht="33.6">
      <c r="A46" s="403"/>
      <c r="B46" s="403"/>
      <c r="C46" s="403"/>
      <c r="D46" s="403"/>
      <c r="E46" s="403"/>
      <c r="F46" s="403"/>
      <c r="G46" s="403"/>
      <c r="H46" s="403"/>
      <c r="I46" s="403"/>
      <c r="J46" s="403"/>
      <c r="K46" s="468"/>
      <c r="L46" s="403"/>
      <c r="M46" s="403"/>
      <c r="N46" s="389"/>
    </row>
    <row r="47" spans="1:22" ht="33.6">
      <c r="A47" s="403"/>
      <c r="B47" s="403"/>
      <c r="C47" s="403"/>
      <c r="D47" s="403"/>
      <c r="E47" s="403"/>
      <c r="F47" s="403"/>
      <c r="G47" s="403"/>
      <c r="H47" s="403"/>
      <c r="I47" s="403"/>
      <c r="J47" s="403"/>
      <c r="K47" s="468"/>
      <c r="L47" s="403"/>
      <c r="M47" s="403"/>
      <c r="N47" s="389"/>
    </row>
    <row r="48" spans="1:22" ht="33.6">
      <c r="A48" s="403"/>
      <c r="B48" s="403"/>
      <c r="C48" s="403"/>
      <c r="D48" s="403"/>
      <c r="E48" s="403"/>
      <c r="F48" s="403"/>
      <c r="G48" s="403"/>
      <c r="H48" s="403"/>
      <c r="I48" s="403"/>
      <c r="J48" s="403"/>
      <c r="K48" s="468"/>
      <c r="L48" s="403"/>
      <c r="M48" s="403"/>
      <c r="N48" s="389"/>
    </row>
    <row r="49" spans="1:21" ht="33.6">
      <c r="A49" s="469"/>
      <c r="B49" s="403"/>
      <c r="C49" s="403"/>
      <c r="D49" s="403"/>
      <c r="E49" s="403"/>
      <c r="F49" s="403"/>
      <c r="G49" s="403"/>
      <c r="H49" s="403"/>
      <c r="I49" s="403"/>
      <c r="J49" s="403"/>
      <c r="K49" s="468"/>
      <c r="L49" s="403"/>
      <c r="M49" s="403"/>
      <c r="N49" s="389"/>
    </row>
    <row r="50" spans="1:21">
      <c r="A50" s="403"/>
      <c r="B50" s="403"/>
      <c r="C50" s="403"/>
      <c r="D50" s="403"/>
      <c r="E50" s="403"/>
      <c r="F50" s="403"/>
      <c r="G50" s="403"/>
      <c r="H50" s="403"/>
      <c r="I50" s="449"/>
      <c r="J50" s="470"/>
      <c r="K50" s="449"/>
      <c r="L50" s="403"/>
      <c r="M50" s="403"/>
      <c r="N50" s="389"/>
    </row>
    <row r="51" spans="1:21">
      <c r="A51" s="403"/>
      <c r="B51" s="403"/>
      <c r="C51" s="403"/>
      <c r="D51" s="403"/>
      <c r="E51" s="403"/>
      <c r="F51" s="403"/>
      <c r="G51" s="403"/>
      <c r="H51" s="403"/>
      <c r="I51" s="449"/>
      <c r="J51" s="449"/>
      <c r="K51" s="471"/>
      <c r="L51" s="403"/>
      <c r="M51" s="403"/>
      <c r="N51" s="389"/>
    </row>
    <row r="52" spans="1:21">
      <c r="A52" s="403"/>
      <c r="B52" s="403"/>
      <c r="C52" s="403"/>
      <c r="D52" s="403"/>
      <c r="E52" s="403"/>
      <c r="F52" s="403"/>
      <c r="G52" s="403"/>
      <c r="H52" s="403"/>
      <c r="I52" s="403"/>
      <c r="J52" s="449"/>
      <c r="K52" s="449"/>
      <c r="L52" s="403"/>
      <c r="M52" s="403"/>
      <c r="N52" s="389"/>
    </row>
    <row r="53" spans="1:21">
      <c r="A53" s="403"/>
      <c r="B53" s="403"/>
      <c r="C53" s="403"/>
      <c r="D53" s="403"/>
      <c r="E53" s="403"/>
      <c r="F53" s="403"/>
      <c r="G53" s="403"/>
      <c r="H53" s="403"/>
      <c r="I53" s="403"/>
      <c r="J53" s="403"/>
      <c r="K53" s="403"/>
      <c r="L53" s="403"/>
      <c r="M53" s="403"/>
      <c r="N53" s="389"/>
    </row>
    <row r="54" spans="1:21">
      <c r="A54" s="403"/>
      <c r="B54" s="403"/>
      <c r="C54" s="403"/>
      <c r="D54" s="403"/>
      <c r="E54" s="403"/>
      <c r="F54" s="403"/>
      <c r="G54" s="403"/>
      <c r="H54" s="403"/>
      <c r="I54" s="403"/>
      <c r="J54" s="403"/>
      <c r="K54" s="403"/>
      <c r="L54" s="403"/>
      <c r="M54" s="403"/>
    </row>
    <row r="55" spans="1:21">
      <c r="A55" s="403"/>
      <c r="B55" s="403"/>
      <c r="C55" s="403"/>
      <c r="D55" s="403"/>
      <c r="E55" s="403"/>
      <c r="F55" s="403"/>
      <c r="G55" s="403"/>
      <c r="H55" s="403"/>
      <c r="I55" s="403"/>
      <c r="J55" s="403"/>
      <c r="K55" s="403"/>
      <c r="L55" s="403"/>
      <c r="M55" s="403"/>
    </row>
    <row r="56" spans="1:21">
      <c r="A56" s="403"/>
      <c r="B56" s="403"/>
      <c r="C56" s="403"/>
      <c r="D56" s="403"/>
      <c r="E56" s="403"/>
      <c r="F56" s="403"/>
      <c r="G56" s="403"/>
      <c r="H56" s="403"/>
      <c r="I56" s="403"/>
      <c r="J56" s="403"/>
      <c r="K56" s="403"/>
      <c r="L56" s="403"/>
      <c r="M56" s="403"/>
    </row>
    <row r="57" spans="1:21">
      <c r="A57" s="403"/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</row>
    <row r="58" spans="1:21">
      <c r="A58" s="403"/>
      <c r="B58" s="403"/>
      <c r="C58" s="403"/>
      <c r="D58" s="403"/>
      <c r="E58" s="403"/>
      <c r="F58" s="403"/>
      <c r="G58" s="403"/>
      <c r="H58" s="403"/>
      <c r="I58" s="403"/>
      <c r="J58" s="403"/>
      <c r="K58" s="403"/>
      <c r="L58" s="403"/>
      <c r="M58" s="403"/>
    </row>
    <row r="59" spans="1:21">
      <c r="A59" s="403"/>
      <c r="B59" s="403"/>
      <c r="C59" s="403"/>
      <c r="D59" s="403"/>
      <c r="E59" s="403"/>
      <c r="F59" s="403"/>
      <c r="G59" s="403"/>
      <c r="H59" s="403"/>
      <c r="I59" s="403"/>
      <c r="J59" s="403"/>
      <c r="K59" s="403"/>
      <c r="L59" s="403"/>
      <c r="M59" s="403"/>
      <c r="U59" s="376">
        <v>50900732</v>
      </c>
    </row>
    <row r="60" spans="1:21">
      <c r="A60" s="403"/>
      <c r="B60" s="403"/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</row>
    <row r="61" spans="1:21">
      <c r="A61" s="403"/>
      <c r="B61" s="403"/>
      <c r="C61" s="403"/>
      <c r="D61" s="403"/>
      <c r="E61" s="403"/>
      <c r="F61" s="403"/>
      <c r="G61" s="403"/>
      <c r="H61" s="403"/>
      <c r="I61" s="403"/>
      <c r="J61" s="403"/>
      <c r="K61" s="403"/>
      <c r="L61" s="403"/>
      <c r="M61" s="403"/>
    </row>
    <row r="62" spans="1:21">
      <c r="A62" s="403"/>
      <c r="B62" s="403"/>
      <c r="C62" s="403"/>
      <c r="D62" s="403"/>
      <c r="E62" s="403"/>
      <c r="F62" s="403"/>
      <c r="G62" s="403"/>
      <c r="H62" s="403"/>
      <c r="I62" s="403"/>
      <c r="J62" s="403"/>
      <c r="K62" s="403"/>
      <c r="L62" s="403"/>
      <c r="M62" s="403"/>
    </row>
    <row r="63" spans="1:21">
      <c r="A63" s="403"/>
      <c r="B63" s="403"/>
      <c r="C63" s="403"/>
      <c r="D63" s="403"/>
      <c r="E63" s="403"/>
      <c r="F63" s="403"/>
      <c r="G63" s="403"/>
      <c r="H63" s="403"/>
      <c r="I63" s="403"/>
      <c r="J63" s="403"/>
      <c r="K63" s="403"/>
      <c r="L63" s="403"/>
      <c r="M63" s="403"/>
    </row>
    <row r="64" spans="1:21">
      <c r="A64" s="403"/>
      <c r="B64" s="403"/>
      <c r="C64" s="403"/>
      <c r="D64" s="403"/>
      <c r="E64" s="403"/>
      <c r="F64" s="403"/>
      <c r="G64" s="403"/>
      <c r="H64" s="403"/>
      <c r="I64" s="403"/>
      <c r="J64" s="403"/>
      <c r="K64" s="403"/>
      <c r="L64" s="403"/>
      <c r="M64" s="403"/>
    </row>
    <row r="65" spans="1:13">
      <c r="A65" s="403"/>
      <c r="B65" s="403"/>
      <c r="C65" s="403"/>
      <c r="D65" s="403"/>
      <c r="E65" s="403"/>
      <c r="F65" s="403"/>
      <c r="G65" s="403"/>
      <c r="H65" s="403"/>
      <c r="I65" s="403"/>
      <c r="J65" s="403"/>
      <c r="K65" s="403"/>
      <c r="L65" s="403"/>
      <c r="M65" s="403"/>
    </row>
    <row r="66" spans="1:13">
      <c r="A66" s="403"/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</row>
    <row r="67" spans="1:13">
      <c r="A67" s="403"/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</row>
  </sheetData>
  <mergeCells count="4">
    <mergeCell ref="N27:P27"/>
    <mergeCell ref="Q27:S27"/>
    <mergeCell ref="T27:V27"/>
    <mergeCell ref="W27:Y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6:X12"/>
  <sheetViews>
    <sheetView zoomScale="79" workbookViewId="0">
      <selection activeCell="N16" sqref="N16"/>
    </sheetView>
  </sheetViews>
  <sheetFormatPr defaultRowHeight="14.4"/>
  <cols>
    <col min="11" max="12" width="15.6640625" bestFit="1" customWidth="1"/>
    <col min="13" max="13" width="17.6640625" bestFit="1" customWidth="1"/>
    <col min="14" max="19" width="17.6640625" customWidth="1"/>
    <col min="20" max="20" width="15.6640625" bestFit="1" customWidth="1"/>
    <col min="21" max="21" width="12.5546875" bestFit="1" customWidth="1"/>
    <col min="22" max="22" width="9.44140625" bestFit="1" customWidth="1"/>
    <col min="23" max="23" width="14.109375" bestFit="1" customWidth="1"/>
    <col min="24" max="24" width="27.5546875" bestFit="1" customWidth="1"/>
  </cols>
  <sheetData>
    <row r="6" spans="11:24">
      <c r="M6">
        <f>M7-L7+1</f>
        <v>27</v>
      </c>
    </row>
    <row r="7" spans="11:24" ht="25.8">
      <c r="K7" s="416">
        <v>46086</v>
      </c>
      <c r="L7" s="416">
        <v>46086</v>
      </c>
      <c r="M7" s="416">
        <v>46112</v>
      </c>
      <c r="N7" s="416"/>
      <c r="O7" s="416"/>
      <c r="P7" s="416"/>
      <c r="Q7" s="416"/>
      <c r="R7" s="416"/>
      <c r="S7" s="416"/>
      <c r="T7" s="416">
        <v>46268</v>
      </c>
      <c r="U7" s="417">
        <v>0.1065</v>
      </c>
      <c r="V7" s="415" t="s">
        <v>81</v>
      </c>
      <c r="W7" s="415">
        <v>182</v>
      </c>
      <c r="X7" s="415">
        <v>499950711</v>
      </c>
    </row>
    <row r="8" spans="11:24" ht="25.8">
      <c r="K8" s="416"/>
      <c r="L8" s="416"/>
      <c r="M8" s="416"/>
      <c r="N8" s="416"/>
      <c r="O8" s="416"/>
      <c r="P8" s="416"/>
      <c r="Q8" s="416"/>
      <c r="R8" s="416"/>
      <c r="S8" s="416"/>
      <c r="T8" s="416"/>
      <c r="U8" s="417"/>
      <c r="V8" s="415"/>
      <c r="W8" s="415"/>
      <c r="X8" s="415"/>
    </row>
    <row r="9" spans="11:24" ht="25.8">
      <c r="K9" s="416"/>
      <c r="L9" s="416"/>
      <c r="M9" s="416"/>
      <c r="N9" s="416"/>
      <c r="O9" s="416"/>
      <c r="P9" s="416"/>
      <c r="Q9" s="416"/>
      <c r="R9" s="416"/>
      <c r="S9" s="416"/>
      <c r="T9" s="416"/>
      <c r="U9" s="417"/>
      <c r="V9" s="415"/>
      <c r="W9" s="415"/>
      <c r="X9" s="415"/>
    </row>
    <row r="10" spans="11:24" ht="25.8">
      <c r="K10" s="416"/>
      <c r="L10" s="416"/>
      <c r="M10" s="416"/>
      <c r="N10" s="416"/>
      <c r="O10" s="416"/>
      <c r="P10" s="416"/>
      <c r="Q10" s="416"/>
      <c r="R10" s="416"/>
      <c r="S10" s="416"/>
      <c r="T10" s="416"/>
      <c r="U10" s="417"/>
      <c r="V10" s="415"/>
      <c r="W10" s="415"/>
      <c r="X10" s="415"/>
    </row>
    <row r="11" spans="11:24" ht="25.8">
      <c r="K11" s="416"/>
      <c r="L11" s="416"/>
      <c r="M11" s="416"/>
      <c r="N11" s="416"/>
      <c r="O11" s="416"/>
      <c r="P11" s="416"/>
      <c r="Q11" s="416"/>
      <c r="R11" s="416"/>
      <c r="S11" s="416"/>
      <c r="T11" s="416"/>
      <c r="U11" s="417"/>
      <c r="V11" s="415"/>
      <c r="W11" s="415"/>
      <c r="X11" s="415"/>
    </row>
    <row r="12" spans="11:24" ht="25.8">
      <c r="K12" s="416">
        <v>46086</v>
      </c>
      <c r="L12" s="416">
        <v>46086</v>
      </c>
      <c r="M12" s="416"/>
      <c r="N12" s="416"/>
      <c r="O12" s="416"/>
      <c r="P12" s="416"/>
      <c r="Q12" s="416"/>
      <c r="R12" s="416"/>
      <c r="S12" s="416"/>
      <c r="T12" s="416">
        <v>46450</v>
      </c>
      <c r="U12" s="417">
        <v>0.10920000000000001</v>
      </c>
      <c r="V12" s="415" t="s">
        <v>81</v>
      </c>
      <c r="W12" s="415">
        <v>364</v>
      </c>
      <c r="X12" s="415">
        <v>499954594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39"/>
  <sheetViews>
    <sheetView zoomScale="85" zoomScaleNormal="85" workbookViewId="0">
      <selection activeCell="M14" sqref="M14"/>
    </sheetView>
  </sheetViews>
  <sheetFormatPr defaultRowHeight="14.4"/>
  <cols>
    <col min="1" max="1" width="6" bestFit="1" customWidth="1"/>
    <col min="2" max="2" width="15.5546875" bestFit="1" customWidth="1"/>
    <col min="3" max="4" width="36.5546875" bestFit="1" customWidth="1"/>
    <col min="5" max="5" width="14.21875" bestFit="1" customWidth="1"/>
    <col min="6" max="6" width="15.88671875" bestFit="1" customWidth="1"/>
    <col min="7" max="7" width="10" bestFit="1" customWidth="1"/>
    <col min="8" max="8" width="11.109375" bestFit="1" customWidth="1"/>
    <col min="9" max="9" width="15.109375" bestFit="1" customWidth="1"/>
    <col min="10" max="10" width="14.44140625" bestFit="1" customWidth="1"/>
    <col min="11" max="11" width="15" bestFit="1" customWidth="1"/>
    <col min="12" max="12" width="12.6640625" bestFit="1" customWidth="1"/>
    <col min="13" max="13" width="32" bestFit="1" customWidth="1"/>
    <col min="14" max="14" width="16.5546875" bestFit="1" customWidth="1"/>
    <col min="15" max="15" width="9.44140625" bestFit="1" customWidth="1"/>
    <col min="16" max="21" width="11.109375" bestFit="1" customWidth="1"/>
    <col min="22" max="22" width="7.6640625" bestFit="1" customWidth="1"/>
    <col min="23" max="23" width="7.21875" bestFit="1" customWidth="1"/>
    <col min="24" max="24" width="7.88671875" bestFit="1" customWidth="1"/>
    <col min="25" max="25" width="7.109375" bestFit="1" customWidth="1"/>
    <col min="26" max="26" width="13.33203125" bestFit="1" customWidth="1"/>
    <col min="27" max="27" width="12.21875" bestFit="1" customWidth="1"/>
    <col min="28" max="28" width="10.5546875" bestFit="1" customWidth="1"/>
    <col min="29" max="29" width="10" bestFit="1" customWidth="1"/>
    <col min="30" max="30" width="21.109375" bestFit="1" customWidth="1"/>
  </cols>
  <sheetData>
    <row r="1" spans="1:30" ht="16.2" thickBot="1">
      <c r="A1" s="116" t="s">
        <v>90</v>
      </c>
      <c r="B1" s="116" t="s">
        <v>91</v>
      </c>
      <c r="C1" s="116" t="s">
        <v>4</v>
      </c>
      <c r="D1" s="116" t="s">
        <v>95</v>
      </c>
      <c r="E1" s="116" t="s">
        <v>96</v>
      </c>
      <c r="F1" s="116" t="s">
        <v>97</v>
      </c>
      <c r="G1" s="116" t="s">
        <v>98</v>
      </c>
      <c r="H1" s="116" t="s">
        <v>99</v>
      </c>
      <c r="I1" s="116" t="s">
        <v>100</v>
      </c>
      <c r="J1" s="116" t="s">
        <v>101</v>
      </c>
      <c r="K1" s="116" t="s">
        <v>102</v>
      </c>
      <c r="M1" s="7" t="s">
        <v>106</v>
      </c>
      <c r="N1" s="8">
        <f>'[57]TB AS OF 31ST OCT'!N542</f>
        <v>-68360346.799999997</v>
      </c>
    </row>
    <row r="2" spans="1:30" ht="15" thickBot="1">
      <c r="A2" s="105" t="s">
        <v>27</v>
      </c>
      <c r="B2" s="104" t="s">
        <v>79</v>
      </c>
      <c r="C2" s="104" t="s">
        <v>45</v>
      </c>
      <c r="D2" s="106">
        <v>45845</v>
      </c>
      <c r="E2" s="106">
        <v>45876</v>
      </c>
      <c r="F2" s="107">
        <v>0.109</v>
      </c>
      <c r="G2" s="104" t="s">
        <v>81</v>
      </c>
      <c r="H2" s="104">
        <f>E2-D2</f>
        <v>31</v>
      </c>
      <c r="I2" s="110">
        <v>999997104</v>
      </c>
      <c r="J2" s="108">
        <v>1009255000</v>
      </c>
      <c r="K2" s="115">
        <f t="shared" ref="K2:K10" si="0">J2-I2</f>
        <v>9257896</v>
      </c>
      <c r="M2" s="14" t="s">
        <v>20</v>
      </c>
      <c r="N2" s="15">
        <f>SUM(K2:K10)</f>
        <v>68360347</v>
      </c>
    </row>
    <row r="3" spans="1:30" ht="15" thickBot="1">
      <c r="A3" s="105" t="s">
        <v>27</v>
      </c>
      <c r="B3" s="104" t="s">
        <v>79</v>
      </c>
      <c r="C3" s="104" t="s">
        <v>45</v>
      </c>
      <c r="D3" s="106">
        <v>45849</v>
      </c>
      <c r="E3" s="106">
        <v>45876</v>
      </c>
      <c r="F3" s="107">
        <v>0.1105</v>
      </c>
      <c r="G3" s="104" t="s">
        <v>81</v>
      </c>
      <c r="H3" s="104">
        <f t="shared" ref="H3:H10" si="1">E3-D3</f>
        <v>27</v>
      </c>
      <c r="I3" s="110">
        <v>1983784000</v>
      </c>
      <c r="J3" s="108">
        <v>2000000000</v>
      </c>
      <c r="K3" s="115">
        <f t="shared" si="0"/>
        <v>16216000</v>
      </c>
      <c r="N3" s="117">
        <f>N2+N1</f>
        <v>0.20000000298023224</v>
      </c>
    </row>
    <row r="4" spans="1:30">
      <c r="A4" s="109" t="s">
        <v>83</v>
      </c>
      <c r="B4" s="104" t="s">
        <v>79</v>
      </c>
      <c r="C4" s="104" t="s">
        <v>45</v>
      </c>
      <c r="D4" s="106">
        <v>45848</v>
      </c>
      <c r="E4" s="106">
        <v>45876</v>
      </c>
      <c r="F4" s="107">
        <v>0.110804</v>
      </c>
      <c r="G4" s="104" t="s">
        <v>81</v>
      </c>
      <c r="H4" s="104">
        <f t="shared" si="1"/>
        <v>28</v>
      </c>
      <c r="I4" s="110">
        <v>495786000</v>
      </c>
      <c r="J4" s="108">
        <v>500000000</v>
      </c>
      <c r="K4" s="115">
        <f t="shared" si="0"/>
        <v>4214000</v>
      </c>
    </row>
    <row r="5" spans="1:30">
      <c r="A5" s="109" t="s">
        <v>83</v>
      </c>
      <c r="B5" s="104" t="s">
        <v>79</v>
      </c>
      <c r="C5" s="104" t="s">
        <v>45</v>
      </c>
      <c r="D5" s="106">
        <v>45848</v>
      </c>
      <c r="E5" s="106">
        <v>45932</v>
      </c>
      <c r="F5" s="107">
        <v>0.108626</v>
      </c>
      <c r="G5" s="104" t="s">
        <v>81</v>
      </c>
      <c r="H5" s="104">
        <f t="shared" si="1"/>
        <v>84</v>
      </c>
      <c r="I5" s="110">
        <v>487805500</v>
      </c>
      <c r="J5" s="108">
        <v>500000000</v>
      </c>
      <c r="K5" s="115">
        <f t="shared" si="0"/>
        <v>12194500</v>
      </c>
    </row>
    <row r="6" spans="1:30">
      <c r="A6" s="105" t="s">
        <v>27</v>
      </c>
      <c r="B6" s="104" t="s">
        <v>79</v>
      </c>
      <c r="C6" s="104" t="s">
        <v>45</v>
      </c>
      <c r="D6" s="106">
        <v>45862</v>
      </c>
      <c r="E6" s="106">
        <v>45890</v>
      </c>
      <c r="F6" s="107">
        <v>0.10850600000000001</v>
      </c>
      <c r="G6" s="104" t="s">
        <v>81</v>
      </c>
      <c r="H6" s="104">
        <f t="shared" si="1"/>
        <v>28</v>
      </c>
      <c r="I6" s="110">
        <v>123968125</v>
      </c>
      <c r="J6" s="108">
        <v>125000000</v>
      </c>
      <c r="K6" s="115">
        <f t="shared" si="0"/>
        <v>1031875</v>
      </c>
    </row>
    <row r="7" spans="1:30">
      <c r="A7" s="105" t="s">
        <v>27</v>
      </c>
      <c r="B7" s="104" t="s">
        <v>79</v>
      </c>
      <c r="C7" s="104" t="s">
        <v>45</v>
      </c>
      <c r="D7" s="106">
        <v>45862</v>
      </c>
      <c r="E7" s="106">
        <v>45946</v>
      </c>
      <c r="F7" s="107">
        <v>0.10675</v>
      </c>
      <c r="G7" s="104" t="s">
        <v>81</v>
      </c>
      <c r="H7" s="104">
        <f t="shared" si="1"/>
        <v>84</v>
      </c>
      <c r="I7" s="110">
        <v>244005500</v>
      </c>
      <c r="J7" s="108">
        <v>250000000</v>
      </c>
      <c r="K7" s="115">
        <f t="shared" si="0"/>
        <v>5994500</v>
      </c>
    </row>
    <row r="8" spans="1:30">
      <c r="A8" s="105" t="s">
        <v>27</v>
      </c>
      <c r="B8" s="104" t="s">
        <v>79</v>
      </c>
      <c r="C8" s="104" t="s">
        <v>45</v>
      </c>
      <c r="D8" s="106">
        <v>45890</v>
      </c>
      <c r="E8" s="106">
        <v>45918</v>
      </c>
      <c r="F8" s="107">
        <v>0.10871500000000001</v>
      </c>
      <c r="G8" s="104" t="s">
        <v>81</v>
      </c>
      <c r="H8" s="104">
        <f t="shared" si="1"/>
        <v>28</v>
      </c>
      <c r="I8" s="110">
        <v>123966125</v>
      </c>
      <c r="J8" s="108">
        <v>125000000</v>
      </c>
      <c r="K8" s="115">
        <f t="shared" si="0"/>
        <v>1033875</v>
      </c>
    </row>
    <row r="9" spans="1:30">
      <c r="A9" s="118" t="s">
        <v>107</v>
      </c>
      <c r="B9" s="104" t="s">
        <v>86</v>
      </c>
      <c r="C9" s="104" t="s">
        <v>45</v>
      </c>
      <c r="D9" s="106">
        <v>45933</v>
      </c>
      <c r="E9" s="106">
        <v>45960</v>
      </c>
      <c r="F9" s="107">
        <v>0.11070000000000001</v>
      </c>
      <c r="G9" s="104" t="s">
        <v>81</v>
      </c>
      <c r="H9" s="104">
        <f>E9-D9</f>
        <v>27</v>
      </c>
      <c r="I9" s="110">
        <v>2000022799</v>
      </c>
      <c r="J9" s="108">
        <v>2016400000</v>
      </c>
      <c r="K9" s="115">
        <f t="shared" si="0"/>
        <v>16377201</v>
      </c>
    </row>
    <row r="10" spans="1:30">
      <c r="A10" s="105" t="s">
        <v>27</v>
      </c>
      <c r="B10" s="104" t="s">
        <v>79</v>
      </c>
      <c r="C10" s="104" t="s">
        <v>45</v>
      </c>
      <c r="D10" s="106">
        <v>45904</v>
      </c>
      <c r="E10" s="106">
        <v>45932</v>
      </c>
      <c r="F10" s="107">
        <v>0.10727299999999999</v>
      </c>
      <c r="G10" s="104" t="s">
        <v>81</v>
      </c>
      <c r="H10" s="104">
        <f t="shared" si="1"/>
        <v>28</v>
      </c>
      <c r="I10" s="110">
        <v>247959500</v>
      </c>
      <c r="J10" s="108">
        <v>250000000</v>
      </c>
      <c r="K10" s="115">
        <f t="shared" si="0"/>
        <v>2040500</v>
      </c>
    </row>
    <row r="11" spans="1:30">
      <c r="I11" s="9"/>
      <c r="K11" s="112">
        <f>SUM(K2:K10)</f>
        <v>68360347</v>
      </c>
    </row>
    <row r="12" spans="1:30">
      <c r="I12" s="9"/>
      <c r="K12" s="112"/>
    </row>
    <row r="13" spans="1:30">
      <c r="I13" s="21"/>
    </row>
    <row r="15" spans="1:30">
      <c r="B15" t="s">
        <v>108</v>
      </c>
    </row>
    <row r="16" spans="1:30" ht="46.8">
      <c r="A16" s="113" t="s">
        <v>89</v>
      </c>
      <c r="B16" s="113" t="s">
        <v>90</v>
      </c>
      <c r="C16" s="113" t="s">
        <v>91</v>
      </c>
      <c r="D16" s="113" t="s">
        <v>4</v>
      </c>
      <c r="E16" s="113" t="s">
        <v>92</v>
      </c>
      <c r="F16" s="113" t="s">
        <v>93</v>
      </c>
      <c r="G16" s="113" t="s">
        <v>94</v>
      </c>
      <c r="H16" s="113" t="s">
        <v>95</v>
      </c>
      <c r="I16" s="113" t="s">
        <v>96</v>
      </c>
      <c r="J16" s="113" t="s">
        <v>97</v>
      </c>
      <c r="K16" s="113" t="s">
        <v>98</v>
      </c>
      <c r="L16" s="113" t="s">
        <v>99</v>
      </c>
      <c r="M16" s="113" t="s">
        <v>100</v>
      </c>
      <c r="N16" s="114">
        <v>45869</v>
      </c>
      <c r="O16" s="114">
        <v>45900</v>
      </c>
      <c r="P16" s="114">
        <v>45930</v>
      </c>
      <c r="Q16" s="114">
        <v>45961</v>
      </c>
      <c r="R16" s="114">
        <v>45991</v>
      </c>
      <c r="S16" s="114">
        <v>46022</v>
      </c>
      <c r="T16" s="114">
        <v>46053</v>
      </c>
      <c r="U16" s="114">
        <v>46081</v>
      </c>
      <c r="V16" s="114">
        <v>46112</v>
      </c>
      <c r="W16" s="114">
        <v>46142</v>
      </c>
      <c r="X16" s="114">
        <v>46173</v>
      </c>
      <c r="Y16" s="114">
        <v>46203</v>
      </c>
      <c r="Z16" s="113" t="s">
        <v>101</v>
      </c>
      <c r="AA16" s="113" t="s">
        <v>102</v>
      </c>
      <c r="AB16" s="113" t="s">
        <v>103</v>
      </c>
      <c r="AC16" s="113" t="s">
        <v>104</v>
      </c>
      <c r="AD16" s="113" t="s">
        <v>105</v>
      </c>
    </row>
    <row r="17" spans="1:30 16384:16384">
      <c r="A17" s="104">
        <v>22</v>
      </c>
      <c r="B17" s="111" t="s">
        <v>23</v>
      </c>
      <c r="C17" s="104" t="s">
        <v>86</v>
      </c>
      <c r="D17" s="104" t="s">
        <v>45</v>
      </c>
      <c r="E17" s="104" t="s">
        <v>84</v>
      </c>
      <c r="F17" s="104" t="s">
        <v>87</v>
      </c>
      <c r="G17" s="106">
        <v>45890</v>
      </c>
      <c r="H17" s="106">
        <v>45890</v>
      </c>
      <c r="I17" s="106">
        <v>46072</v>
      </c>
      <c r="J17" s="107">
        <v>0.108296</v>
      </c>
      <c r="K17" s="104" t="s">
        <v>81</v>
      </c>
      <c r="L17" s="104">
        <f>I17-H17</f>
        <v>182</v>
      </c>
      <c r="M17" s="110">
        <v>237191750</v>
      </c>
      <c r="N17" s="108"/>
      <c r="O17" s="108">
        <v>774125</v>
      </c>
      <c r="P17" s="108">
        <v>2111250</v>
      </c>
      <c r="Q17" s="108">
        <v>2181625</v>
      </c>
      <c r="R17" s="108">
        <v>2111250</v>
      </c>
      <c r="S17" s="108">
        <v>2181625</v>
      </c>
      <c r="T17" s="108">
        <v>2181625</v>
      </c>
      <c r="U17" s="108">
        <v>1266750</v>
      </c>
      <c r="V17" s="108"/>
      <c r="W17" s="108"/>
      <c r="X17" s="108"/>
      <c r="Y17" s="108"/>
      <c r="Z17" s="108">
        <v>250000000</v>
      </c>
      <c r="AA17" s="108">
        <f>Z17-M17</f>
        <v>12808250</v>
      </c>
      <c r="AB17" s="108">
        <f>SUM(N17:Y17)-AA17</f>
        <v>0</v>
      </c>
      <c r="AC17" s="106">
        <v>45890</v>
      </c>
      <c r="AD17" s="104" t="s">
        <v>88</v>
      </c>
    </row>
    <row r="18" spans="1:30 16384:16384">
      <c r="A18" s="104">
        <v>24</v>
      </c>
      <c r="B18" s="105" t="s">
        <v>27</v>
      </c>
      <c r="C18" s="104" t="s">
        <v>79</v>
      </c>
      <c r="D18" s="104" t="s">
        <v>45</v>
      </c>
      <c r="E18" s="104" t="s">
        <v>84</v>
      </c>
      <c r="F18" s="104" t="s">
        <v>85</v>
      </c>
      <c r="G18" s="106">
        <v>45904</v>
      </c>
      <c r="H18" s="106">
        <v>45904</v>
      </c>
      <c r="I18" s="106">
        <v>45988</v>
      </c>
      <c r="J18" s="107">
        <v>0.108297</v>
      </c>
      <c r="K18" s="104" t="s">
        <v>81</v>
      </c>
      <c r="L18" s="104">
        <f>I18-H18</f>
        <v>84</v>
      </c>
      <c r="M18" s="110">
        <v>487841500</v>
      </c>
      <c r="N18" s="108"/>
      <c r="O18" s="108"/>
      <c r="P18" s="108">
        <v>3908089.2857142859</v>
      </c>
      <c r="Q18" s="108">
        <v>4487065.4761904767</v>
      </c>
      <c r="R18" s="108">
        <v>3763345.2380952383</v>
      </c>
      <c r="S18" s="108"/>
      <c r="T18" s="108"/>
      <c r="U18" s="108"/>
      <c r="V18" s="108"/>
      <c r="W18" s="108"/>
      <c r="X18" s="108"/>
      <c r="Y18" s="108"/>
      <c r="Z18" s="108">
        <v>500000000</v>
      </c>
      <c r="AA18" s="108">
        <f>Z18-M18</f>
        <v>12158500</v>
      </c>
      <c r="AB18" s="108">
        <f>SUM(N18:Y18)-AA18</f>
        <v>0</v>
      </c>
      <c r="AC18" s="106">
        <v>45904</v>
      </c>
      <c r="AD18" s="104" t="s">
        <v>82</v>
      </c>
    </row>
    <row r="19" spans="1:30 16384:16384">
      <c r="A19" s="104">
        <v>25</v>
      </c>
      <c r="B19" s="111" t="s">
        <v>23</v>
      </c>
      <c r="C19" s="104" t="s">
        <v>86</v>
      </c>
      <c r="D19" s="104" t="s">
        <v>45</v>
      </c>
      <c r="E19" s="104" t="s">
        <v>84</v>
      </c>
      <c r="F19" s="104" t="s">
        <v>80</v>
      </c>
      <c r="G19" s="106">
        <v>45960</v>
      </c>
      <c r="H19" s="106">
        <v>45960</v>
      </c>
      <c r="I19" s="106">
        <v>45988</v>
      </c>
      <c r="J19" s="107">
        <v>0.109858</v>
      </c>
      <c r="K19" s="104" t="s">
        <v>81</v>
      </c>
      <c r="L19" s="104">
        <f>I19-H19</f>
        <v>28</v>
      </c>
      <c r="M19" s="110">
        <v>495821500</v>
      </c>
      <c r="N19" s="108"/>
      <c r="O19" s="108"/>
      <c r="P19" s="108"/>
      <c r="Q19" s="108">
        <v>298464.28571428574</v>
      </c>
      <c r="R19" s="108">
        <v>3880035.7142857146</v>
      </c>
      <c r="S19" s="108"/>
      <c r="T19" s="108"/>
      <c r="U19" s="108"/>
      <c r="V19" s="108"/>
      <c r="W19" s="108"/>
      <c r="X19" s="108"/>
      <c r="Y19" s="108"/>
      <c r="Z19" s="108">
        <v>500000000</v>
      </c>
      <c r="AA19" s="108">
        <f>Z19-M19</f>
        <v>4178500</v>
      </c>
      <c r="AB19" s="108">
        <f>SUM(N19:Y19)-AA19</f>
        <v>0</v>
      </c>
      <c r="AC19" s="106">
        <v>45960</v>
      </c>
      <c r="AD19" s="104" t="s">
        <v>88</v>
      </c>
    </row>
    <row r="20" spans="1:30 16384:16384">
      <c r="A20" s="104">
        <v>26</v>
      </c>
      <c r="B20" s="111" t="s">
        <v>23</v>
      </c>
      <c r="C20" s="104" t="s">
        <v>86</v>
      </c>
      <c r="D20" s="104" t="s">
        <v>45</v>
      </c>
      <c r="E20" s="104" t="s">
        <v>84</v>
      </c>
      <c r="F20" s="104" t="s">
        <v>85</v>
      </c>
      <c r="G20" s="106">
        <v>45960</v>
      </c>
      <c r="H20" s="106">
        <v>45960</v>
      </c>
      <c r="I20" s="106">
        <v>46044</v>
      </c>
      <c r="J20" s="107">
        <v>0.110155</v>
      </c>
      <c r="K20" s="104" t="s">
        <v>81</v>
      </c>
      <c r="L20" s="104">
        <f>I20-H20</f>
        <v>84</v>
      </c>
      <c r="M20" s="110">
        <v>487638000</v>
      </c>
      <c r="N20" s="108"/>
      <c r="O20" s="108"/>
      <c r="P20" s="108"/>
      <c r="Q20" s="108">
        <v>294333.33333333331</v>
      </c>
      <c r="R20" s="108">
        <v>4415000</v>
      </c>
      <c r="S20" s="108">
        <v>4562166.666666666</v>
      </c>
      <c r="T20" s="108">
        <v>3090500</v>
      </c>
      <c r="U20" s="108"/>
      <c r="V20" s="108"/>
      <c r="W20" s="108"/>
      <c r="X20" s="108"/>
      <c r="Y20" s="108"/>
      <c r="Z20" s="108">
        <v>500000000</v>
      </c>
      <c r="AA20" s="108">
        <f>Z20-M20</f>
        <v>12362000</v>
      </c>
      <c r="AB20" s="108">
        <f>SUM(N20:Y20)-AA20</f>
        <v>0</v>
      </c>
      <c r="AC20" s="106">
        <v>45960</v>
      </c>
      <c r="AD20" s="104" t="s">
        <v>88</v>
      </c>
    </row>
    <row r="21" spans="1:30 16384:16384">
      <c r="N21" s="21"/>
      <c r="O21" s="21"/>
      <c r="P21" s="21"/>
      <c r="Q21" s="21"/>
      <c r="R21" s="21"/>
      <c r="S21" s="21"/>
      <c r="T21" s="21"/>
      <c r="XFD21" s="21"/>
    </row>
    <row r="24" spans="1:30 16384:16384">
      <c r="J24" s="86"/>
    </row>
    <row r="25" spans="1:30 16384:16384">
      <c r="J25" s="86"/>
    </row>
    <row r="26" spans="1:30 16384:16384">
      <c r="J26" s="86"/>
    </row>
    <row r="30" spans="1:30 16384:16384">
      <c r="J30" s="134"/>
    </row>
    <row r="31" spans="1:30 16384:16384">
      <c r="J31" s="86"/>
    </row>
    <row r="39" spans="10:10">
      <c r="J39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 </vt:lpstr>
      <vt:lpstr>Quarterly</vt:lpstr>
      <vt:lpstr>Treasury Bank Profits mappe (2)</vt:lpstr>
      <vt:lpstr>New TDR Mapped</vt:lpstr>
      <vt:lpstr>New Buy Sell Mapped</vt:lpstr>
      <vt:lpstr>Treasury Bank Profits forcasted</vt:lpstr>
      <vt:lpstr>Treasury Bank Profits -Ayesha</vt:lpstr>
      <vt:lpstr>New TBILLS Mapped</vt:lpstr>
      <vt:lpstr>Profit Rates</vt:lpstr>
      <vt:lpstr>Treasury Pool</vt:lpstr>
      <vt:lpstr>MPR</vt:lpstr>
      <vt:lpstr>OLD T-Bills_TDR - Mapped</vt:lpstr>
      <vt:lpstr>Sheet1</vt:lpstr>
      <vt:lpstr>T-Bill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Babar</dc:creator>
  <cp:lastModifiedBy>Mohammad Babar</cp:lastModifiedBy>
  <dcterms:created xsi:type="dcterms:W3CDTF">2025-11-18T10:14:04Z</dcterms:created>
  <dcterms:modified xsi:type="dcterms:W3CDTF">2026-09-10T09:47:42Z</dcterms:modified>
</cp:coreProperties>
</file>